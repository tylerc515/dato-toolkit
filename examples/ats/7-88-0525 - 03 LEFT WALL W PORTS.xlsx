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Thickness" sheetId="1" state="visible" r:id="rId1"/>
    <sheet xmlns:r="http://schemas.openxmlformats.org/officeDocument/2006/relationships" name="Corrosion" sheetId="2" state="visible" r:id="rId2"/>
    <sheet xmlns:r="http://schemas.openxmlformats.org/officeDocument/2006/relationships" name="Projection" sheetId="3" state="visible" r:id="rId3"/>
    <sheet xmlns:r="http://schemas.openxmlformats.org/officeDocument/2006/relationships" name="Retirement" sheetId="4" state="visible" r:id="rId4"/>
    <sheet xmlns:r="http://schemas.openxmlformats.org/officeDocument/2006/relationships" name="Low" sheetId="5" state="hidden" r:id="rId5"/>
  </sheets>
  <definedNames>
    <definedName name="_xlnm.Print_Area" localSheetId="0">'Thickness'!$A$1:$DZ$131</definedName>
    <definedName name="_xlnm.Print_Area" localSheetId="1">'Corrosion'!$A$1:$DZ$131</definedName>
    <definedName name="_xlnm.Print_Area" localSheetId="2">'Projection'!$A$1:$DZ$131</definedName>
    <definedName name="_xlnm.Print_Area" localSheetId="3">'Retirement'!$A$1:$DZ$131</definedName>
    <definedName name="_xlnm.Print_Area" localSheetId="4">'Low'!$A$1:$DZ$131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0.000"/>
    <numFmt numFmtId="165" formatCode=".000"/>
    <numFmt numFmtId="166" formatCode="#.###"/>
    <numFmt numFmtId="167" formatCode="#.0"/>
    <numFmt numFmtId="168" formatCode="#.00"/>
    <numFmt numFmtId="169" formatCode="0.0"/>
    <numFmt numFmtId="170" formatCode="[$-409]mmmm\ yyyy;@"/>
  </numFmts>
  <fonts count="27">
    <font>
      <name val="Arial"/>
      <sz val="10"/>
    </font>
    <font>
      <name val="Arial"/>
      <family val="2"/>
      <sz val="10"/>
    </font>
    <font>
      <name val="Arial"/>
      <family val="2"/>
      <b val="1"/>
      <sz val="12"/>
    </font>
    <font>
      <name val="Arial"/>
      <family val="2"/>
      <b val="1"/>
      <sz val="24"/>
    </font>
    <font>
      <name val="Arial"/>
      <family val="2"/>
      <sz val="8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4"/>
    </font>
    <font>
      <name val="Arial"/>
      <family val="2"/>
      <sz val="18"/>
    </font>
    <font>
      <name val="Arial"/>
      <family val="2"/>
      <sz val="16"/>
    </font>
    <font>
      <name val="Arial"/>
      <family val="2"/>
      <b val="1"/>
      <color indexed="12"/>
      <sz val="18"/>
    </font>
    <font>
      <name val="Arial"/>
      <family val="2"/>
      <b val="1"/>
      <sz val="16"/>
    </font>
    <font>
      <name val="Arial"/>
      <family val="2"/>
      <b val="1"/>
      <color indexed="10"/>
      <sz val="16"/>
    </font>
    <font>
      <name val="Arial"/>
      <family val="2"/>
      <b val="1"/>
      <sz val="26"/>
    </font>
    <font>
      <name val="Arial"/>
      <family val="2"/>
      <b val="1"/>
      <sz val="20"/>
    </font>
    <font>
      <name val="Arial"/>
      <family val="2"/>
      <sz val="20"/>
    </font>
    <font>
      <name val="Arial"/>
      <family val="2"/>
      <b val="1"/>
      <color indexed="12"/>
      <sz val="20"/>
    </font>
    <font>
      <name val="Arial"/>
      <family val="2"/>
      <b val="1"/>
      <color indexed="10"/>
      <sz val="18"/>
    </font>
    <font>
      <name val="Arial"/>
      <family val="2"/>
      <b val="1"/>
      <sz val="55"/>
    </font>
    <font>
      <name val="Arial"/>
      <family val="2"/>
      <b val="1"/>
      <color theme="0"/>
      <sz val="20"/>
    </font>
    <font>
      <name val="Arial"/>
      <family val="2"/>
      <i val="1"/>
      <color rgb="FF7030A0"/>
      <sz val="36"/>
    </font>
    <font>
      <name val="Arial"/>
      <family val="2"/>
      <i val="1"/>
      <color rgb="FF7030A0"/>
      <sz val="16"/>
    </font>
    <font>
      <name val="Arial"/>
      <family val="2"/>
      <color rgb="FF7030A0"/>
      <sz val="20"/>
    </font>
    <font>
      <name val="Arial"/>
      <family val="2"/>
      <b val="1"/>
      <color rgb="FF7030A0"/>
      <sz val="36"/>
    </font>
    <font>
      <name val="Arial"/>
      <family val="2"/>
      <b val="1"/>
      <color rgb="FF000000"/>
      <sz val="18"/>
    </font>
    <font>
      <name val="Arial"/>
      <family val="2"/>
      <color rgb="FF000000"/>
      <sz val="18"/>
    </font>
    <font>
      <name val="Arial"/>
      <family val="2"/>
      <color rgb="FFFFFFFF"/>
      <sz val="14"/>
    </font>
  </fonts>
  <fills count="39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A9A9A9"/>
      </patternFill>
    </fill>
    <fill>
      <patternFill patternType="solid">
        <fgColor rgb="FF0080FF"/>
        <bgColor indexed="64"/>
      </patternFill>
    </fill>
    <fill>
      <patternFill patternType="solid">
        <fgColor rgb="FF24FFFF"/>
        <bgColor indexed="64"/>
      </patternFill>
    </fill>
    <fill>
      <patternFill patternType="solid">
        <fgColor rgb="FF80FFFF"/>
        <bgColor indexed="64"/>
      </patternFill>
    </fill>
    <fill>
      <patternFill patternType="solid">
        <fgColor rgb="FF9BFFFF"/>
        <bgColor indexed="64"/>
      </patternFill>
    </fill>
    <fill>
      <patternFill patternType="solid">
        <fgColor rgb="FFB9FFB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B7"/>
        <bgColor indexed="64"/>
      </patternFill>
    </fill>
    <fill>
      <patternFill patternType="solid">
        <fgColor rgb="FFFFFFD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</patternFill>
    </fill>
    <fill>
      <patternFill patternType="solid">
        <fgColor rgb="FFFFFF99"/>
      </patternFill>
    </fill>
    <fill>
      <patternFill patternType="solid">
        <fgColor rgb="FFFFC000"/>
      </patternFill>
    </fill>
    <fill>
      <patternFill patternType="solid">
        <fgColor rgb="FFFFFFFF"/>
      </patternFill>
    </fill>
    <fill>
      <patternFill patternType="solid">
        <fgColor rgb="FF92CDDC"/>
      </patternFill>
    </fill>
    <fill>
      <patternFill patternType="solid">
        <fgColor rgb="FFDCE6F1"/>
      </patternFill>
    </fill>
    <fill>
      <patternFill patternType="solid">
        <fgColor rgb="FF7030A0"/>
      </patternFill>
    </fill>
    <fill>
      <patternFill patternType="solid">
        <fgColor rgb="FFFFFF99"/>
      </patternFill>
    </fill>
    <fill>
      <patternFill patternType="solid">
        <fgColor rgb="FFFFC000"/>
      </patternFill>
    </fill>
    <fill>
      <patternFill patternType="solid">
        <fgColor rgb="FFFF0000"/>
      </patternFill>
    </fill>
  </fills>
  <borders count="3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2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49" fontId="7" fillId="0" borderId="1" applyAlignment="1" pivotButton="0" quotePrefix="0" xfId="0">
      <alignment horizontal="center" vertical="center"/>
    </xf>
    <xf numFmtId="49" fontId="7" fillId="2" borderId="0" applyAlignment="1" pivotButton="0" quotePrefix="0" xfId="0">
      <alignment horizontal="center" vertical="center"/>
    </xf>
    <xf numFmtId="49" fontId="7" fillId="0" borderId="0" applyAlignment="1" pivotButton="0" quotePrefix="0" xfId="0">
      <alignment horizontal="center" vertical="center"/>
    </xf>
    <xf numFmtId="0" fontId="16" fillId="3" borderId="2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/>
    </xf>
    <xf numFmtId="0" fontId="7" fillId="2" borderId="10" applyAlignment="1" pivotButton="0" quotePrefix="0" xfId="0">
      <alignment horizontal="center" vertical="center"/>
    </xf>
    <xf numFmtId="0" fontId="7" fillId="2" borderId="5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6" pivotButton="0" quotePrefix="0" xfId="0"/>
    <xf numFmtId="0" fontId="22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1" fontId="7" fillId="0" borderId="0" applyAlignment="1" pivotButton="0" quotePrefix="0" xfId="0">
      <alignment horizontal="center" vertical="center" textRotation="180"/>
    </xf>
    <xf numFmtId="1" fontId="7" fillId="0" borderId="1" applyAlignment="1" pivotButton="0" quotePrefix="0" xfId="0">
      <alignment horizontal="center" vertical="center" textRotation="180"/>
    </xf>
    <xf numFmtId="1" fontId="7" fillId="0" borderId="9" applyAlignment="1" pivotButton="0" quotePrefix="0" xfId="0">
      <alignment horizontal="center" vertical="center" textRotation="180"/>
    </xf>
    <xf numFmtId="165" fontId="6" fillId="0" borderId="0" applyAlignment="1" pivotButton="0" quotePrefix="0" xfId="0">
      <alignment horizontal="center" vertical="center" textRotation="180"/>
    </xf>
    <xf numFmtId="0" fontId="6" fillId="0" borderId="7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" vertical="center"/>
    </xf>
    <xf numFmtId="1" fontId="7" fillId="0" borderId="3" applyAlignment="1" pivotButton="0" quotePrefix="0" xfId="0">
      <alignment horizontal="center" vertical="center" textRotation="180"/>
    </xf>
    <xf numFmtId="1" fontId="7" fillId="0" borderId="28" applyAlignment="1" pivotButton="0" quotePrefix="0" xfId="0">
      <alignment horizontal="center" vertical="center" textRotation="180"/>
    </xf>
    <xf numFmtId="1" fontId="7" fillId="0" borderId="29" applyAlignment="1" pivotButton="0" quotePrefix="0" xfId="0">
      <alignment horizontal="center" vertical="center" textRotation="180"/>
    </xf>
    <xf numFmtId="1" fontId="7" fillId="0" borderId="30" applyAlignment="1" pivotButton="0" quotePrefix="0" xfId="0">
      <alignment horizontal="center" vertical="center" textRotation="180"/>
    </xf>
    <xf numFmtId="1" fontId="2" fillId="0" borderId="31" applyAlignment="1" pivotButton="0" quotePrefix="0" xfId="0">
      <alignment horizontal="center" vertical="center" textRotation="180"/>
    </xf>
    <xf numFmtId="1" fontId="2" fillId="0" borderId="30" applyAlignment="1" pivotButton="0" quotePrefix="0" xfId="0">
      <alignment horizontal="center" vertical="center" textRotation="180"/>
    </xf>
    <xf numFmtId="165" fontId="6" fillId="29" borderId="0" applyAlignment="1" pivotButton="0" quotePrefix="0" xfId="0">
      <alignment horizontal="center" vertical="center" textRotation="180"/>
    </xf>
    <xf numFmtId="166" fontId="6" fillId="30" borderId="0" applyAlignment="1" pivotButton="0" quotePrefix="0" xfId="0">
      <alignment horizontal="center" vertical="center" textRotation="180"/>
    </xf>
    <xf numFmtId="167" fontId="6" fillId="30" borderId="0" applyAlignment="1" pivotButton="0" quotePrefix="0" xfId="0">
      <alignment horizontal="center" vertical="center" textRotation="180"/>
    </xf>
    <xf numFmtId="168" fontId="6" fillId="30" borderId="0" applyAlignment="1" pivotButton="0" quotePrefix="0" xfId="0">
      <alignment horizontal="center" vertical="center" textRotation="180"/>
    </xf>
    <xf numFmtId="165" fontId="6" fillId="0" borderId="15" applyAlignment="1" pivotButton="0" quotePrefix="0" xfId="0">
      <alignment horizontal="center" vertical="center" textRotation="180"/>
    </xf>
    <xf numFmtId="165" fontId="6" fillId="0" borderId="16" applyAlignment="1" pivotButton="0" quotePrefix="0" xfId="0">
      <alignment horizontal="center" vertical="center" textRotation="180"/>
    </xf>
    <xf numFmtId="165" fontId="6" fillId="0" borderId="19" applyAlignment="1" pivotButton="0" quotePrefix="0" xfId="0">
      <alignment horizontal="center" vertical="center" textRotation="180"/>
    </xf>
    <xf numFmtId="165" fontId="6" fillId="0" borderId="17" applyAlignment="1" pivotButton="0" quotePrefix="0" xfId="0">
      <alignment horizontal="center" vertical="center" textRotation="180"/>
    </xf>
    <xf numFmtId="165" fontId="6" fillId="0" borderId="18" applyAlignment="1" pivotButton="0" quotePrefix="0" xfId="0">
      <alignment horizontal="center" vertical="center" textRotation="180"/>
    </xf>
    <xf numFmtId="165" fontId="6" fillId="0" borderId="21" applyAlignment="1" pivotButton="0" quotePrefix="0" xfId="0">
      <alignment horizontal="center" vertical="center" textRotation="180"/>
    </xf>
    <xf numFmtId="165" fontId="6" fillId="0" borderId="3" applyAlignment="1" pivotButton="0" quotePrefix="0" xfId="0">
      <alignment horizontal="center" vertical="center" textRotation="180"/>
    </xf>
    <xf numFmtId="165" fontId="6" fillId="0" borderId="20" applyAlignment="1" pivotButton="0" quotePrefix="0" xfId="0">
      <alignment horizontal="center" vertical="center" textRotation="180"/>
    </xf>
    <xf numFmtId="165" fontId="6" fillId="0" borderId="22" applyAlignment="1" pivotButton="0" quotePrefix="0" xfId="0">
      <alignment horizontal="center" vertical="center" textRotation="180"/>
    </xf>
    <xf numFmtId="165" fontId="6" fillId="0" borderId="24" applyAlignment="1" pivotButton="0" quotePrefix="0" xfId="0">
      <alignment horizontal="center" vertical="center" textRotation="180"/>
    </xf>
    <xf numFmtId="165" fontId="6" fillId="0" borderId="23" applyAlignment="1" pivotButton="0" quotePrefix="0" xfId="0">
      <alignment horizontal="center" vertical="center" textRotation="180"/>
    </xf>
    <xf numFmtId="167" fontId="6" fillId="30" borderId="16" applyAlignment="1" pivotButton="0" quotePrefix="0" xfId="0">
      <alignment horizontal="center" vertical="center" textRotation="180"/>
    </xf>
    <xf numFmtId="166" fontId="6" fillId="30" borderId="19" applyAlignment="1" pivotButton="0" quotePrefix="0" xfId="0">
      <alignment horizontal="center" vertical="center" textRotation="180"/>
    </xf>
    <xf numFmtId="166" fontId="6" fillId="30" borderId="18" applyAlignment="1" pivotButton="0" quotePrefix="0" xfId="0">
      <alignment horizontal="center" vertical="center" textRotation="180"/>
    </xf>
    <xf numFmtId="166" fontId="6" fillId="30" borderId="22" applyAlignment="1" pivotButton="0" quotePrefix="0" xfId="0">
      <alignment horizontal="center" vertical="center" textRotation="180"/>
    </xf>
    <xf numFmtId="166" fontId="6" fillId="30" borderId="16" applyAlignment="1" pivotButton="0" quotePrefix="0" xfId="0">
      <alignment horizontal="center" vertical="center" textRotation="180"/>
    </xf>
    <xf numFmtId="166" fontId="6" fillId="30" borderId="21" applyAlignment="1" pivotButton="0" quotePrefix="0" xfId="0">
      <alignment horizontal="center" vertical="center" textRotation="180"/>
    </xf>
    <xf numFmtId="166" fontId="6" fillId="30" borderId="20" applyAlignment="1" pivotButton="0" quotePrefix="0" xfId="0">
      <alignment horizontal="center" vertical="center" textRotation="180"/>
    </xf>
    <xf numFmtId="166" fontId="6" fillId="30" borderId="24" applyAlignment="1" pivotButton="0" quotePrefix="0" xfId="0">
      <alignment horizontal="center" vertical="center" textRotation="180"/>
    </xf>
    <xf numFmtId="167" fontId="6" fillId="30" borderId="18" applyAlignment="1" pivotButton="0" quotePrefix="0" xfId="0">
      <alignment horizontal="center" vertical="center" textRotation="180"/>
    </xf>
    <xf numFmtId="166" fontId="6" fillId="30" borderId="23" applyAlignment="1" pivotButton="0" quotePrefix="0" xfId="0">
      <alignment horizontal="center" vertical="center" textRotation="180"/>
    </xf>
    <xf numFmtId="167" fontId="6" fillId="30" borderId="23" applyAlignment="1" pivotButton="0" quotePrefix="0" xfId="0">
      <alignment horizontal="center" vertical="center" textRotation="180"/>
    </xf>
    <xf numFmtId="167" fontId="6" fillId="30" borderId="22" applyAlignment="1" pivotButton="0" quotePrefix="0" xfId="0">
      <alignment horizontal="center" vertical="center" textRotation="180"/>
    </xf>
    <xf numFmtId="168" fontId="6" fillId="30" borderId="16" applyAlignment="1" pivotButton="0" quotePrefix="0" xfId="0">
      <alignment horizontal="center" vertical="center" textRotation="180"/>
    </xf>
    <xf numFmtId="167" fontId="6" fillId="30" borderId="20" applyAlignment="1" pivotButton="0" quotePrefix="0" xfId="0">
      <alignment horizontal="center" vertical="center" textRotation="180"/>
    </xf>
    <xf numFmtId="165" fontId="6" fillId="29" borderId="21" applyAlignment="1" pivotButton="0" quotePrefix="0" xfId="0">
      <alignment horizontal="center" vertical="center" textRotation="180"/>
    </xf>
    <xf numFmtId="165" fontId="6" fillId="29" borderId="3" applyAlignment="1" pivotButton="0" quotePrefix="0" xfId="0">
      <alignment horizontal="center" vertical="center" textRotation="180"/>
    </xf>
    <xf numFmtId="165" fontId="6" fillId="29" borderId="20" applyAlignment="1" pivotButton="0" quotePrefix="0" xfId="0">
      <alignment horizontal="center" vertical="center" textRotation="180"/>
    </xf>
    <xf numFmtId="165" fontId="6" fillId="29" borderId="18" applyAlignment="1" pivotButton="0" quotePrefix="0" xfId="0">
      <alignment horizontal="center" vertical="center" textRotation="180"/>
    </xf>
    <xf numFmtId="165" fontId="6" fillId="29" borderId="19" applyAlignment="1" pivotButton="0" quotePrefix="0" xfId="0">
      <alignment horizontal="center" vertical="center" textRotation="180"/>
    </xf>
    <xf numFmtId="165" fontId="6" fillId="29" borderId="24" applyAlignment="1" pivotButton="0" quotePrefix="0" xfId="0">
      <alignment horizontal="center" vertical="center" textRotation="180"/>
    </xf>
    <xf numFmtId="165" fontId="6" fillId="29" borderId="16" applyAlignment="1" pivotButton="0" quotePrefix="0" xfId="0">
      <alignment horizontal="center" vertical="center" textRotation="180"/>
    </xf>
    <xf numFmtId="165" fontId="6" fillId="29" borderId="23" applyAlignment="1" pivotButton="0" quotePrefix="0" xfId="0">
      <alignment horizontal="center" vertical="center" textRotation="180"/>
    </xf>
    <xf numFmtId="165" fontId="6" fillId="29" borderId="22" applyAlignment="1" pivotButton="0" quotePrefix="0" xfId="0">
      <alignment horizontal="center" vertical="center" textRotation="180"/>
    </xf>
    <xf numFmtId="165" fontId="6" fillId="29" borderId="15" applyAlignment="1" pivotButton="0" quotePrefix="0" xfId="0">
      <alignment horizontal="center" vertical="center" textRotation="180"/>
    </xf>
    <xf numFmtId="165" fontId="6" fillId="29" borderId="17" applyAlignment="1" pivotButton="0" quotePrefix="0" xfId="0">
      <alignment horizontal="center" vertical="center" textRotation="180"/>
    </xf>
    <xf numFmtId="168" fontId="6" fillId="30" borderId="18" applyAlignment="1" pivotButton="0" quotePrefix="0" xfId="0">
      <alignment horizontal="center" vertical="center" textRotation="180"/>
    </xf>
    <xf numFmtId="166" fontId="6" fillId="30" borderId="17" applyAlignment="1" pivotButton="0" quotePrefix="0" xfId="0">
      <alignment horizontal="center" vertical="center" textRotation="180"/>
    </xf>
    <xf numFmtId="166" fontId="6" fillId="30" borderId="3" applyAlignment="1" pivotButton="0" quotePrefix="0" xfId="0">
      <alignment horizontal="center" vertical="center" textRotation="180"/>
    </xf>
    <xf numFmtId="166" fontId="6" fillId="30" borderId="15" applyAlignment="1" pivotButton="0" quotePrefix="0" xfId="0">
      <alignment horizontal="center" vertical="center" textRotation="180"/>
    </xf>
    <xf numFmtId="167" fontId="6" fillId="30" borderId="21" applyAlignment="1" pivotButton="0" quotePrefix="0" xfId="0">
      <alignment horizontal="center" vertical="center" textRotation="180"/>
    </xf>
    <xf numFmtId="167" fontId="6" fillId="30" borderId="24" applyAlignment="1" pivotButton="0" quotePrefix="0" xfId="0">
      <alignment horizontal="center" vertical="center" textRotation="180"/>
    </xf>
    <xf numFmtId="167" fontId="6" fillId="30" borderId="19" applyAlignment="1" pivotButton="0" quotePrefix="0" xfId="0">
      <alignment horizontal="center" vertical="center" textRotation="180"/>
    </xf>
    <xf numFmtId="166" fontId="6" fillId="31" borderId="19" applyAlignment="1" pivotButton="0" quotePrefix="0" xfId="0">
      <alignment horizontal="center" vertical="center" textRotation="180"/>
    </xf>
    <xf numFmtId="166" fontId="6" fillId="31" borderId="24" applyAlignment="1" pivotButton="0" quotePrefix="0" xfId="0">
      <alignment horizontal="center" vertical="center" textRotation="180"/>
    </xf>
    <xf numFmtId="168" fontId="6" fillId="30" borderId="23" applyAlignment="1" pivotButton="0" quotePrefix="0" xfId="0">
      <alignment horizontal="center" vertical="center" textRotation="180"/>
    </xf>
    <xf numFmtId="168" fontId="6" fillId="30" borderId="21" applyAlignment="1" pivotButton="0" quotePrefix="0" xfId="0">
      <alignment horizontal="center" vertical="center" textRotation="180"/>
    </xf>
    <xf numFmtId="168" fontId="6" fillId="30" borderId="22" applyAlignment="1" pivotButton="0" quotePrefix="0" xfId="0">
      <alignment horizontal="center" vertical="center" textRotation="180"/>
    </xf>
    <xf numFmtId="168" fontId="6" fillId="30" borderId="24" applyAlignment="1" pivotButton="0" quotePrefix="0" xfId="0">
      <alignment horizontal="center" vertical="center" textRotation="180"/>
    </xf>
    <xf numFmtId="167" fontId="6" fillId="30" borderId="3" applyAlignment="1" pivotButton="0" quotePrefix="0" xfId="0">
      <alignment horizontal="center" vertical="center" textRotation="180"/>
    </xf>
    <xf numFmtId="166" fontId="6" fillId="31" borderId="18" applyAlignment="1" pivotButton="0" quotePrefix="0" xfId="0">
      <alignment horizontal="center" vertical="center" textRotation="180"/>
    </xf>
    <xf numFmtId="168" fontId="6" fillId="30" borderId="19" applyAlignment="1" pivotButton="0" quotePrefix="0" xfId="0">
      <alignment horizontal="center" vertical="center" textRotation="180"/>
    </xf>
    <xf numFmtId="166" fontId="6" fillId="31" borderId="16" applyAlignment="1" pivotButton="0" quotePrefix="0" xfId="0">
      <alignment horizontal="center" vertical="center" textRotation="180"/>
    </xf>
    <xf numFmtId="167" fontId="6" fillId="31" borderId="16" applyAlignment="1" pivotButton="0" quotePrefix="0" xfId="0">
      <alignment horizontal="center" vertical="center" textRotation="180"/>
    </xf>
    <xf numFmtId="165" fontId="14" fillId="9" borderId="2" applyAlignment="1" pivotButton="0" quotePrefix="0" xfId="0">
      <alignment horizontal="center" vertical="center"/>
    </xf>
    <xf numFmtId="165" fontId="14" fillId="20" borderId="2" applyAlignment="1" pivotButton="0" quotePrefix="0" xfId="0">
      <alignment horizontal="center" vertical="center"/>
    </xf>
    <xf numFmtId="165" fontId="14" fillId="21" borderId="2" applyAlignment="1" pivotButton="0" quotePrefix="0" xfId="0">
      <alignment horizontal="center" vertical="center"/>
    </xf>
    <xf numFmtId="165" fontId="14" fillId="22" borderId="2" applyAlignment="1" pivotButton="0" quotePrefix="0" xfId="0">
      <alignment horizontal="center" vertical="center"/>
    </xf>
    <xf numFmtId="165" fontId="14" fillId="23" borderId="2" applyAlignment="1" pivotButton="0" quotePrefix="0" xfId="0">
      <alignment horizontal="center" vertical="center"/>
    </xf>
    <xf numFmtId="1" fontId="7" fillId="0" borderId="20" applyAlignment="1" pivotButton="0" quotePrefix="0" xfId="0">
      <alignment horizontal="center" vertical="center" textRotation="180"/>
    </xf>
    <xf numFmtId="1" fontId="7" fillId="0" borderId="33" applyAlignment="1" pivotButton="0" quotePrefix="0" xfId="0">
      <alignment horizontal="center" vertical="center" textRotation="180"/>
    </xf>
    <xf numFmtId="1" fontId="7" fillId="0" borderId="32" applyAlignment="1" pivotButton="0" quotePrefix="0" xfId="0">
      <alignment horizontal="center" vertical="center" textRotation="180"/>
    </xf>
    <xf numFmtId="1" fontId="7" fillId="0" borderId="34" applyAlignment="1" pivotButton="0" quotePrefix="0" xfId="0">
      <alignment horizontal="center" vertical="center" textRotation="180"/>
    </xf>
    <xf numFmtId="165" fontId="6" fillId="32" borderId="22" applyAlignment="1" pivotButton="0" quotePrefix="0" xfId="0">
      <alignment horizontal="center" vertical="center" textRotation="180"/>
    </xf>
    <xf numFmtId="165" fontId="6" fillId="32" borderId="16" applyAlignment="1" pivotButton="0" quotePrefix="0" xfId="0">
      <alignment horizontal="center" vertical="center" textRotation="180"/>
    </xf>
    <xf numFmtId="165" fontId="6" fillId="32" borderId="19" applyAlignment="1" pivotButton="0" quotePrefix="0" xfId="0">
      <alignment horizontal="center" vertical="center" textRotation="180"/>
    </xf>
    <xf numFmtId="165" fontId="6" fillId="32" borderId="0" applyAlignment="1" pivotButton="0" quotePrefix="0" xfId="0">
      <alignment horizontal="center" vertical="center" textRotation="180"/>
    </xf>
    <xf numFmtId="165" fontId="6" fillId="32" borderId="20" applyAlignment="1" pivotButton="0" quotePrefix="0" xfId="0">
      <alignment horizontal="center" vertical="center" textRotation="180"/>
    </xf>
    <xf numFmtId="165" fontId="6" fillId="32" borderId="23" applyAlignment="1" pivotButton="0" quotePrefix="0" xfId="0">
      <alignment horizontal="center" vertical="center" textRotation="180"/>
    </xf>
    <xf numFmtId="165" fontId="6" fillId="32" borderId="18" applyAlignment="1" pivotButton="0" quotePrefix="0" xfId="0">
      <alignment horizontal="center" vertical="center" textRotation="180"/>
    </xf>
    <xf numFmtId="165" fontId="6" fillId="32" borderId="21" applyAlignment="1" pivotButton="0" quotePrefix="0" xfId="0">
      <alignment horizontal="center" vertical="center" textRotation="180"/>
    </xf>
    <xf numFmtId="165" fontId="6" fillId="32" borderId="24" applyAlignment="1" pivotButton="0" quotePrefix="0" xfId="0">
      <alignment horizontal="center" vertical="center" textRotation="180"/>
    </xf>
    <xf numFmtId="165" fontId="6" fillId="32" borderId="3" applyAlignment="1" pivotButton="0" quotePrefix="0" xfId="0">
      <alignment horizontal="center" vertical="center" textRotation="180"/>
    </xf>
    <xf numFmtId="165" fontId="6" fillId="32" borderId="15" applyAlignment="1" pivotButton="0" quotePrefix="0" xfId="0">
      <alignment horizontal="center" vertical="center" textRotation="180"/>
    </xf>
    <xf numFmtId="165" fontId="6" fillId="32" borderId="17" applyAlignment="1" pivotButton="0" quotePrefix="0" xfId="0">
      <alignment horizontal="center" vertical="center" textRotation="180"/>
    </xf>
    <xf numFmtId="166" fontId="6" fillId="36" borderId="15" applyAlignment="1" pivotButton="0" quotePrefix="0" xfId="0">
      <alignment horizontal="center" vertical="center" textRotation="180"/>
    </xf>
    <xf numFmtId="166" fontId="6" fillId="36" borderId="16" applyAlignment="1" pivotButton="0" quotePrefix="0" xfId="0">
      <alignment horizontal="center" vertical="center" textRotation="180"/>
    </xf>
    <xf numFmtId="165" fontId="6" fillId="30" borderId="16" applyAlignment="1" pivotButton="0" quotePrefix="0" xfId="0">
      <alignment horizontal="center" vertical="center" textRotation="180"/>
    </xf>
    <xf numFmtId="165" fontId="6" fillId="30" borderId="19" applyAlignment="1" pivotButton="0" quotePrefix="0" xfId="0">
      <alignment horizontal="center" vertical="center" textRotation="180"/>
    </xf>
    <xf numFmtId="166" fontId="6" fillId="36" borderId="19" applyAlignment="1" pivotButton="0" quotePrefix="0" xfId="0">
      <alignment horizontal="center" vertical="center" textRotation="180"/>
    </xf>
    <xf numFmtId="165" fontId="6" fillId="30" borderId="22" applyAlignment="1" pivotButton="0" quotePrefix="0" xfId="0">
      <alignment horizontal="center" vertical="center" textRotation="180"/>
    </xf>
    <xf numFmtId="167" fontId="6" fillId="36" borderId="16" applyAlignment="1" pivotButton="0" quotePrefix="0" xfId="0">
      <alignment horizontal="center" vertical="center" textRotation="180"/>
    </xf>
    <xf numFmtId="166" fontId="6" fillId="36" borderId="22" applyAlignment="1" pivotButton="0" quotePrefix="0" xfId="0">
      <alignment horizontal="center" vertical="center" textRotation="180"/>
    </xf>
    <xf numFmtId="166" fontId="6" fillId="36" borderId="3" applyAlignment="1" pivotButton="0" quotePrefix="0" xfId="0">
      <alignment horizontal="center" vertical="center" textRotation="180"/>
    </xf>
    <xf numFmtId="166" fontId="6" fillId="36" borderId="0" applyAlignment="1" pivotButton="0" quotePrefix="0" xfId="0">
      <alignment horizontal="center" vertical="center" textRotation="180"/>
    </xf>
    <xf numFmtId="165" fontId="6" fillId="30" borderId="20" applyAlignment="1" pivotButton="0" quotePrefix="0" xfId="0">
      <alignment horizontal="center" vertical="center" textRotation="180"/>
    </xf>
    <xf numFmtId="166" fontId="6" fillId="36" borderId="23" applyAlignment="1" pivotButton="0" quotePrefix="0" xfId="0">
      <alignment horizontal="center" vertical="center" textRotation="180"/>
    </xf>
    <xf numFmtId="165" fontId="6" fillId="30" borderId="0" applyAlignment="1" pivotButton="0" quotePrefix="0" xfId="0">
      <alignment horizontal="center" vertical="center" textRotation="180"/>
    </xf>
    <xf numFmtId="166" fontId="6" fillId="36" borderId="20" applyAlignment="1" pivotButton="0" quotePrefix="0" xfId="0">
      <alignment horizontal="center" vertical="center" textRotation="180"/>
    </xf>
    <xf numFmtId="166" fontId="6" fillId="36" borderId="17" applyAlignment="1" pivotButton="0" quotePrefix="0" xfId="0">
      <alignment horizontal="center" vertical="center" textRotation="180"/>
    </xf>
    <xf numFmtId="165" fontId="6" fillId="30" borderId="18" applyAlignment="1" pivotButton="0" quotePrefix="0" xfId="0">
      <alignment horizontal="center" vertical="center" textRotation="180"/>
    </xf>
    <xf numFmtId="166" fontId="6" fillId="36" borderId="18" applyAlignment="1" pivotButton="0" quotePrefix="0" xfId="0">
      <alignment horizontal="center" vertical="center" textRotation="180"/>
    </xf>
    <xf numFmtId="166" fontId="6" fillId="36" borderId="21" applyAlignment="1" pivotButton="0" quotePrefix="0" xfId="0">
      <alignment horizontal="center" vertical="center" textRotation="180"/>
    </xf>
    <xf numFmtId="167" fontId="6" fillId="36" borderId="18" applyAlignment="1" pivotButton="0" quotePrefix="0" xfId="0">
      <alignment horizontal="center" vertical="center" textRotation="180"/>
    </xf>
    <xf numFmtId="167" fontId="6" fillId="36" borderId="22" applyAlignment="1" pivotButton="0" quotePrefix="0" xfId="0">
      <alignment horizontal="center" vertical="center" textRotation="180"/>
    </xf>
    <xf numFmtId="167" fontId="6" fillId="36" borderId="0" applyAlignment="1" pivotButton="0" quotePrefix="0" xfId="0">
      <alignment horizontal="center" vertical="center" textRotation="180"/>
    </xf>
    <xf numFmtId="167" fontId="6" fillId="36" borderId="20" applyAlignment="1" pivotButton="0" quotePrefix="0" xfId="0">
      <alignment horizontal="center" vertical="center" textRotation="180"/>
    </xf>
    <xf numFmtId="165" fontId="6" fillId="30" borderId="23" applyAlignment="1" pivotButton="0" quotePrefix="0" xfId="0">
      <alignment horizontal="center" vertical="center" textRotation="180"/>
    </xf>
    <xf numFmtId="166" fontId="6" fillId="36" borderId="24" applyAlignment="1" pivotButton="0" quotePrefix="0" xfId="0">
      <alignment horizontal="center" vertical="center" textRotation="180"/>
    </xf>
    <xf numFmtId="166" fontId="6" fillId="37" borderId="15" applyAlignment="1" pivotButton="0" quotePrefix="0" xfId="0">
      <alignment horizontal="center" vertical="center" textRotation="180"/>
    </xf>
    <xf numFmtId="166" fontId="6" fillId="37" borderId="16" applyAlignment="1" pivotButton="0" quotePrefix="0" xfId="0">
      <alignment horizontal="center" vertical="center" textRotation="180"/>
    </xf>
    <xf numFmtId="166" fontId="6" fillId="31" borderId="22" applyAlignment="1" pivotButton="0" quotePrefix="0" xfId="0">
      <alignment horizontal="center" vertical="center" textRotation="180"/>
    </xf>
    <xf numFmtId="167" fontId="6" fillId="36" borderId="23" applyAlignment="1" pivotButton="0" quotePrefix="0" xfId="0">
      <alignment horizontal="center" vertical="center" textRotation="180"/>
    </xf>
    <xf numFmtId="166" fontId="6" fillId="31" borderId="20" applyAlignment="1" pivotButton="0" quotePrefix="0" xfId="0">
      <alignment horizontal="center" vertical="center" textRotation="180"/>
    </xf>
    <xf numFmtId="168" fontId="6" fillId="30" borderId="17" applyAlignment="1" pivotButton="0" quotePrefix="0" xfId="0">
      <alignment horizontal="center" vertical="center" textRotation="180"/>
    </xf>
    <xf numFmtId="167" fontId="6" fillId="36" borderId="24" applyAlignment="1" pivotButton="0" quotePrefix="0" xfId="0">
      <alignment horizontal="center" vertical="center" textRotation="180"/>
    </xf>
    <xf numFmtId="166" fontId="6" fillId="37" borderId="18" applyAlignment="1" pivotButton="0" quotePrefix="0" xfId="0">
      <alignment horizontal="center" vertical="center" textRotation="180"/>
    </xf>
    <xf numFmtId="166" fontId="6" fillId="37" borderId="21" applyAlignment="1" pivotButton="0" quotePrefix="0" xfId="0">
      <alignment horizontal="center" vertical="center" textRotation="180"/>
    </xf>
    <xf numFmtId="166" fontId="6" fillId="37" borderId="24" applyAlignment="1" pivotButton="0" quotePrefix="0" xfId="0">
      <alignment horizontal="center" vertical="center" textRotation="180"/>
    </xf>
    <xf numFmtId="168" fontId="6" fillId="36" borderId="19" applyAlignment="1" pivotButton="0" quotePrefix="0" xfId="0">
      <alignment horizontal="center" vertical="center" textRotation="180"/>
    </xf>
    <xf numFmtId="168" fontId="6" fillId="36" borderId="16" applyAlignment="1" pivotButton="0" quotePrefix="0" xfId="0">
      <alignment horizontal="center" vertical="center" textRotation="180"/>
    </xf>
    <xf numFmtId="166" fontId="6" fillId="31" borderId="23" applyAlignment="1" pivotButton="0" quotePrefix="0" xfId="0">
      <alignment horizontal="center" vertical="center" textRotation="180"/>
    </xf>
    <xf numFmtId="166" fontId="6" fillId="37" borderId="17" applyAlignment="1" pivotButton="0" quotePrefix="0" xfId="0">
      <alignment horizontal="center" vertical="center" textRotation="180"/>
    </xf>
    <xf numFmtId="165" fontId="6" fillId="30" borderId="24" applyAlignment="1" pivotButton="0" quotePrefix="0" xfId="0">
      <alignment horizontal="center" vertical="center" textRotation="180"/>
    </xf>
    <xf numFmtId="168" fontId="6" fillId="36" borderId="24" applyAlignment="1" pivotButton="0" quotePrefix="0" xfId="0">
      <alignment horizontal="center" vertical="center" textRotation="180"/>
    </xf>
    <xf numFmtId="166" fontId="6" fillId="31" borderId="21" applyAlignment="1" pivotButton="0" quotePrefix="0" xfId="0">
      <alignment horizontal="center" vertical="center" textRotation="180"/>
    </xf>
    <xf numFmtId="165" fontId="6" fillId="30" borderId="21" applyAlignment="1" pivotButton="0" quotePrefix="0" xfId="0">
      <alignment horizontal="center" vertical="center" textRotation="180"/>
    </xf>
    <xf numFmtId="165" fontId="6" fillId="30" borderId="15" applyAlignment="1" pivotButton="0" quotePrefix="0" xfId="0">
      <alignment horizontal="center" vertical="center" textRotation="180"/>
    </xf>
    <xf numFmtId="166" fontId="26" fillId="38" borderId="22" applyAlignment="1" pivotButton="0" quotePrefix="0" xfId="0">
      <alignment horizontal="center" vertical="center" textRotation="180"/>
    </xf>
    <xf numFmtId="166" fontId="26" fillId="38" borderId="23" applyAlignment="1" pivotButton="0" quotePrefix="0" xfId="0">
      <alignment horizontal="center" vertical="center" textRotation="180"/>
    </xf>
    <xf numFmtId="166" fontId="6" fillId="31" borderId="0" applyAlignment="1" pivotButton="0" quotePrefix="0" xfId="0">
      <alignment horizontal="center" vertical="center" textRotation="180"/>
    </xf>
    <xf numFmtId="166" fontId="26" fillId="38" borderId="24" applyAlignment="1" pivotButton="0" quotePrefix="0" xfId="0">
      <alignment horizontal="center" vertical="center" textRotation="180"/>
    </xf>
    <xf numFmtId="166" fontId="26" fillId="38" borderId="21" applyAlignment="1" pivotButton="0" quotePrefix="0" xfId="0">
      <alignment horizontal="center" vertical="center" textRotation="180"/>
    </xf>
    <xf numFmtId="165" fontId="6" fillId="31" borderId="19" applyAlignment="1" pivotButton="0" quotePrefix="0" xfId="0">
      <alignment horizontal="center" vertical="center" textRotation="180"/>
    </xf>
    <xf numFmtId="167" fontId="6" fillId="31" borderId="0" applyAlignment="1" pivotButton="0" quotePrefix="0" xfId="0">
      <alignment horizontal="center" vertical="center" textRotation="180"/>
    </xf>
    <xf numFmtId="167" fontId="6" fillId="36" borderId="21" applyAlignment="1" pivotButton="0" quotePrefix="0" xfId="0">
      <alignment horizontal="center" vertical="center" textRotation="180"/>
    </xf>
    <xf numFmtId="166" fontId="6" fillId="37" borderId="23" applyAlignment="1" pivotButton="0" quotePrefix="0" xfId="0">
      <alignment horizontal="center" vertical="center" textRotation="180"/>
    </xf>
    <xf numFmtId="168" fontId="6" fillId="36" borderId="0" applyAlignment="1" pivotButton="0" quotePrefix="0" xfId="0">
      <alignment horizontal="center" vertical="center" textRotation="180"/>
    </xf>
    <xf numFmtId="166" fontId="6" fillId="37" borderId="20" applyAlignment="1" pivotButton="0" quotePrefix="0" xfId="0">
      <alignment horizontal="center" vertical="center" textRotation="180"/>
    </xf>
    <xf numFmtId="166" fontId="6" fillId="37" borderId="19" applyAlignment="1" pivotButton="0" quotePrefix="0" xfId="0">
      <alignment horizontal="center" vertical="center" textRotation="180"/>
    </xf>
    <xf numFmtId="167" fontId="26" fillId="38" borderId="21" applyAlignment="1" pivotButton="0" quotePrefix="0" xfId="0">
      <alignment horizontal="center" vertical="center" textRotation="180"/>
    </xf>
    <xf numFmtId="167" fontId="6" fillId="31" borderId="18" applyAlignment="1" pivotButton="0" quotePrefix="0" xfId="0">
      <alignment horizontal="center" vertical="center" textRotation="180"/>
    </xf>
    <xf numFmtId="167" fontId="6" fillId="30" borderId="17" applyAlignment="1" pivotButton="0" quotePrefix="0" xfId="0">
      <alignment horizontal="center" vertical="center" textRotation="180"/>
    </xf>
    <xf numFmtId="167" fontId="6" fillId="31" borderId="15" applyAlignment="1" pivotButton="0" quotePrefix="0" xfId="0">
      <alignment horizontal="center" vertical="center" textRotation="180"/>
    </xf>
    <xf numFmtId="166" fontId="6" fillId="31" borderId="3" applyAlignment="1" pivotButton="0" quotePrefix="0" xfId="0">
      <alignment horizontal="center" vertical="center" textRotation="180"/>
    </xf>
    <xf numFmtId="165" fontId="6" fillId="30" borderId="3" applyAlignment="1" pivotButton="0" quotePrefix="0" xfId="0">
      <alignment horizontal="center" vertical="center" textRotation="180"/>
    </xf>
    <xf numFmtId="166" fontId="6" fillId="37" borderId="0" applyAlignment="1" pivotButton="0" quotePrefix="0" xfId="0">
      <alignment horizontal="center" vertical="center" textRotation="180"/>
    </xf>
    <xf numFmtId="168" fontId="6" fillId="36" borderId="18" applyAlignment="1" pivotButton="0" quotePrefix="0" xfId="0">
      <alignment horizontal="center" vertical="center" textRotation="180"/>
    </xf>
    <xf numFmtId="167" fontId="6" fillId="37" borderId="3" applyAlignment="1" pivotButton="0" quotePrefix="0" xfId="0">
      <alignment horizontal="center" vertical="center" textRotation="180"/>
    </xf>
    <xf numFmtId="168" fontId="6" fillId="36" borderId="20" applyAlignment="1" pivotButton="0" quotePrefix="0" xfId="0">
      <alignment horizontal="center" vertical="center" textRotation="180"/>
    </xf>
    <xf numFmtId="167" fontId="6" fillId="36" borderId="19" applyAlignment="1" pivotButton="0" quotePrefix="0" xfId="0">
      <alignment horizontal="center" vertical="center" textRotation="180"/>
    </xf>
    <xf numFmtId="167" fontId="6" fillId="37" borderId="0" applyAlignment="1" pivotButton="0" quotePrefix="0" xfId="0">
      <alignment horizontal="center" vertical="center" textRotation="180"/>
    </xf>
    <xf numFmtId="166" fontId="6" fillId="31" borderId="15" applyAlignment="1" pivotButton="0" quotePrefix="0" xfId="0">
      <alignment horizontal="center" vertical="center" textRotation="180"/>
    </xf>
    <xf numFmtId="165" fontId="6" fillId="31" borderId="24" applyAlignment="1" pivotButton="0" quotePrefix="0" xfId="0">
      <alignment horizontal="center" vertical="center" textRotation="180"/>
    </xf>
    <xf numFmtId="168" fontId="6" fillId="36" borderId="22" applyAlignment="1" pivotButton="0" quotePrefix="0" xfId="0">
      <alignment horizontal="center" vertical="center" textRotation="180"/>
    </xf>
    <xf numFmtId="0" fontId="2" fillId="0" borderId="10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165" fontId="17" fillId="0" borderId="12" applyAlignment="1" pivotButton="0" quotePrefix="0" xfId="0">
      <alignment horizontal="center" vertical="center" textRotation="180"/>
    </xf>
    <xf numFmtId="165" fontId="6" fillId="19" borderId="25" applyAlignment="1" pivotButton="0" quotePrefix="0" xfId="0">
      <alignment horizontal="center" vertical="center" textRotation="180"/>
    </xf>
    <xf numFmtId="165" fontId="6" fillId="19" borderId="26" applyAlignment="1" pivotButton="0" quotePrefix="0" xfId="0">
      <alignment horizontal="center" vertical="center" textRotation="180"/>
    </xf>
    <xf numFmtId="165" fontId="6" fillId="19" borderId="27" applyAlignment="1" pivotButton="0" quotePrefix="0" xfId="0">
      <alignment horizontal="center" vertical="center" textRotation="180"/>
    </xf>
    <xf numFmtId="0" fontId="9" fillId="0" borderId="10" applyAlignment="1" pivotButton="0" quotePrefix="0" xfId="0">
      <alignment horizontal="center" vertical="center" shrinkToFit="1"/>
    </xf>
    <xf numFmtId="0" fontId="9" fillId="0" borderId="13" applyAlignment="1" pivotButton="0" quotePrefix="0" xfId="0">
      <alignment horizontal="center" vertical="center" shrinkToFit="1"/>
    </xf>
    <xf numFmtId="0" fontId="9" fillId="0" borderId="14" applyAlignment="1" pivotButton="0" quotePrefix="0" xfId="0">
      <alignment horizontal="center" vertical="center" shrinkToFit="1"/>
    </xf>
    <xf numFmtId="0" fontId="3" fillId="4" borderId="3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4" borderId="7" applyAlignment="1" pivotButton="0" quotePrefix="0" xfId="0">
      <alignment horizontal="center" vertical="center"/>
    </xf>
    <xf numFmtId="0" fontId="13" fillId="4" borderId="5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center" vertical="center" wrapText="1"/>
    </xf>
    <xf numFmtId="0" fontId="13" fillId="4" borderId="9" applyAlignment="1" pivotButton="0" quotePrefix="0" xfId="0">
      <alignment horizontal="center" vertical="center" wrapText="1"/>
    </xf>
    <xf numFmtId="165" fontId="3" fillId="4" borderId="3" applyAlignment="1" pivotButton="0" quotePrefix="0" xfId="0">
      <alignment horizontal="center" vertical="center"/>
    </xf>
    <xf numFmtId="165" fontId="3" fillId="4" borderId="0" applyAlignment="1" pivotButton="0" quotePrefix="0" xfId="0">
      <alignment horizontal="center" vertical="center"/>
    </xf>
    <xf numFmtId="165" fontId="3" fillId="4" borderId="7" applyAlignment="1" pivotButton="0" quotePrefix="0" xfId="0">
      <alignment horizontal="center" vertical="center"/>
    </xf>
    <xf numFmtId="0" fontId="3" fillId="4" borderId="6" applyAlignment="1" pivotButton="0" quotePrefix="0" xfId="0">
      <alignment horizontal="center" vertical="center" shrinkToFit="1"/>
    </xf>
    <xf numFmtId="0" fontId="3" fillId="4" borderId="4" applyAlignment="1" pivotButton="0" quotePrefix="0" xfId="0">
      <alignment horizontal="center" vertical="center" shrinkToFit="1"/>
    </xf>
    <xf numFmtId="0" fontId="3" fillId="4" borderId="11" applyAlignment="1" pivotButton="0" quotePrefix="0" xfId="0">
      <alignment horizontal="center" vertical="center" shrinkToFit="1"/>
    </xf>
    <xf numFmtId="0" fontId="7" fillId="0" borderId="1" applyAlignment="1" pivotButton="0" quotePrefix="0" xfId="0">
      <alignment horizontal="left" vertical="center" wrapText="1"/>
    </xf>
    <xf numFmtId="0" fontId="7" fillId="0" borderId="9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7" fillId="0" borderId="7" applyAlignment="1" pivotButton="0" quotePrefix="0" xfId="0">
      <alignment horizontal="left" vertical="center" wrapText="1"/>
    </xf>
    <xf numFmtId="0" fontId="7" fillId="0" borderId="4" applyAlignment="1" pivotButton="0" quotePrefix="0" xfId="0">
      <alignment horizontal="left" vertical="center" wrapText="1"/>
    </xf>
    <xf numFmtId="0" fontId="7" fillId="0" borderId="11" applyAlignment="1" pivotButton="0" quotePrefix="0" xfId="0">
      <alignment horizontal="left" vertical="center" wrapText="1"/>
    </xf>
    <xf numFmtId="49" fontId="9" fillId="2" borderId="13" applyAlignment="1" pivotButton="0" quotePrefix="0" xfId="0">
      <alignment horizontal="center" vertical="center" shrinkToFit="1"/>
    </xf>
    <xf numFmtId="49" fontId="9" fillId="2" borderId="14" applyAlignment="1" pivotButton="0" quotePrefix="0" xfId="0">
      <alignment horizontal="center" vertical="center" shrinkToFit="1"/>
    </xf>
    <xf numFmtId="0" fontId="1" fillId="0" borderId="5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8" fillId="4" borderId="5" applyAlignment="1" pivotButton="0" quotePrefix="0" xfId="0">
      <alignment horizontal="center" vertical="center"/>
    </xf>
    <xf numFmtId="0" fontId="18" fillId="4" borderId="9" applyAlignment="1" pivotButton="0" quotePrefix="0" xfId="0">
      <alignment horizontal="center" vertical="center"/>
    </xf>
    <xf numFmtId="0" fontId="18" fillId="4" borderId="6" applyAlignment="1" pivotButton="0" quotePrefix="0" xfId="0">
      <alignment horizontal="center" vertical="center"/>
    </xf>
    <xf numFmtId="0" fontId="18" fillId="4" borderId="11" applyAlignment="1" pivotButton="0" quotePrefix="0" xfId="0">
      <alignment horizontal="center" vertical="center"/>
    </xf>
    <xf numFmtId="49" fontId="6" fillId="0" borderId="10" applyAlignment="1" pivotButton="0" quotePrefix="0" xfId="0">
      <alignment horizontal="center" vertical="center"/>
    </xf>
    <xf numFmtId="49" fontId="6" fillId="0" borderId="13" applyAlignment="1" pivotButton="0" quotePrefix="0" xfId="0">
      <alignment horizontal="center" vertical="center"/>
    </xf>
    <xf numFmtId="49" fontId="6" fillId="0" borderId="14" applyAlignment="1" pivotButton="0" quotePrefix="0" xfId="0">
      <alignment horizontal="center" vertical="center"/>
    </xf>
    <xf numFmtId="164" fontId="6" fillId="0" borderId="10" applyAlignment="1" pivotButton="0" quotePrefix="0" xfId="0">
      <alignment horizontal="center" vertical="center"/>
    </xf>
    <xf numFmtId="164" fontId="6" fillId="0" borderId="13" applyAlignment="1" pivotButton="0" quotePrefix="0" xfId="0">
      <alignment horizontal="center" vertical="center"/>
    </xf>
    <xf numFmtId="164" fontId="6" fillId="0" borderId="14" applyAlignment="1" pivotButton="0" quotePrefix="0" xfId="0">
      <alignment horizontal="center" vertical="center"/>
    </xf>
    <xf numFmtId="165" fontId="14" fillId="24" borderId="2" applyAlignment="1" pivotButton="0" quotePrefix="0" xfId="0">
      <alignment horizontal="center" vertical="center"/>
    </xf>
    <xf numFmtId="165" fontId="14" fillId="16" borderId="2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1" fillId="0" borderId="9" applyAlignment="1" pivotButton="0" quotePrefix="0" xfId="0">
      <alignment horizontal="center" vertical="center"/>
    </xf>
    <xf numFmtId="0" fontId="14" fillId="0" borderId="5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4" fillId="0" borderId="9" applyAlignment="1" pivotButton="0" quotePrefix="0" xfId="0">
      <alignment horizontal="center" vertical="center"/>
    </xf>
    <xf numFmtId="0" fontId="15" fillId="3" borderId="2" applyAlignment="1" pivotButton="0" quotePrefix="0" xfId="0">
      <alignment horizontal="center" vertical="center" textRotation="90"/>
    </xf>
    <xf numFmtId="165" fontId="14" fillId="25" borderId="2" applyAlignment="1" pivotButton="0" quotePrefix="0" xfId="0">
      <alignment horizontal="center" vertical="center"/>
    </xf>
    <xf numFmtId="165" fontId="14" fillId="17" borderId="2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165" fontId="24" fillId="29" borderId="5" applyAlignment="1" pivotButton="0" quotePrefix="0" xfId="0">
      <alignment horizontal="center" vertical="center"/>
    </xf>
    <xf numFmtId="165" fontId="8" fillId="0" borderId="1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165" fontId="14" fillId="26" borderId="2" applyAlignment="1" pivotButton="0" quotePrefix="0" xfId="0">
      <alignment horizontal="center" vertical="center"/>
    </xf>
    <xf numFmtId="165" fontId="14" fillId="5" borderId="2" applyAlignment="1" pivotButton="0" quotePrefix="0" xfId="0">
      <alignment horizontal="center" vertical="center"/>
    </xf>
    <xf numFmtId="164" fontId="11" fillId="0" borderId="0" applyAlignment="1" pivotButton="0" quotePrefix="0" xfId="0">
      <alignment horizontal="center" vertical="center"/>
    </xf>
    <xf numFmtId="165" fontId="24" fillId="28" borderId="3" applyAlignment="1" pivotButton="0" quotePrefix="0" xfId="0">
      <alignment horizontal="center" vertical="center"/>
    </xf>
    <xf numFmtId="165" fontId="8" fillId="0" borderId="0" applyAlignment="1" pivotButton="0" quotePrefix="0" xfId="0">
      <alignment vertical="center"/>
    </xf>
    <xf numFmtId="165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165" fontId="14" fillId="27" borderId="2" applyAlignment="1" pivotButton="0" quotePrefix="0" xfId="0">
      <alignment horizontal="center" vertical="center"/>
    </xf>
    <xf numFmtId="165" fontId="14" fillId="2" borderId="2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/>
    </xf>
    <xf numFmtId="165" fontId="24" fillId="29" borderId="3" applyAlignment="1" pivotButton="0" quotePrefix="0" xfId="0">
      <alignment horizontal="center" vertical="center"/>
    </xf>
    <xf numFmtId="165" fontId="14" fillId="28" borderId="2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164" fontId="11" fillId="0" borderId="4" applyAlignment="1" pivotButton="0" quotePrefix="0" xfId="0">
      <alignment horizontal="center" vertical="center"/>
    </xf>
    <xf numFmtId="165" fontId="25" fillId="29" borderId="6" applyAlignment="1" pivotButton="0" quotePrefix="0" xfId="0">
      <alignment horizontal="center" vertical="center"/>
    </xf>
    <xf numFmtId="165" fontId="8" fillId="0" borderId="4" applyAlignment="1" pivotButton="0" quotePrefix="0" xfId="0">
      <alignment horizontal="center" vertical="center"/>
    </xf>
    <xf numFmtId="165" fontId="6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3" fillId="6" borderId="6" applyAlignment="1" pivotButton="0" quotePrefix="0" xfId="0">
      <alignment horizontal="center" vertical="center" shrinkToFit="1"/>
    </xf>
    <xf numFmtId="0" fontId="3" fillId="6" borderId="4" applyAlignment="1" pivotButton="0" quotePrefix="0" xfId="0">
      <alignment horizontal="center" vertical="center" shrinkToFit="1"/>
    </xf>
    <xf numFmtId="0" fontId="3" fillId="6" borderId="11" applyAlignment="1" pivotButton="0" quotePrefix="0" xfId="0">
      <alignment horizontal="center" vertical="center" shrinkToFit="1"/>
    </xf>
    <xf numFmtId="169" fontId="20" fillId="0" borderId="3" applyAlignment="1" pivotButton="0" quotePrefix="0" xfId="0">
      <alignment horizontal="center" vertical="center"/>
    </xf>
    <xf numFmtId="169" fontId="20" fillId="0" borderId="0" applyAlignment="1" pivotButton="0" quotePrefix="0" xfId="0">
      <alignment horizontal="center" vertical="center"/>
    </xf>
    <xf numFmtId="169" fontId="20" fillId="0" borderId="7" applyAlignment="1" pivotButton="0" quotePrefix="0" xfId="0">
      <alignment horizontal="center" vertical="center"/>
    </xf>
    <xf numFmtId="169" fontId="20" fillId="0" borderId="6" applyAlignment="1" pivotButton="0" quotePrefix="0" xfId="0">
      <alignment horizontal="center" vertical="center"/>
    </xf>
    <xf numFmtId="169" fontId="20" fillId="0" borderId="4" applyAlignment="1" pivotButton="0" quotePrefix="0" xfId="0">
      <alignment horizontal="center" vertical="center"/>
    </xf>
    <xf numFmtId="169" fontId="20" fillId="0" borderId="11" applyAlignment="1" pivotButton="0" quotePrefix="0" xfId="0">
      <alignment horizontal="center" vertical="center"/>
    </xf>
    <xf numFmtId="165" fontId="15" fillId="7" borderId="10" applyAlignment="1" pivotButton="0" quotePrefix="0" xfId="0">
      <alignment horizontal="center" vertical="center"/>
    </xf>
    <xf numFmtId="165" fontId="15" fillId="7" borderId="13" applyAlignment="1" pivotButton="0" quotePrefix="0" xfId="0">
      <alignment horizontal="center" vertical="center"/>
    </xf>
    <xf numFmtId="165" fontId="15" fillId="7" borderId="14" applyAlignment="1" pivotButton="0" quotePrefix="0" xfId="0">
      <alignment horizontal="center" vertical="center"/>
    </xf>
    <xf numFmtId="165" fontId="14" fillId="0" borderId="10" applyAlignment="1" pivotButton="0" quotePrefix="0" xfId="0">
      <alignment horizontal="center" vertical="center"/>
    </xf>
    <xf numFmtId="165" fontId="14" fillId="0" borderId="13" applyAlignment="1" pivotButton="0" quotePrefix="0" xfId="0">
      <alignment horizontal="center" vertical="center"/>
    </xf>
    <xf numFmtId="165" fontId="14" fillId="0" borderId="14" applyAlignment="1" pivotButton="0" quotePrefix="0" xfId="0">
      <alignment horizontal="center" vertical="center"/>
    </xf>
    <xf numFmtId="165" fontId="14" fillId="10" borderId="10" applyAlignment="1" pivotButton="0" quotePrefix="0" xfId="0">
      <alignment horizontal="center" vertical="center"/>
    </xf>
    <xf numFmtId="165" fontId="14" fillId="10" borderId="13" applyAlignment="1" pivotButton="0" quotePrefix="0" xfId="0">
      <alignment horizontal="center" vertical="center"/>
    </xf>
    <xf numFmtId="165" fontId="14" fillId="10" borderId="14" applyAlignment="1" pivotButton="0" quotePrefix="0" xfId="0">
      <alignment horizontal="center" vertical="center"/>
    </xf>
    <xf numFmtId="165" fontId="14" fillId="8" borderId="10" applyAlignment="1" pivotButton="0" quotePrefix="0" xfId="0">
      <alignment horizontal="center" vertical="center"/>
    </xf>
    <xf numFmtId="165" fontId="14" fillId="8" borderId="13" applyAlignment="1" pivotButton="0" quotePrefix="0" xfId="0">
      <alignment horizontal="center" vertical="center"/>
    </xf>
    <xf numFmtId="165" fontId="14" fillId="8" borderId="14" applyAlignment="1" pivotButton="0" quotePrefix="0" xfId="0">
      <alignment horizontal="center" vertical="center"/>
    </xf>
    <xf numFmtId="165" fontId="19" fillId="9" borderId="10" applyAlignment="1" pivotButton="0" quotePrefix="0" xfId="0">
      <alignment horizontal="center" vertical="center"/>
    </xf>
    <xf numFmtId="165" fontId="19" fillId="9" borderId="13" applyAlignment="1" pivotButton="0" quotePrefix="0" xfId="0">
      <alignment horizontal="center" vertical="center"/>
    </xf>
    <xf numFmtId="165" fontId="19" fillId="9" borderId="1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18" fillId="6" borderId="9" applyAlignment="1" pivotButton="0" quotePrefix="0" xfId="0">
      <alignment horizontal="center" vertical="center"/>
    </xf>
    <xf numFmtId="0" fontId="18" fillId="6" borderId="6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3" applyAlignment="1" pivotButton="0" quotePrefix="0" xfId="0">
      <alignment horizontal="center" vertical="center"/>
    </xf>
    <xf numFmtId="0" fontId="6" fillId="0" borderId="14" applyAlignment="1" pivotButton="0" quotePrefix="0" xfId="0">
      <alignment horizontal="center" vertical="center"/>
    </xf>
    <xf numFmtId="165" fontId="3" fillId="6" borderId="3" applyAlignment="1" pivotButton="0" quotePrefix="0" xfId="0">
      <alignment horizontal="center" vertical="center"/>
    </xf>
    <xf numFmtId="165" fontId="3" fillId="6" borderId="0" applyAlignment="1" pivotButton="0" quotePrefix="0" xfId="0">
      <alignment horizontal="center" vertical="center"/>
    </xf>
    <xf numFmtId="165" fontId="3" fillId="6" borderId="7" applyAlignment="1" pivotButton="0" quotePrefix="0" xfId="0">
      <alignment horizontal="center" vertical="center"/>
    </xf>
    <xf numFmtId="0" fontId="3" fillId="6" borderId="3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6" borderId="7" applyAlignment="1" pivotButton="0" quotePrefix="0" xfId="0">
      <alignment horizontal="center" vertical="center"/>
    </xf>
    <xf numFmtId="0" fontId="21" fillId="0" borderId="3" applyAlignment="1" pivotButton="0" quotePrefix="0" xfId="0">
      <alignment horizontal="center" vertical="center" shrinkToFit="1"/>
    </xf>
    <xf numFmtId="0" fontId="21" fillId="0" borderId="0" applyAlignment="1" pivotButton="0" quotePrefix="0" xfId="0">
      <alignment horizontal="center" vertical="center" shrinkToFit="1"/>
    </xf>
    <xf numFmtId="0" fontId="21" fillId="0" borderId="7" applyAlignment="1" pivotButton="0" quotePrefix="0" xfId="0">
      <alignment horizontal="center" vertical="center" shrinkToFit="1"/>
    </xf>
    <xf numFmtId="0" fontId="8" fillId="0" borderId="3" applyAlignment="1" pivotButton="0" quotePrefix="0" xfId="0">
      <alignment horizontal="center" vertical="top"/>
    </xf>
    <xf numFmtId="0" fontId="8" fillId="0" borderId="0" applyAlignment="1" pivotButton="0" quotePrefix="0" xfId="0">
      <alignment horizontal="center" vertical="top"/>
    </xf>
    <xf numFmtId="0" fontId="8" fillId="0" borderId="7" applyAlignment="1" pivotButton="0" quotePrefix="0" xfId="0">
      <alignment horizontal="center" vertical="top"/>
    </xf>
    <xf numFmtId="165" fontId="11" fillId="0" borderId="5" applyAlignment="1" pivotButton="0" quotePrefix="0" xfId="0">
      <alignment horizontal="center" vertical="center" wrapText="1"/>
    </xf>
    <xf numFmtId="165" fontId="11" fillId="0" borderId="1" applyAlignment="1" pivotButton="0" quotePrefix="0" xfId="0">
      <alignment horizontal="center" vertical="center" wrapText="1"/>
    </xf>
    <xf numFmtId="165" fontId="11" fillId="0" borderId="9" applyAlignment="1" pivotButton="0" quotePrefix="0" xfId="0">
      <alignment horizontal="center" vertical="center" wrapText="1"/>
    </xf>
    <xf numFmtId="165" fontId="11" fillId="0" borderId="3" applyAlignment="1" pivotButton="0" quotePrefix="0" xfId="0">
      <alignment horizontal="center" vertical="center" wrapText="1"/>
    </xf>
    <xf numFmtId="165" fontId="11" fillId="0" borderId="0" applyAlignment="1" pivotButton="0" quotePrefix="0" xfId="0">
      <alignment horizontal="center" vertical="center" wrapText="1"/>
    </xf>
    <xf numFmtId="165" fontId="11" fillId="0" borderId="7" applyAlignment="1" pivotButton="0" quotePrefix="0" xfId="0">
      <alignment horizontal="center" vertical="center" wrapText="1"/>
    </xf>
    <xf numFmtId="0" fontId="13" fillId="6" borderId="5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 vertical="center" wrapText="1"/>
    </xf>
    <xf numFmtId="0" fontId="13" fillId="6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wrapText="1"/>
    </xf>
    <xf numFmtId="0" fontId="8" fillId="0" borderId="1" applyAlignment="1" pivotButton="0" quotePrefix="0" xfId="0">
      <alignment horizontal="center" wrapText="1"/>
    </xf>
    <xf numFmtId="0" fontId="8" fillId="0" borderId="9" applyAlignment="1" pivotButton="0" quotePrefix="0" xfId="0">
      <alignment horizontal="center" wrapText="1"/>
    </xf>
    <xf numFmtId="0" fontId="8" fillId="0" borderId="3" applyAlignment="1" pivotButton="0" quotePrefix="0" xfId="0">
      <alignment horizontal="center" wrapText="1"/>
    </xf>
    <xf numFmtId="0" fontId="8" fillId="0" borderId="0" applyAlignment="1" pivotButton="0" quotePrefix="0" xfId="0">
      <alignment horizontal="center" wrapText="1"/>
    </xf>
    <xf numFmtId="0" fontId="8" fillId="0" borderId="7" applyAlignment="1" pivotButton="0" quotePrefix="0" xfId="0">
      <alignment horizontal="center" wrapText="1"/>
    </xf>
    <xf numFmtId="0" fontId="9" fillId="2" borderId="13" applyAlignment="1" pivotButton="0" quotePrefix="0" xfId="0">
      <alignment horizontal="center" vertical="center" shrinkToFit="1"/>
    </xf>
    <xf numFmtId="0" fontId="9" fillId="2" borderId="14" applyAlignment="1" pivotButton="0" quotePrefix="0" xfId="0">
      <alignment horizontal="center" vertical="center" shrinkToFit="1"/>
    </xf>
    <xf numFmtId="0" fontId="11" fillId="0" borderId="10" applyAlignment="1" pivotButton="0" quotePrefix="0" xfId="0">
      <alignment horizontal="center" vertical="center"/>
    </xf>
    <xf numFmtId="0" fontId="11" fillId="0" borderId="13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 vertical="center"/>
    </xf>
    <xf numFmtId="0" fontId="6" fillId="0" borderId="4" applyAlignment="1" pivotButton="0" quotePrefix="0" xfId="0">
      <alignment horizontal="left" vertical="center"/>
    </xf>
    <xf numFmtId="0" fontId="6" fillId="0" borderId="11" applyAlignment="1" pivotButton="0" quotePrefix="0" xfId="0">
      <alignment horizontal="left" vertical="center"/>
    </xf>
    <xf numFmtId="0" fontId="18" fillId="11" borderId="5" applyAlignment="1" pivotButton="0" quotePrefix="0" xfId="0">
      <alignment horizontal="center" vertical="center"/>
    </xf>
    <xf numFmtId="0" fontId="18" fillId="11" borderId="9" applyAlignment="1" pivotButton="0" quotePrefix="0" xfId="0">
      <alignment horizontal="center" vertical="center"/>
    </xf>
    <xf numFmtId="0" fontId="18" fillId="11" borderId="6" applyAlignment="1" pivotButton="0" quotePrefix="0" xfId="0">
      <alignment horizontal="center" vertical="center"/>
    </xf>
    <xf numFmtId="0" fontId="18" fillId="11" borderId="11" applyAlignment="1" pivotButton="0" quotePrefix="0" xfId="0">
      <alignment horizontal="center" vertical="center"/>
    </xf>
    <xf numFmtId="0" fontId="13" fillId="11" borderId="5" applyAlignment="1" pivotButton="0" quotePrefix="0" xfId="0">
      <alignment horizontal="center" vertical="center" wrapText="1"/>
    </xf>
    <xf numFmtId="0" fontId="13" fillId="11" borderId="1" applyAlignment="1" pivotButton="0" quotePrefix="0" xfId="0">
      <alignment horizontal="center" vertical="center" wrapText="1"/>
    </xf>
    <xf numFmtId="0" fontId="13" fillId="11" borderId="9" applyAlignment="1" pivotButton="0" quotePrefix="0" xfId="0">
      <alignment horizontal="center" vertical="center" wrapText="1"/>
    </xf>
    <xf numFmtId="165" fontId="3" fillId="11" borderId="3" applyAlignment="1" pivotButton="0" quotePrefix="0" xfId="0">
      <alignment horizontal="center" vertical="center"/>
    </xf>
    <xf numFmtId="165" fontId="3" fillId="11" borderId="0" applyAlignment="1" pivotButton="0" quotePrefix="0" xfId="0">
      <alignment horizontal="center" vertical="center"/>
    </xf>
    <xf numFmtId="165" fontId="3" fillId="11" borderId="7" applyAlignment="1" pivotButton="0" quotePrefix="0" xfId="0">
      <alignment horizontal="center" vertical="center"/>
    </xf>
    <xf numFmtId="0" fontId="3" fillId="11" borderId="3" applyAlignment="1" pivotButton="0" quotePrefix="0" xfId="0">
      <alignment horizontal="center" vertical="center" shrinkToFit="1"/>
    </xf>
    <xf numFmtId="0" fontId="3" fillId="11" borderId="0" applyAlignment="1" pivotButton="0" quotePrefix="0" xfId="0">
      <alignment horizontal="center" vertical="center" shrinkToFit="1"/>
    </xf>
    <xf numFmtId="0" fontId="3" fillId="11" borderId="7" applyAlignment="1" pivotButton="0" quotePrefix="0" xfId="0">
      <alignment horizontal="center" vertical="center" shrinkToFit="1"/>
    </xf>
    <xf numFmtId="0" fontId="3" fillId="11" borderId="3" applyAlignment="1" pivotButton="0" quotePrefix="0" xfId="0">
      <alignment horizontal="center" vertical="center"/>
    </xf>
    <xf numFmtId="0" fontId="3" fillId="11" borderId="0" applyAlignment="1" pivotButton="0" quotePrefix="0" xfId="0">
      <alignment horizontal="center" vertical="center"/>
    </xf>
    <xf numFmtId="0" fontId="3" fillId="11" borderId="7" applyAlignment="1" pivotButton="0" quotePrefix="0" xfId="0">
      <alignment horizontal="center" vertical="center"/>
    </xf>
    <xf numFmtId="0" fontId="3" fillId="11" borderId="6" applyAlignment="1" pivotButton="0" quotePrefix="0" xfId="0">
      <alignment horizontal="center" vertical="center" shrinkToFit="1"/>
    </xf>
    <xf numFmtId="0" fontId="3" fillId="11" borderId="4" applyAlignment="1" pivotButton="0" quotePrefix="0" xfId="0">
      <alignment horizontal="center" vertical="center" shrinkToFit="1"/>
    </xf>
    <xf numFmtId="0" fontId="3" fillId="11" borderId="11" applyAlignment="1" pivotButton="0" quotePrefix="0" xfId="0">
      <alignment horizontal="center" vertical="center" shrinkToFit="1"/>
    </xf>
    <xf numFmtId="0" fontId="14" fillId="2" borderId="8" applyAlignment="1" pivotButton="0" quotePrefix="0" xfId="0">
      <alignment horizontal="center" vertical="center" textRotation="180"/>
    </xf>
    <xf numFmtId="0" fontId="14" fillId="2" borderId="12" applyAlignment="1" pivotButton="0" quotePrefix="0" xfId="0">
      <alignment horizontal="center" vertical="center" textRotation="180"/>
    </xf>
    <xf numFmtId="165" fontId="14" fillId="0" borderId="10" applyAlignment="1" pivotButton="0" quotePrefix="1" xfId="0">
      <alignment horizontal="center" vertical="center"/>
    </xf>
    <xf numFmtId="0" fontId="18" fillId="15" borderId="5" applyAlignment="1" pivotButton="0" quotePrefix="0" xfId="0">
      <alignment horizontal="center" vertical="center"/>
    </xf>
    <xf numFmtId="0" fontId="18" fillId="15" borderId="9" applyAlignment="1" pivotButton="0" quotePrefix="0" xfId="0">
      <alignment horizontal="center" vertical="center"/>
    </xf>
    <xf numFmtId="0" fontId="18" fillId="15" borderId="6" applyAlignment="1" pivotButton="0" quotePrefix="0" xfId="0">
      <alignment horizontal="center" vertical="center"/>
    </xf>
    <xf numFmtId="0" fontId="18" fillId="15" borderId="11" applyAlignment="1" pivotButton="0" quotePrefix="0" xfId="0">
      <alignment horizontal="center" vertical="center"/>
    </xf>
    <xf numFmtId="165" fontId="14" fillId="13" borderId="10" applyAlignment="1" pivotButton="0" quotePrefix="1" xfId="0">
      <alignment horizontal="center" vertical="center"/>
    </xf>
    <xf numFmtId="165" fontId="14" fillId="13" borderId="13" applyAlignment="1" pivotButton="0" quotePrefix="0" xfId="0">
      <alignment horizontal="center" vertical="center"/>
    </xf>
    <xf numFmtId="165" fontId="14" fillId="13" borderId="14" applyAlignment="1" pivotButton="0" quotePrefix="0" xfId="0">
      <alignment horizontal="center" vertical="center"/>
    </xf>
    <xf numFmtId="0" fontId="3" fillId="15" borderId="3" applyAlignment="1" pivotButton="0" quotePrefix="0" xfId="0">
      <alignment horizontal="center" vertical="center"/>
    </xf>
    <xf numFmtId="0" fontId="3" fillId="15" borderId="0" applyAlignment="1" pivotButton="0" quotePrefix="0" xfId="0">
      <alignment horizontal="center" vertical="center"/>
    </xf>
    <xf numFmtId="0" fontId="3" fillId="15" borderId="7" applyAlignment="1" pivotButton="0" quotePrefix="0" xfId="0">
      <alignment horizontal="center" vertical="center"/>
    </xf>
    <xf numFmtId="165" fontId="19" fillId="14" borderId="10" applyAlignment="1" pivotButton="0" quotePrefix="0" xfId="0">
      <alignment horizontal="center" vertical="center"/>
    </xf>
    <xf numFmtId="165" fontId="19" fillId="14" borderId="13" applyAlignment="1" pivotButton="0" quotePrefix="0" xfId="0">
      <alignment horizontal="center" vertical="center"/>
    </xf>
    <xf numFmtId="165" fontId="19" fillId="14" borderId="14" applyAlignment="1" pivotButton="0" quotePrefix="0" xfId="0">
      <alignment horizontal="center" vertical="center"/>
    </xf>
    <xf numFmtId="0" fontId="3" fillId="15" borderId="6" applyAlignment="1" pivotButton="0" quotePrefix="0" xfId="0">
      <alignment horizontal="center" vertical="center" shrinkToFit="1"/>
    </xf>
    <xf numFmtId="0" fontId="3" fillId="15" borderId="4" applyAlignment="1" pivotButton="0" quotePrefix="0" xfId="0">
      <alignment horizontal="center" vertical="center" shrinkToFit="1"/>
    </xf>
    <xf numFmtId="0" fontId="3" fillId="15" borderId="11" applyAlignment="1" pivotButton="0" quotePrefix="0" xfId="0">
      <alignment horizontal="center" vertical="center" shrinkToFit="1"/>
    </xf>
    <xf numFmtId="0" fontId="13" fillId="15" borderId="5" applyAlignment="1" pivotButton="0" quotePrefix="0" xfId="0">
      <alignment horizontal="center" vertical="center" wrapText="1"/>
    </xf>
    <xf numFmtId="0" fontId="13" fillId="15" borderId="1" applyAlignment="1" pivotButton="0" quotePrefix="0" xfId="0">
      <alignment horizontal="center" vertical="center" wrapText="1"/>
    </xf>
    <xf numFmtId="0" fontId="13" fillId="15" borderId="9" applyAlignment="1" pivotButton="0" quotePrefix="0" xfId="0">
      <alignment horizontal="center" vertical="center" wrapText="1"/>
    </xf>
    <xf numFmtId="165" fontId="3" fillId="15" borderId="3" applyAlignment="1" pivotButton="0" quotePrefix="0" xfId="0">
      <alignment horizontal="center" vertical="center"/>
    </xf>
    <xf numFmtId="165" fontId="3" fillId="15" borderId="0" applyAlignment="1" pivotButton="0" quotePrefix="0" xfId="0">
      <alignment horizontal="center" vertical="center"/>
    </xf>
    <xf numFmtId="165" fontId="3" fillId="15" borderId="7" applyAlignment="1" pivotButton="0" quotePrefix="0" xfId="0">
      <alignment horizontal="center" vertical="center"/>
    </xf>
    <xf numFmtId="165" fontId="14" fillId="12" borderId="10" applyAlignment="1" pivotButton="0" quotePrefix="1" xfId="0">
      <alignment horizontal="center" vertical="center"/>
    </xf>
    <xf numFmtId="165" fontId="14" fillId="12" borderId="13" applyAlignment="1" pivotButton="0" quotePrefix="0" xfId="0">
      <alignment horizontal="center" vertical="center"/>
    </xf>
    <xf numFmtId="165" fontId="14" fillId="12" borderId="14" applyAlignment="1" pivotButton="0" quotePrefix="0" xfId="0">
      <alignment horizontal="center" vertical="center"/>
    </xf>
    <xf numFmtId="170" fontId="23" fillId="0" borderId="3" applyAlignment="1" pivotButton="0" quotePrefix="0" xfId="0">
      <alignment horizontal="center" vertical="center" shrinkToFit="1"/>
    </xf>
    <xf numFmtId="170" fontId="23" fillId="0" borderId="0" applyAlignment="1" pivotButton="0" quotePrefix="0" xfId="0">
      <alignment horizontal="center" vertical="center" shrinkToFit="1"/>
    </xf>
    <xf numFmtId="170" fontId="23" fillId="0" borderId="7" applyAlignment="1" pivotButton="0" quotePrefix="0" xfId="0">
      <alignment horizontal="center" vertical="center" shrinkToFit="1"/>
    </xf>
    <xf numFmtId="170" fontId="23" fillId="0" borderId="6" applyAlignment="1" pivotButton="0" quotePrefix="0" xfId="0">
      <alignment horizontal="center" vertical="center" shrinkToFit="1"/>
    </xf>
    <xf numFmtId="170" fontId="23" fillId="0" borderId="4" applyAlignment="1" pivotButton="0" quotePrefix="0" xfId="0">
      <alignment horizontal="center" vertical="center" shrinkToFit="1"/>
    </xf>
    <xf numFmtId="170" fontId="23" fillId="0" borderId="11" applyAlignment="1" pivotButton="0" quotePrefix="0" xfId="0">
      <alignment horizontal="center" vertical="center" shrinkToFit="1"/>
    </xf>
    <xf numFmtId="165" fontId="5" fillId="0" borderId="5" applyAlignment="1" pivotButton="0" quotePrefix="0" xfId="0">
      <alignment horizontal="center" vertical="center" wrapText="1"/>
    </xf>
    <xf numFmtId="165" fontId="5" fillId="0" borderId="1" applyAlignment="1" pivotButton="0" quotePrefix="0" xfId="0">
      <alignment horizontal="center" vertical="center" wrapText="1"/>
    </xf>
    <xf numFmtId="165" fontId="5" fillId="0" borderId="9" applyAlignment="1" pivotButton="0" quotePrefix="0" xfId="0">
      <alignment horizontal="center" vertical="center" wrapText="1"/>
    </xf>
    <xf numFmtId="165" fontId="5" fillId="0" borderId="3" applyAlignment="1" pivotButton="0" quotePrefix="0" xfId="0">
      <alignment horizontal="center" vertical="center" wrapText="1"/>
    </xf>
    <xf numFmtId="165" fontId="5" fillId="0" borderId="0" applyAlignment="1" pivotButton="0" quotePrefix="0" xfId="0">
      <alignment horizontal="center" vertical="center" wrapText="1"/>
    </xf>
    <xf numFmtId="165" fontId="5" fillId="0" borderId="7" applyAlignment="1" pivotButton="0" quotePrefix="0" xfId="0">
      <alignment horizontal="center" vertical="center" wrapText="1"/>
    </xf>
    <xf numFmtId="165" fontId="6" fillId="29" borderId="15" applyAlignment="1" pivotButton="0" quotePrefix="0" xfId="0">
      <alignment horizontal="center" vertical="center" textRotation="180"/>
    </xf>
    <xf numFmtId="165" fontId="6" fillId="29" borderId="3" applyAlignment="1" pivotButton="0" quotePrefix="0" xfId="0">
      <alignment horizontal="center" vertical="center" textRotation="180"/>
    </xf>
    <xf numFmtId="165" fontId="6" fillId="29" borderId="17" applyAlignment="1" pivotButton="0" quotePrefix="0" xfId="0">
      <alignment horizontal="center" vertical="center" textRotation="180"/>
    </xf>
    <xf numFmtId="165" fontId="6" fillId="29" borderId="16" applyAlignment="1" pivotButton="0" quotePrefix="0" xfId="0">
      <alignment horizontal="center" vertical="center" textRotation="180"/>
    </xf>
    <xf numFmtId="165" fontId="6" fillId="29" borderId="0" applyAlignment="1" pivotButton="0" quotePrefix="0" xfId="0">
      <alignment horizontal="center" vertical="center" textRotation="180"/>
    </xf>
    <xf numFmtId="165" fontId="6" fillId="29" borderId="18" applyAlignment="1" pivotButton="0" quotePrefix="0" xfId="0">
      <alignment horizontal="center" vertical="center" textRotation="180"/>
    </xf>
    <xf numFmtId="165" fontId="6" fillId="29" borderId="19" applyAlignment="1" pivotButton="0" quotePrefix="0" xfId="0">
      <alignment horizontal="center" vertical="center" textRotation="180"/>
    </xf>
    <xf numFmtId="165" fontId="6" fillId="29" borderId="20" applyAlignment="1" pivotButton="0" quotePrefix="0" xfId="0">
      <alignment horizontal="center" vertical="center" textRotation="180"/>
    </xf>
    <xf numFmtId="165" fontId="6" fillId="29" borderId="21" applyAlignment="1" pivotButton="0" quotePrefix="0" xfId="0">
      <alignment horizontal="center" vertical="center" textRotation="180"/>
    </xf>
    <xf numFmtId="165" fontId="6" fillId="29" borderId="22" applyAlignment="1" pivotButton="0" quotePrefix="0" xfId="0">
      <alignment horizontal="center" vertical="center" textRotation="180"/>
    </xf>
    <xf numFmtId="165" fontId="6" fillId="29" borderId="23" applyAlignment="1" pivotButton="0" quotePrefix="0" xfId="0">
      <alignment horizontal="center" vertical="center" textRotation="180"/>
    </xf>
    <xf numFmtId="165" fontId="6" fillId="29" borderId="24" applyAlignment="1" pivotButton="0" quotePrefix="0" xfId="0">
      <alignment horizontal="center" vertical="center" textRotation="180"/>
    </xf>
    <xf numFmtId="165" fontId="6" fillId="33" borderId="22" applyAlignment="1" pivotButton="0" quotePrefix="0" xfId="0">
      <alignment horizontal="center" vertical="center" textRotation="180"/>
    </xf>
    <xf numFmtId="165" fontId="6" fillId="33" borderId="23" applyAlignment="1" pivotButton="0" quotePrefix="0" xfId="0">
      <alignment horizontal="center" vertical="center" textRotation="180"/>
    </xf>
    <xf numFmtId="165" fontId="6" fillId="33" borderId="24" applyAlignment="1" pivotButton="0" quotePrefix="0" xfId="0">
      <alignment horizontal="center" vertical="center" textRotation="180"/>
    </xf>
    <xf numFmtId="165" fontId="6" fillId="34" borderId="19" applyAlignment="1" pivotButton="0" quotePrefix="0" xfId="0">
      <alignment horizontal="center" vertical="center" textRotation="180"/>
    </xf>
    <xf numFmtId="165" fontId="6" fillId="34" borderId="20" applyAlignment="1" pivotButton="0" quotePrefix="0" xfId="0">
      <alignment horizontal="center" vertical="center" textRotation="180"/>
    </xf>
    <xf numFmtId="165" fontId="6" fillId="34" borderId="21" applyAlignment="1" pivotButton="0" quotePrefix="0" xfId="0">
      <alignment horizontal="center" vertical="center" textRotation="180"/>
    </xf>
    <xf numFmtId="165" fontId="6" fillId="34" borderId="16" applyAlignment="1" pivotButton="0" quotePrefix="0" xfId="0">
      <alignment horizontal="center" vertical="center" textRotation="180"/>
    </xf>
    <xf numFmtId="165" fontId="6" fillId="34" borderId="0" applyAlignment="1" pivotButton="0" quotePrefix="0" xfId="0">
      <alignment horizontal="center" vertical="center" textRotation="180"/>
    </xf>
    <xf numFmtId="165" fontId="6" fillId="34" borderId="18" applyAlignment="1" pivotButton="0" quotePrefix="0" xfId="0">
      <alignment horizontal="center" vertical="center" textRotation="180"/>
    </xf>
    <xf numFmtId="165" fontId="6" fillId="35" borderId="19" applyAlignment="1" pivotButton="0" quotePrefix="0" xfId="0">
      <alignment horizontal="center" vertical="center" textRotation="180"/>
    </xf>
    <xf numFmtId="165" fontId="6" fillId="35" borderId="20" applyAlignment="1" pivotButton="0" quotePrefix="0" xfId="0">
      <alignment horizontal="center" vertical="center" textRotation="180"/>
    </xf>
    <xf numFmtId="165" fontId="6" fillId="35" borderId="21" applyAlignment="1" pivotButton="0" quotePrefix="0" xfId="0">
      <alignment horizontal="center" vertical="center" textRotation="180"/>
    </xf>
    <xf numFmtId="0" fontId="7" fillId="2" borderId="8" applyAlignment="1" pivotButton="0" quotePrefix="0" xfId="0">
      <alignment horizontal="center" vertical="center" textRotation="180"/>
    </xf>
    <xf numFmtId="0" fontId="7" fillId="2" borderId="12" applyAlignment="1" pivotButton="0" quotePrefix="0" xfId="0">
      <alignment horizontal="center" vertical="center" textRotation="180"/>
    </xf>
    <xf numFmtId="0" fontId="3" fillId="18" borderId="3" applyAlignment="1" pivotButton="0" quotePrefix="0" xfId="0">
      <alignment horizontal="center" vertical="center"/>
    </xf>
    <xf numFmtId="0" fontId="3" fillId="18" borderId="0" applyAlignment="1" pivotButton="0" quotePrefix="0" xfId="0">
      <alignment horizontal="center" vertical="center"/>
    </xf>
    <xf numFmtId="0" fontId="3" fillId="18" borderId="7" applyAlignment="1" pivotButton="0" quotePrefix="0" xfId="0">
      <alignment horizontal="center" vertical="center"/>
    </xf>
    <xf numFmtId="0" fontId="13" fillId="18" borderId="5" applyAlignment="1" pivotButton="0" quotePrefix="0" xfId="0">
      <alignment horizontal="center" vertical="center" wrapText="1"/>
    </xf>
    <xf numFmtId="0" fontId="13" fillId="18" borderId="1" applyAlignment="1" pivotButton="0" quotePrefix="0" xfId="0">
      <alignment horizontal="center" vertical="center" wrapText="1"/>
    </xf>
    <xf numFmtId="0" fontId="13" fillId="18" borderId="9" applyAlignment="1" pivotButton="0" quotePrefix="0" xfId="0">
      <alignment horizontal="center" vertical="center" wrapText="1"/>
    </xf>
    <xf numFmtId="165" fontId="3" fillId="18" borderId="3" applyAlignment="1" pivotButton="0" quotePrefix="0" xfId="0">
      <alignment horizontal="center" vertical="center"/>
    </xf>
    <xf numFmtId="165" fontId="3" fillId="18" borderId="0" applyAlignment="1" pivotButton="0" quotePrefix="0" xfId="0">
      <alignment horizontal="center" vertical="center"/>
    </xf>
    <xf numFmtId="165" fontId="3" fillId="18" borderId="7" applyAlignment="1" pivotButton="0" quotePrefix="0" xfId="0">
      <alignment horizontal="center" vertical="center"/>
    </xf>
    <xf numFmtId="0" fontId="18" fillId="18" borderId="5" applyAlignment="1" pivotButton="0" quotePrefix="0" xfId="0">
      <alignment horizontal="center" vertical="center"/>
    </xf>
    <xf numFmtId="0" fontId="18" fillId="18" borderId="9" applyAlignment="1" pivotButton="0" quotePrefix="0" xfId="0">
      <alignment horizontal="center" vertical="center"/>
    </xf>
    <xf numFmtId="0" fontId="18" fillId="18" borderId="6" applyAlignment="1" pivotButton="0" quotePrefix="0" xfId="0">
      <alignment horizontal="center" vertical="center"/>
    </xf>
    <xf numFmtId="0" fontId="18" fillId="18" borderId="11" applyAlignment="1" pivotButton="0" quotePrefix="0" xfId="0">
      <alignment horizontal="center" vertical="center"/>
    </xf>
    <xf numFmtId="0" fontId="3" fillId="18" borderId="6" applyAlignment="1" pivotButton="0" quotePrefix="0" xfId="0">
      <alignment horizontal="center" vertical="center" shrinkToFit="1"/>
    </xf>
    <xf numFmtId="0" fontId="3" fillId="18" borderId="4" applyAlignment="1" pivotButton="0" quotePrefix="0" xfId="0">
      <alignment horizontal="center" vertical="center" shrinkToFit="1"/>
    </xf>
    <xf numFmtId="0" fontId="3" fillId="18" borderId="11" applyAlignment="1" pivotButton="0" quotePrefix="0" xfId="0">
      <alignment horizontal="center" vertical="center" shrinkToFit="1"/>
    </xf>
    <xf numFmtId="165" fontId="6" fillId="0" borderId="15" applyAlignment="1" pivotButton="0" quotePrefix="0" xfId="0">
      <alignment horizontal="center" vertical="center" textRotation="180"/>
    </xf>
    <xf numFmtId="165" fontId="6" fillId="0" borderId="3" applyAlignment="1" pivotButton="0" quotePrefix="0" xfId="0">
      <alignment horizontal="center" vertical="center" textRotation="180"/>
    </xf>
    <xf numFmtId="165" fontId="6" fillId="0" borderId="17" applyAlignment="1" pivotButton="0" quotePrefix="0" xfId="0">
      <alignment horizontal="center" vertical="center" textRotation="180"/>
    </xf>
    <xf numFmtId="165" fontId="6" fillId="0" borderId="16" applyAlignment="1" pivotButton="0" quotePrefix="0" xfId="0">
      <alignment horizontal="center" vertical="center" textRotation="180"/>
    </xf>
    <xf numFmtId="165" fontId="6" fillId="0" borderId="0" applyAlignment="1" pivotButton="0" quotePrefix="0" xfId="0">
      <alignment horizontal="center" vertical="center" textRotation="180"/>
    </xf>
    <xf numFmtId="165" fontId="6" fillId="0" borderId="18" applyAlignment="1" pivotButton="0" quotePrefix="0" xfId="0">
      <alignment horizontal="center" vertical="center" textRotation="180"/>
    </xf>
    <xf numFmtId="165" fontId="6" fillId="0" borderId="19" applyAlignment="1" pivotButton="0" quotePrefix="0" xfId="0">
      <alignment horizontal="center" vertical="center" textRotation="180"/>
    </xf>
    <xf numFmtId="165" fontId="6" fillId="0" borderId="20" applyAlignment="1" pivotButton="0" quotePrefix="0" xfId="0">
      <alignment horizontal="center" vertical="center" textRotation="180"/>
    </xf>
    <xf numFmtId="165" fontId="6" fillId="0" borderId="21" applyAlignment="1" pivotButton="0" quotePrefix="0" xfId="0">
      <alignment horizontal="center" vertical="center" textRotation="180"/>
    </xf>
    <xf numFmtId="165" fontId="6" fillId="0" borderId="22" applyAlignment="1" pivotButton="0" quotePrefix="0" xfId="0">
      <alignment horizontal="center" vertical="center" textRotation="180"/>
    </xf>
    <xf numFmtId="165" fontId="6" fillId="0" borderId="23" applyAlignment="1" pivotButton="0" quotePrefix="0" xfId="0">
      <alignment horizontal="center" vertical="center" textRotation="180"/>
    </xf>
    <xf numFmtId="165" fontId="6" fillId="0" borderId="24" applyAlignment="1" pivotButton="0" quotePrefix="0" xfId="0">
      <alignment horizontal="center" vertical="center" textRotation="180"/>
    </xf>
    <xf numFmtId="0" fontId="18" fillId="4" borderId="2" applyAlignment="1" pivotButton="0" quotePrefix="0" xfId="0">
      <alignment horizontal="center" vertical="center"/>
    </xf>
    <xf numFmtId="0" fontId="0" fillId="0" borderId="9" pivotButton="0" quotePrefix="0" xfId="0"/>
    <xf numFmtId="49" fontId="6" fillId="0" borderId="2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4" pivotButton="0" quotePrefix="0" xfId="0"/>
    <xf numFmtId="0" fontId="9" fillId="0" borderId="2" applyAlignment="1" pivotButton="0" quotePrefix="0" xfId="0">
      <alignment horizontal="center" vertical="center" shrinkToFit="1"/>
    </xf>
    <xf numFmtId="0" fontId="0" fillId="0" borderId="11" pivotButton="0" quotePrefix="0" xfId="0"/>
    <xf numFmtId="164" fontId="6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165" fontId="6" fillId="19" borderId="36" applyAlignment="1" pivotButton="0" quotePrefix="0" xfId="0">
      <alignment horizontal="center" vertical="center" textRotation="180"/>
    </xf>
    <xf numFmtId="0" fontId="0" fillId="0" borderId="26" pivotButton="0" quotePrefix="0" xfId="0"/>
    <xf numFmtId="0" fontId="0" fillId="0" borderId="12" pivotButton="0" quotePrefix="0" xfId="0"/>
    <xf numFmtId="0" fontId="0" fillId="0" borderId="27" pivotButton="0" quotePrefix="0" xfId="0"/>
    <xf numFmtId="0" fontId="0" fillId="0" borderId="1" pivotButton="0" quotePrefix="0" xfId="0"/>
    <xf numFmtId="0" fontId="14" fillId="0" borderId="8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7" fillId="0" borderId="14" applyAlignment="1" pivotButton="0" quotePrefix="0" xfId="0">
      <alignment horizontal="left" vertical="center" wrapText="1"/>
    </xf>
    <xf numFmtId="0" fontId="13" fillId="4" borderId="8" applyAlignment="1" pivotButton="0" quotePrefix="0" xfId="0">
      <alignment horizontal="center" vertical="center" wrapText="1"/>
    </xf>
    <xf numFmtId="165" fontId="6" fillId="0" borderId="9" applyAlignment="1" pivotButton="0" quotePrefix="0" xfId="0">
      <alignment horizontal="center" vertical="center"/>
    </xf>
    <xf numFmtId="0" fontId="0" fillId="0" borderId="7" pivotButton="0" quotePrefix="0" xfId="0"/>
    <xf numFmtId="165" fontId="3" fillId="4" borderId="12" applyAlignment="1" pivotButton="0" quotePrefix="0" xfId="0">
      <alignment horizontal="center" vertical="center"/>
    </xf>
    <xf numFmtId="165" fontId="6" fillId="0" borderId="7" applyAlignment="1" pivotButton="0" quotePrefix="0" xfId="0">
      <alignment horizontal="center" vertical="center"/>
    </xf>
    <xf numFmtId="0" fontId="3" fillId="4" borderId="12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5" pivotButton="0" quotePrefix="0" xfId="0"/>
    <xf numFmtId="165" fontId="6" fillId="0" borderId="11" applyAlignment="1" pivotButton="0" quotePrefix="0" xfId="0">
      <alignment horizontal="center" vertical="center"/>
    </xf>
    <xf numFmtId="0" fontId="3" fillId="4" borderId="35" applyAlignment="1" pivotButton="0" quotePrefix="0" xfId="0">
      <alignment horizontal="center" vertical="center" shrinkToFit="1"/>
    </xf>
    <xf numFmtId="0" fontId="18" fillId="6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166" fontId="6" fillId="36" borderId="15" applyAlignment="1" pivotButton="0" quotePrefix="0" xfId="0">
      <alignment horizontal="center" vertical="center" textRotation="180"/>
    </xf>
    <xf numFmtId="166" fontId="6" fillId="36" borderId="16" applyAlignment="1" pivotButton="0" quotePrefix="0" xfId="0">
      <alignment horizontal="center" vertical="center" textRotation="180"/>
    </xf>
    <xf numFmtId="166" fontId="6" fillId="30" borderId="19" applyAlignment="1" pivotButton="0" quotePrefix="0" xfId="0">
      <alignment horizontal="center" vertical="center" textRotation="180"/>
    </xf>
    <xf numFmtId="166" fontId="6" fillId="30" borderId="22" applyAlignment="1" pivotButton="0" quotePrefix="0" xfId="0">
      <alignment horizontal="center" vertical="center" textRotation="180"/>
    </xf>
    <xf numFmtId="166" fontId="6" fillId="30" borderId="16" applyAlignment="1" pivotButton="0" quotePrefix="0" xfId="0">
      <alignment horizontal="center" vertical="center" textRotation="180"/>
    </xf>
    <xf numFmtId="167" fontId="6" fillId="30" borderId="16" applyAlignment="1" pivotButton="0" quotePrefix="0" xfId="0">
      <alignment horizontal="center" vertical="center" textRotation="180"/>
    </xf>
    <xf numFmtId="166" fontId="6" fillId="36" borderId="19" applyAlignment="1" pivotButton="0" quotePrefix="0" xfId="0">
      <alignment horizontal="center" vertical="center" textRotation="180"/>
    </xf>
    <xf numFmtId="167" fontId="6" fillId="36" borderId="16" applyAlignment="1" pivotButton="0" quotePrefix="0" xfId="0">
      <alignment horizontal="center" vertical="center" textRotation="180"/>
    </xf>
    <xf numFmtId="167" fontId="6" fillId="30" borderId="22" applyAlignment="1" pivotButton="0" quotePrefix="0" xfId="0">
      <alignment horizontal="center" vertical="center" textRotation="180"/>
    </xf>
    <xf numFmtId="166" fontId="6" fillId="36" borderId="22" applyAlignment="1" pivotButton="0" quotePrefix="0" xfId="0">
      <alignment horizontal="center" vertical="center" textRotation="180"/>
    </xf>
    <xf numFmtId="166" fontId="6" fillId="36" borderId="3" applyAlignment="1" pivotButton="0" quotePrefix="0" xfId="0">
      <alignment horizontal="center" vertical="center" textRotation="180"/>
    </xf>
    <xf numFmtId="166" fontId="6" fillId="30" borderId="0" applyAlignment="1" pivotButton="0" quotePrefix="0" xfId="0">
      <alignment horizontal="center" vertical="center" textRotation="180"/>
    </xf>
    <xf numFmtId="166" fontId="6" fillId="36" borderId="0" applyAlignment="1" pivotButton="0" quotePrefix="0" xfId="0">
      <alignment horizontal="center" vertical="center" textRotation="180"/>
    </xf>
    <xf numFmtId="166" fontId="6" fillId="36" borderId="23" applyAlignment="1" pivotButton="0" quotePrefix="0" xfId="0">
      <alignment horizontal="center" vertical="center" textRotation="180"/>
    </xf>
    <xf numFmtId="166" fontId="6" fillId="30" borderId="20" applyAlignment="1" pivotButton="0" quotePrefix="0" xfId="0">
      <alignment horizontal="center" vertical="center" textRotation="180"/>
    </xf>
    <xf numFmtId="166" fontId="6" fillId="36" borderId="20" applyAlignment="1" pivotButton="0" quotePrefix="0" xfId="0">
      <alignment horizontal="center" vertical="center" textRotation="180"/>
    </xf>
    <xf numFmtId="166" fontId="6" fillId="30" borderId="23" applyAlignment="1" pivotButton="0" quotePrefix="0" xfId="0">
      <alignment horizontal="center" vertical="center" textRotation="180"/>
    </xf>
    <xf numFmtId="166" fontId="6" fillId="36" borderId="17" applyAlignment="1" pivotButton="0" quotePrefix="0" xfId="0">
      <alignment horizontal="center" vertical="center" textRotation="180"/>
    </xf>
    <xf numFmtId="167" fontId="6" fillId="30" borderId="18" applyAlignment="1" pivotButton="0" quotePrefix="0" xfId="0">
      <alignment horizontal="center" vertical="center" textRotation="180"/>
    </xf>
    <xf numFmtId="166" fontId="6" fillId="31" borderId="18" applyAlignment="1" pivotButton="0" quotePrefix="0" xfId="0">
      <alignment horizontal="center" vertical="center" textRotation="180"/>
    </xf>
    <xf numFmtId="166" fontId="6" fillId="30" borderId="18" applyAlignment="1" pivotButton="0" quotePrefix="0" xfId="0">
      <alignment horizontal="center" vertical="center" textRotation="180"/>
    </xf>
    <xf numFmtId="166" fontId="6" fillId="30" borderId="21" applyAlignment="1" pivotButton="0" quotePrefix="0" xfId="0">
      <alignment horizontal="center" vertical="center" textRotation="180"/>
    </xf>
    <xf numFmtId="166" fontId="6" fillId="30" borderId="24" applyAlignment="1" pivotButton="0" quotePrefix="0" xfId="0">
      <alignment horizontal="center" vertical="center" textRotation="180"/>
    </xf>
    <xf numFmtId="166" fontId="6" fillId="36" borderId="18" applyAlignment="1" pivotButton="0" quotePrefix="0" xfId="0">
      <alignment horizontal="center" vertical="center" textRotation="180"/>
    </xf>
    <xf numFmtId="166" fontId="6" fillId="36" borderId="21" applyAlignment="1" pivotButton="0" quotePrefix="0" xfId="0">
      <alignment horizontal="center" vertical="center" textRotation="180"/>
    </xf>
    <xf numFmtId="167" fontId="6" fillId="36" borderId="18" applyAlignment="1" pivotButton="0" quotePrefix="0" xfId="0">
      <alignment horizontal="center" vertical="center" textRotation="180"/>
    </xf>
    <xf numFmtId="167" fontId="6" fillId="36" borderId="22" applyAlignment="1" pivotButton="0" quotePrefix="0" xfId="0">
      <alignment horizontal="center" vertical="center" textRotation="180"/>
    </xf>
    <xf numFmtId="167" fontId="6" fillId="36" borderId="0" applyAlignment="1" pivotButton="0" quotePrefix="0" xfId="0">
      <alignment horizontal="center" vertical="center" textRotation="180"/>
    </xf>
    <xf numFmtId="167" fontId="6" fillId="30" borderId="0" applyAlignment="1" pivotButton="0" quotePrefix="0" xfId="0">
      <alignment horizontal="center" vertical="center" textRotation="180"/>
    </xf>
    <xf numFmtId="167" fontId="6" fillId="36" borderId="20" applyAlignment="1" pivotButton="0" quotePrefix="0" xfId="0">
      <alignment horizontal="center" vertical="center" textRotation="180"/>
    </xf>
    <xf numFmtId="167" fontId="6" fillId="30" borderId="20" applyAlignment="1" pivotButton="0" quotePrefix="0" xfId="0">
      <alignment horizontal="center" vertical="center" textRotation="180"/>
    </xf>
    <xf numFmtId="166" fontId="6" fillId="36" borderId="24" applyAlignment="1" pivotButton="0" quotePrefix="0" xfId="0">
      <alignment horizontal="center" vertical="center" textRotation="180"/>
    </xf>
    <xf numFmtId="166" fontId="6" fillId="37" borderId="15" applyAlignment="1" pivotButton="0" quotePrefix="0" xfId="0">
      <alignment horizontal="center" vertical="center" textRotation="180"/>
    </xf>
    <xf numFmtId="166" fontId="6" fillId="37" borderId="16" applyAlignment="1" pivotButton="0" quotePrefix="0" xfId="0">
      <alignment horizontal="center" vertical="center" textRotation="180"/>
    </xf>
    <xf numFmtId="167" fontId="6" fillId="30" borderId="19" applyAlignment="1" pivotButton="0" quotePrefix="0" xfId="0">
      <alignment horizontal="center" vertical="center" textRotation="180"/>
    </xf>
    <xf numFmtId="166" fontId="6" fillId="31" borderId="22" applyAlignment="1" pivotButton="0" quotePrefix="0" xfId="0">
      <alignment horizontal="center" vertical="center" textRotation="180"/>
    </xf>
    <xf numFmtId="166" fontId="6" fillId="30" borderId="3" applyAlignment="1" pivotButton="0" quotePrefix="0" xfId="0">
      <alignment horizontal="center" vertical="center" textRotation="180"/>
    </xf>
    <xf numFmtId="167" fontId="6" fillId="36" borderId="23" applyAlignment="1" pivotButton="0" quotePrefix="0" xfId="0">
      <alignment horizontal="center" vertical="center" textRotation="180"/>
    </xf>
    <xf numFmtId="166" fontId="6" fillId="31" borderId="20" applyAlignment="1" pivotButton="0" quotePrefix="0" xfId="0">
      <alignment horizontal="center" vertical="center" textRotation="180"/>
    </xf>
    <xf numFmtId="168" fontId="6" fillId="30" borderId="17" applyAlignment="1" pivotButton="0" quotePrefix="0" xfId="0">
      <alignment horizontal="center" vertical="center" textRotation="180"/>
    </xf>
    <xf numFmtId="167" fontId="6" fillId="36" borderId="24" applyAlignment="1" pivotButton="0" quotePrefix="0" xfId="0">
      <alignment horizontal="center" vertical="center" textRotation="180"/>
    </xf>
    <xf numFmtId="166" fontId="6" fillId="37" borderId="18" applyAlignment="1" pivotButton="0" quotePrefix="0" xfId="0">
      <alignment horizontal="center" vertical="center" textRotation="180"/>
    </xf>
    <xf numFmtId="166" fontId="6" fillId="37" borderId="21" applyAlignment="1" pivotButton="0" quotePrefix="0" xfId="0">
      <alignment horizontal="center" vertical="center" textRotation="180"/>
    </xf>
    <xf numFmtId="166" fontId="6" fillId="37" borderId="24" applyAlignment="1" pivotButton="0" quotePrefix="0" xfId="0">
      <alignment horizontal="center" vertical="center" textRotation="180"/>
    </xf>
    <xf numFmtId="166" fontId="6" fillId="30" borderId="15" applyAlignment="1" pivotButton="0" quotePrefix="0" xfId="0">
      <alignment horizontal="center" vertical="center" textRotation="180"/>
    </xf>
    <xf numFmtId="168" fontId="6" fillId="36" borderId="19" applyAlignment="1" pivotButton="0" quotePrefix="0" xfId="0">
      <alignment horizontal="center" vertical="center" textRotation="180"/>
    </xf>
    <xf numFmtId="168" fontId="6" fillId="36" borderId="16" applyAlignment="1" pivotButton="0" quotePrefix="0" xfId="0">
      <alignment horizontal="center" vertical="center" textRotation="180"/>
    </xf>
    <xf numFmtId="166" fontId="6" fillId="31" borderId="23" applyAlignment="1" pivotButton="0" quotePrefix="0" xfId="0">
      <alignment horizontal="center" vertical="center" textRotation="180"/>
    </xf>
    <xf numFmtId="167" fontId="6" fillId="30" borderId="23" applyAlignment="1" pivotButton="0" quotePrefix="0" xfId="0">
      <alignment horizontal="center" vertical="center" textRotation="180"/>
    </xf>
    <xf numFmtId="166" fontId="6" fillId="37" borderId="17" applyAlignment="1" pivotButton="0" quotePrefix="0" xfId="0">
      <alignment horizontal="center" vertical="center" textRotation="180"/>
    </xf>
    <xf numFmtId="167" fontId="6" fillId="30" borderId="24" applyAlignment="1" pivotButton="0" quotePrefix="0" xfId="0">
      <alignment horizontal="center" vertical="center" textRotation="180"/>
    </xf>
    <xf numFmtId="168" fontId="6" fillId="36" borderId="24" applyAlignment="1" pivotButton="0" quotePrefix="0" xfId="0">
      <alignment horizontal="center" vertical="center" textRotation="180"/>
    </xf>
    <xf numFmtId="168" fontId="6" fillId="30" borderId="18" applyAlignment="1" pivotButton="0" quotePrefix="0" xfId="0">
      <alignment horizontal="center" vertical="center" textRotation="180"/>
    </xf>
    <xf numFmtId="166" fontId="6" fillId="31" borderId="21" applyAlignment="1" pivotButton="0" quotePrefix="0" xfId="0">
      <alignment horizontal="center" vertical="center" textRotation="180"/>
    </xf>
    <xf numFmtId="167" fontId="6" fillId="30" borderId="21" applyAlignment="1" pivotButton="0" quotePrefix="0" xfId="0">
      <alignment horizontal="center" vertical="center" textRotation="180"/>
    </xf>
    <xf numFmtId="166" fontId="26" fillId="38" borderId="22" applyAlignment="1" pivotButton="0" quotePrefix="0" xfId="0">
      <alignment horizontal="center" vertical="center" textRotation="180"/>
    </xf>
    <xf numFmtId="168" fontId="6" fillId="30" borderId="16" applyAlignment="1" pivotButton="0" quotePrefix="0" xfId="0">
      <alignment horizontal="center" vertical="center" textRotation="180"/>
    </xf>
    <xf numFmtId="166" fontId="6" fillId="31" borderId="16" applyAlignment="1" pivotButton="0" quotePrefix="0" xfId="0">
      <alignment horizontal="center" vertical="center" textRotation="180"/>
    </xf>
    <xf numFmtId="166" fontId="26" fillId="38" borderId="23" applyAlignment="1" pivotButton="0" quotePrefix="0" xfId="0">
      <alignment horizontal="center" vertical="center" textRotation="180"/>
    </xf>
    <xf numFmtId="166" fontId="6" fillId="31" borderId="0" applyAlignment="1" pivotButton="0" quotePrefix="0" xfId="0">
      <alignment horizontal="center" vertical="center" textRotation="180"/>
    </xf>
    <xf numFmtId="166" fontId="26" fillId="38" borderId="24" applyAlignment="1" pivotButton="0" quotePrefix="0" xfId="0">
      <alignment horizontal="center" vertical="center" textRotation="180"/>
    </xf>
    <xf numFmtId="166" fontId="26" fillId="38" borderId="21" applyAlignment="1" pivotButton="0" quotePrefix="0" xfId="0">
      <alignment horizontal="center" vertical="center" textRotation="180"/>
    </xf>
    <xf numFmtId="167" fontId="6" fillId="31" borderId="0" applyAlignment="1" pivotButton="0" quotePrefix="0" xfId="0">
      <alignment horizontal="center" vertical="center" textRotation="180"/>
    </xf>
    <xf numFmtId="167" fontId="6" fillId="36" borderId="21" applyAlignment="1" pivotButton="0" quotePrefix="0" xfId="0">
      <alignment horizontal="center" vertical="center" textRotation="180"/>
    </xf>
    <xf numFmtId="166" fontId="6" fillId="37" borderId="23" applyAlignment="1" pivotButton="0" quotePrefix="0" xfId="0">
      <alignment horizontal="center" vertical="center" textRotation="180"/>
    </xf>
    <xf numFmtId="168" fontId="6" fillId="30" borderId="0" applyAlignment="1" pivotButton="0" quotePrefix="0" xfId="0">
      <alignment horizontal="center" vertical="center" textRotation="180"/>
    </xf>
    <xf numFmtId="168" fontId="6" fillId="36" borderId="0" applyAlignment="1" pivotButton="0" quotePrefix="0" xfId="0">
      <alignment horizontal="center" vertical="center" textRotation="180"/>
    </xf>
    <xf numFmtId="166" fontId="6" fillId="37" borderId="20" applyAlignment="1" pivotButton="0" quotePrefix="0" xfId="0">
      <alignment horizontal="center" vertical="center" textRotation="180"/>
    </xf>
    <xf numFmtId="166" fontId="6" fillId="31" borderId="24" applyAlignment="1" pivotButton="0" quotePrefix="0" xfId="0">
      <alignment horizontal="center" vertical="center" textRotation="180"/>
    </xf>
    <xf numFmtId="166" fontId="6" fillId="31" borderId="19" applyAlignment="1" pivotButton="0" quotePrefix="0" xfId="0">
      <alignment horizontal="center" vertical="center" textRotation="180"/>
    </xf>
    <xf numFmtId="166" fontId="6" fillId="37" borderId="19" applyAlignment="1" pivotButton="0" quotePrefix="0" xfId="0">
      <alignment horizontal="center" vertical="center" textRotation="180"/>
    </xf>
    <xf numFmtId="167" fontId="26" fillId="38" borderId="21" applyAlignment="1" pivotButton="0" quotePrefix="0" xfId="0">
      <alignment horizontal="center" vertical="center" textRotation="180"/>
    </xf>
    <xf numFmtId="168" fontId="6" fillId="30" borderId="23" applyAlignment="1" pivotButton="0" quotePrefix="0" xfId="0">
      <alignment horizontal="center" vertical="center" textRotation="180"/>
    </xf>
    <xf numFmtId="166" fontId="6" fillId="30" borderId="17" applyAlignment="1" pivotButton="0" quotePrefix="0" xfId="0">
      <alignment horizontal="center" vertical="center" textRotation="180"/>
    </xf>
    <xf numFmtId="167" fontId="6" fillId="31" borderId="18" applyAlignment="1" pivotButton="0" quotePrefix="0" xfId="0">
      <alignment horizontal="center" vertical="center" textRotation="180"/>
    </xf>
    <xf numFmtId="168" fontId="6" fillId="30" borderId="22" applyAlignment="1" pivotButton="0" quotePrefix="0" xfId="0">
      <alignment horizontal="center" vertical="center" textRotation="180"/>
    </xf>
    <xf numFmtId="167" fontId="6" fillId="30" borderId="17" applyAlignment="1" pivotButton="0" quotePrefix="0" xfId="0">
      <alignment horizontal="center" vertical="center" textRotation="180"/>
    </xf>
    <xf numFmtId="167" fontId="6" fillId="31" borderId="15" applyAlignment="1" pivotButton="0" quotePrefix="0" xfId="0">
      <alignment horizontal="center" vertical="center" textRotation="180"/>
    </xf>
    <xf numFmtId="166" fontId="6" fillId="31" borderId="3" applyAlignment="1" pivotButton="0" quotePrefix="0" xfId="0">
      <alignment horizontal="center" vertical="center" textRotation="180"/>
    </xf>
    <xf numFmtId="168" fontId="6" fillId="30" borderId="24" applyAlignment="1" pivotButton="0" quotePrefix="0" xfId="0">
      <alignment horizontal="center" vertical="center" textRotation="180"/>
    </xf>
    <xf numFmtId="166" fontId="6" fillId="37" borderId="0" applyAlignment="1" pivotButton="0" quotePrefix="0" xfId="0">
      <alignment horizontal="center" vertical="center" textRotation="180"/>
    </xf>
    <xf numFmtId="168" fontId="6" fillId="30" borderId="19" applyAlignment="1" pivotButton="0" quotePrefix="0" xfId="0">
      <alignment horizontal="center" vertical="center" textRotation="180"/>
    </xf>
    <xf numFmtId="168" fontId="6" fillId="36" borderId="18" applyAlignment="1" pivotButton="0" quotePrefix="0" xfId="0">
      <alignment horizontal="center" vertical="center" textRotation="180"/>
    </xf>
    <xf numFmtId="167" fontId="6" fillId="37" borderId="3" applyAlignment="1" pivotButton="0" quotePrefix="0" xfId="0">
      <alignment horizontal="center" vertical="center" textRotation="180"/>
    </xf>
    <xf numFmtId="168" fontId="6" fillId="30" borderId="21" applyAlignment="1" pivotButton="0" quotePrefix="0" xfId="0">
      <alignment horizontal="center" vertical="center" textRotation="180"/>
    </xf>
    <xf numFmtId="168" fontId="6" fillId="36" borderId="20" applyAlignment="1" pivotButton="0" quotePrefix="0" xfId="0">
      <alignment horizontal="center" vertical="center" textRotation="180"/>
    </xf>
    <xf numFmtId="167" fontId="6" fillId="36" borderId="19" applyAlignment="1" pivotButton="0" quotePrefix="0" xfId="0">
      <alignment horizontal="center" vertical="center" textRotation="180"/>
    </xf>
    <xf numFmtId="167" fontId="6" fillId="30" borderId="3" applyAlignment="1" pivotButton="0" quotePrefix="0" xfId="0">
      <alignment horizontal="center" vertical="center" textRotation="180"/>
    </xf>
    <xf numFmtId="167" fontId="6" fillId="37" borderId="0" applyAlignment="1" pivotButton="0" quotePrefix="0" xfId="0">
      <alignment horizontal="center" vertical="center" textRotation="180"/>
    </xf>
    <xf numFmtId="166" fontId="6" fillId="31" borderId="15" applyAlignment="1" pivotButton="0" quotePrefix="0" xfId="0">
      <alignment horizontal="center" vertical="center" textRotation="180"/>
    </xf>
    <xf numFmtId="167" fontId="6" fillId="31" borderId="16" applyAlignment="1" pivotButton="0" quotePrefix="0" xfId="0">
      <alignment horizontal="center" vertical="center" textRotation="180"/>
    </xf>
    <xf numFmtId="168" fontId="6" fillId="36" borderId="22" applyAlignment="1" pivotButton="0" quotePrefix="0" xfId="0">
      <alignment horizontal="center" vertical="center" textRotation="180"/>
    </xf>
    <xf numFmtId="165" fontId="15" fillId="7" borderId="2" applyAlignment="1" pivotButton="0" quotePrefix="0" xfId="0">
      <alignment horizontal="center" vertical="center"/>
    </xf>
    <xf numFmtId="0" fontId="8" fillId="0" borderId="8" applyAlignment="1" pivotButton="0" quotePrefix="0" xfId="0">
      <alignment horizontal="center" wrapText="1"/>
    </xf>
    <xf numFmtId="0" fontId="13" fillId="6" borderId="8" applyAlignment="1" pivotButton="0" quotePrefix="0" xfId="0">
      <alignment horizontal="center" vertical="center" wrapText="1"/>
    </xf>
    <xf numFmtId="165" fontId="14" fillId="0" borderId="2" applyAlignment="1" pivotButton="0" quotePrefix="0" xfId="0">
      <alignment horizontal="center" vertical="center"/>
    </xf>
    <xf numFmtId="165" fontId="11" fillId="0" borderId="8" applyAlignment="1" pivotButton="0" quotePrefix="0" xfId="0">
      <alignment horizontal="center" vertical="center" wrapText="1"/>
    </xf>
    <xf numFmtId="165" fontId="3" fillId="6" borderId="12" applyAlignment="1" pivotButton="0" quotePrefix="0" xfId="0">
      <alignment horizontal="center" vertical="center"/>
    </xf>
    <xf numFmtId="165" fontId="14" fillId="10" borderId="2" applyAlignment="1" pivotButton="0" quotePrefix="0" xfId="0">
      <alignment horizontal="center" vertical="center"/>
    </xf>
    <xf numFmtId="0" fontId="21" fillId="0" borderId="12" applyAlignment="1" pivotButton="0" quotePrefix="0" xfId="0">
      <alignment horizontal="center" vertical="center" shrinkToFit="1"/>
    </xf>
    <xf numFmtId="0" fontId="3" fillId="6" borderId="12" applyAlignment="1" pivotButton="0" quotePrefix="0" xfId="0">
      <alignment horizontal="center" vertical="center"/>
    </xf>
    <xf numFmtId="165" fontId="14" fillId="8" borderId="2" applyAlignment="1" pivotButton="0" quotePrefix="0" xfId="0">
      <alignment horizontal="center" vertical="center"/>
    </xf>
    <xf numFmtId="0" fontId="8" fillId="0" borderId="12" applyAlignment="1" pivotButton="0" quotePrefix="0" xfId="0">
      <alignment horizontal="center" vertical="top"/>
    </xf>
    <xf numFmtId="169" fontId="20" fillId="0" borderId="35" applyAlignment="1" pivotButton="0" quotePrefix="0" xfId="0">
      <alignment horizontal="center" vertical="center"/>
    </xf>
    <xf numFmtId="165" fontId="19" fillId="9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/>
    </xf>
    <xf numFmtId="0" fontId="3" fillId="6" borderId="35" applyAlignment="1" pivotButton="0" quotePrefix="0" xfId="0">
      <alignment horizontal="center" vertical="center" shrinkToFit="1"/>
    </xf>
    <xf numFmtId="0" fontId="18" fillId="11" borderId="2" applyAlignment="1" pivotButton="0" quotePrefix="0" xfId="0">
      <alignment horizontal="center" vertical="center"/>
    </xf>
    <xf numFmtId="0" fontId="13" fillId="11" borderId="8" applyAlignment="1" pivotButton="0" quotePrefix="0" xfId="0">
      <alignment horizontal="center" vertical="center" wrapText="1"/>
    </xf>
    <xf numFmtId="165" fontId="3" fillId="11" borderId="12" applyAlignment="1" pivotButton="0" quotePrefix="0" xfId="0">
      <alignment horizontal="center" vertical="center"/>
    </xf>
    <xf numFmtId="0" fontId="3" fillId="11" borderId="12" applyAlignment="1" pivotButton="0" quotePrefix="0" xfId="0">
      <alignment horizontal="center" vertical="center" shrinkToFit="1"/>
    </xf>
    <xf numFmtId="0" fontId="3" fillId="11" borderId="12" applyAlignment="1" pivotButton="0" quotePrefix="0" xfId="0">
      <alignment horizontal="center" vertical="center"/>
    </xf>
    <xf numFmtId="0" fontId="3" fillId="11" borderId="35" applyAlignment="1" pivotButton="0" quotePrefix="0" xfId="0">
      <alignment horizontal="center" vertical="center" shrinkToFit="1"/>
    </xf>
    <xf numFmtId="0" fontId="18" fillId="15" borderId="2" applyAlignment="1" pivotButton="0" quotePrefix="0" xfId="0">
      <alignment horizontal="center" vertical="center"/>
    </xf>
    <xf numFmtId="165" fontId="6" fillId="29" borderId="28" applyAlignment="1" pivotButton="0" quotePrefix="0" xfId="0">
      <alignment horizontal="center" vertical="center" textRotation="180"/>
    </xf>
    <xf numFmtId="165" fontId="6" fillId="29" borderId="29" applyAlignment="1" pivotButton="0" quotePrefix="0" xfId="0">
      <alignment horizontal="center" vertical="center" textRotation="180"/>
    </xf>
    <xf numFmtId="165" fontId="6" fillId="29" borderId="30" applyAlignment="1" pivotButton="0" quotePrefix="0" xfId="0">
      <alignment horizontal="center" vertical="center" textRotation="180"/>
    </xf>
    <xf numFmtId="165" fontId="6" fillId="29" borderId="31" applyAlignment="1" pivotButton="0" quotePrefix="0" xfId="0">
      <alignment horizontal="center" vertical="center" textRotation="180"/>
    </xf>
    <xf numFmtId="0" fontId="0" fillId="0" borderId="20" pivotButton="0" quotePrefix="0" xfId="0"/>
    <xf numFmtId="0" fontId="0" fillId="0" borderId="23" pivotButton="0" quotePrefix="0" xfId="0"/>
    <xf numFmtId="0" fontId="0" fillId="0" borderId="33" pivotButton="0" quotePrefix="0" xfId="0"/>
    <xf numFmtId="0" fontId="0" fillId="0" borderId="32" pivotButton="0" quotePrefix="0" xfId="0"/>
    <xf numFmtId="0" fontId="0" fillId="0" borderId="34" pivotButton="0" quotePrefix="0" xfId="0"/>
    <xf numFmtId="0" fontId="0" fillId="0" borderId="24" pivotButton="0" quotePrefix="0" xfId="0"/>
    <xf numFmtId="165" fontId="6" fillId="33" borderId="31" applyAlignment="1" pivotButton="0" quotePrefix="0" xfId="0">
      <alignment horizontal="center" vertical="center" textRotation="180"/>
    </xf>
    <xf numFmtId="165" fontId="6" fillId="34" borderId="30" applyAlignment="1" pivotButton="0" quotePrefix="0" xfId="0">
      <alignment horizontal="center" vertical="center" textRotation="180"/>
    </xf>
    <xf numFmtId="165" fontId="6" fillId="34" borderId="29" applyAlignment="1" pivotButton="0" quotePrefix="0" xfId="0">
      <alignment horizontal="center" vertical="center" textRotation="180"/>
    </xf>
    <xf numFmtId="165" fontId="6" fillId="35" borderId="30" applyAlignment="1" pivotButton="0" quotePrefix="0" xfId="0">
      <alignment horizontal="center" vertical="center" textRotation="180"/>
    </xf>
    <xf numFmtId="165" fontId="5" fillId="0" borderId="8" applyAlignment="1" pivotButton="0" quotePrefix="0" xfId="0">
      <alignment horizontal="center" vertical="center" wrapText="1"/>
    </xf>
    <xf numFmtId="0" fontId="13" fillId="15" borderId="8" applyAlignment="1" pivotButton="0" quotePrefix="0" xfId="0">
      <alignment horizontal="center" vertical="center" wrapText="1"/>
    </xf>
    <xf numFmtId="165" fontId="14" fillId="0" borderId="2" applyAlignment="1" pivotButton="0" quotePrefix="1" xfId="0">
      <alignment horizontal="center" vertical="center"/>
    </xf>
    <xf numFmtId="165" fontId="3" fillId="15" borderId="12" applyAlignment="1" pivotButton="0" quotePrefix="0" xfId="0">
      <alignment horizontal="center" vertical="center"/>
    </xf>
    <xf numFmtId="165" fontId="14" fillId="12" borderId="2" applyAlignment="1" pivotButton="0" quotePrefix="1" xfId="0">
      <alignment horizontal="center" vertical="center"/>
    </xf>
    <xf numFmtId="0" fontId="3" fillId="15" borderId="12" applyAlignment="1" pivotButton="0" quotePrefix="0" xfId="0">
      <alignment horizontal="center" vertical="center"/>
    </xf>
    <xf numFmtId="165" fontId="14" fillId="13" borderId="2" applyAlignment="1" pivotButton="0" quotePrefix="1" xfId="0">
      <alignment horizontal="center" vertical="center"/>
    </xf>
    <xf numFmtId="170" fontId="23" fillId="0" borderId="35" applyAlignment="1" pivotButton="0" quotePrefix="0" xfId="0">
      <alignment horizontal="center" vertical="center" shrinkToFit="1"/>
    </xf>
    <xf numFmtId="165" fontId="19" fillId="14" borderId="2" applyAlignment="1" pivotButton="0" quotePrefix="0" xfId="0">
      <alignment horizontal="center" vertical="center"/>
    </xf>
    <xf numFmtId="0" fontId="3" fillId="15" borderId="35" applyAlignment="1" pivotButton="0" quotePrefix="0" xfId="0">
      <alignment horizontal="center" vertical="center" shrinkToFit="1"/>
    </xf>
    <xf numFmtId="0" fontId="18" fillId="18" borderId="2" applyAlignment="1" pivotButton="0" quotePrefix="0" xfId="0">
      <alignment horizontal="center" vertical="center"/>
    </xf>
    <xf numFmtId="165" fontId="6" fillId="0" borderId="28" applyAlignment="1" pivotButton="0" quotePrefix="0" xfId="0">
      <alignment horizontal="center" vertical="center" textRotation="180"/>
    </xf>
    <xf numFmtId="165" fontId="6" fillId="0" borderId="29" applyAlignment="1" pivotButton="0" quotePrefix="0" xfId="0">
      <alignment horizontal="center" vertical="center" textRotation="180"/>
    </xf>
    <xf numFmtId="165" fontId="6" fillId="0" borderId="30" applyAlignment="1" pivotButton="0" quotePrefix="0" xfId="0">
      <alignment horizontal="center" vertical="center" textRotation="180"/>
    </xf>
    <xf numFmtId="165" fontId="6" fillId="0" borderId="31" applyAlignment="1" pivotButton="0" quotePrefix="0" xfId="0">
      <alignment horizontal="center" vertical="center" textRotation="180"/>
    </xf>
    <xf numFmtId="0" fontId="13" fillId="18" borderId="8" applyAlignment="1" pivotButton="0" quotePrefix="0" xfId="0">
      <alignment horizontal="center" vertical="center" wrapText="1"/>
    </xf>
    <xf numFmtId="165" fontId="3" fillId="18" borderId="12" applyAlignment="1" pivotButton="0" quotePrefix="0" xfId="0">
      <alignment horizontal="center" vertical="center"/>
    </xf>
    <xf numFmtId="0" fontId="3" fillId="18" borderId="12" applyAlignment="1" pivotButton="0" quotePrefix="0" xfId="0">
      <alignment horizontal="center" vertical="center"/>
    </xf>
    <xf numFmtId="0" fontId="3" fillId="18" borderId="35" applyAlignment="1" pivotButton="0" quotePrefix="0" xfId="0">
      <alignment horizontal="center" vertical="center" shrinkToFit="1"/>
    </xf>
  </cellXfs>
  <cellStyles count="1">
    <cellStyle name="Normal" xfId="0" builtinId="0"/>
  </cellStyles>
  <dxfs count="33">
    <dxf>
      <font>
        <color rgb="FF000000"/>
      </font>
      <fill>
        <patternFill patternType="solid">
          <bgColor rgb="FFD3D3D3"/>
        </patternFill>
      </fill>
    </dxf>
    <dxf>
      <font>
        <color rgb="FF000000"/>
      </font>
      <fill>
        <patternFill patternType="solid">
          <bgColor rgb="FFFFFFFF"/>
        </patternFill>
      </fill>
    </dxf>
    <dxf>
      <font>
        <color rgb="FF000000"/>
      </font>
      <fill>
        <patternFill patternType="solid">
          <bgColor rgb="FFFFFFD7"/>
        </patternFill>
      </fill>
    </dxf>
    <dxf>
      <font>
        <color rgb="FF000000"/>
      </font>
      <fill>
        <patternFill patternType="solid">
          <bgColor rgb="FFFFFFB7"/>
        </patternFill>
      </fill>
    </dxf>
    <dxf>
      <font>
        <color rgb="FF000000"/>
      </font>
      <fill>
        <patternFill patternType="solid">
          <bgColor rgb="FFCCFFCC"/>
        </patternFill>
      </fill>
    </dxf>
    <dxf>
      <font>
        <color rgb="FF000000"/>
      </font>
      <fill>
        <patternFill patternType="solid">
          <bgColor rgb="FFB9FFB9"/>
        </patternFill>
      </fill>
    </dxf>
    <dxf>
      <font>
        <color rgb="FF000000"/>
      </font>
      <fill>
        <patternFill patternType="solid">
          <bgColor rgb="FF9BFFFF"/>
        </patternFill>
      </fill>
    </dxf>
    <dxf>
      <font>
        <color rgb="FF000000"/>
      </font>
      <fill>
        <patternFill patternType="solid">
          <bgColor rgb="FF80FFFF"/>
        </patternFill>
      </fill>
    </dxf>
    <dxf>
      <font>
        <color rgb="FF000000"/>
      </font>
      <fill>
        <patternFill patternType="solid">
          <bgColor rgb="FF24FFFF"/>
        </patternFill>
      </fill>
    </dxf>
    <dxf>
      <font>
        <color rgb="FF000000"/>
      </font>
      <fill>
        <patternFill patternType="solid">
          <bgColor rgb="FF0080FF"/>
        </patternFill>
      </fill>
    </dxf>
    <dxf>
      <font>
        <color rgb="FF000000"/>
      </font>
      <fill>
        <patternFill patternType="solid">
          <bgColor rgb="FFFF0000"/>
        </patternFill>
      </fill>
    </dxf>
    <dxf>
      <font>
        <color rgb="FF000000"/>
      </font>
      <fill>
        <patternFill patternType="solid">
          <bgColor rgb="FFD3D3D3"/>
        </patternFill>
      </fill>
    </dxf>
    <dxf>
      <font>
        <color rgb="FF000000"/>
      </font>
      <fill>
        <patternFill patternType="solid">
          <bgColor rgb="FFFFFFFF"/>
        </patternFill>
      </fill>
    </dxf>
    <dxf>
      <font>
        <color rgb="FF000000"/>
      </font>
      <fill>
        <patternFill patternType="solid">
          <bgColor rgb="FFFFFFD7"/>
        </patternFill>
      </fill>
    </dxf>
    <dxf>
      <font>
        <color rgb="FF000000"/>
      </font>
      <fill>
        <patternFill patternType="solid">
          <bgColor rgb="FFFFFFB7"/>
        </patternFill>
      </fill>
    </dxf>
    <dxf>
      <font>
        <color rgb="FF000000"/>
      </font>
      <fill>
        <patternFill patternType="solid">
          <bgColor rgb="FFCCFFCC"/>
        </patternFill>
      </fill>
    </dxf>
    <dxf>
      <font>
        <color rgb="FF000000"/>
      </font>
      <fill>
        <patternFill patternType="solid">
          <bgColor rgb="FFB9FFB9"/>
        </patternFill>
      </fill>
    </dxf>
    <dxf>
      <font>
        <color rgb="FF000000"/>
      </font>
      <fill>
        <patternFill patternType="solid">
          <bgColor rgb="FF9BFFFF"/>
        </patternFill>
      </fill>
    </dxf>
    <dxf>
      <font>
        <color rgb="FF000000"/>
      </font>
      <fill>
        <patternFill patternType="solid">
          <bgColor rgb="FF80FFFF"/>
        </patternFill>
      </fill>
    </dxf>
    <dxf>
      <font>
        <color rgb="FF000000"/>
      </font>
      <fill>
        <patternFill patternType="solid">
          <bgColor rgb="FF24FFFF"/>
        </patternFill>
      </fill>
    </dxf>
    <dxf>
      <font>
        <color rgb="FF000000"/>
      </font>
      <fill>
        <patternFill patternType="solid">
          <bgColor rgb="FF0080FF"/>
        </patternFill>
      </fill>
    </dxf>
    <dxf>
      <font>
        <color rgb="FF000000"/>
      </font>
      <fill>
        <patternFill patternType="solid">
          <bgColor rgb="FFFF0000"/>
        </patternFill>
      </fill>
    </dxf>
    <dxf>
      <font>
        <color rgb="FF000000"/>
      </font>
      <fill>
        <patternFill patternType="solid">
          <bgColor rgb="FFD3D3D3"/>
        </patternFill>
      </fill>
    </dxf>
    <dxf>
      <font>
        <color rgb="FF000000"/>
      </font>
      <fill>
        <patternFill patternType="solid">
          <bgColor rgb="FFFFFFFF"/>
        </patternFill>
      </fill>
    </dxf>
    <dxf>
      <font>
        <color rgb="FF000000"/>
      </font>
      <fill>
        <patternFill patternType="solid">
          <bgColor rgb="FFFFFFD7"/>
        </patternFill>
      </fill>
    </dxf>
    <dxf>
      <font>
        <color rgb="FF000000"/>
      </font>
      <fill>
        <patternFill patternType="solid">
          <bgColor rgb="FFFFFFB7"/>
        </patternFill>
      </fill>
    </dxf>
    <dxf>
      <font>
        <color rgb="FF000000"/>
      </font>
      <fill>
        <patternFill patternType="solid">
          <bgColor rgb="FFCCFFCC"/>
        </patternFill>
      </fill>
    </dxf>
    <dxf>
      <font>
        <color rgb="FF000000"/>
      </font>
      <fill>
        <patternFill patternType="solid">
          <bgColor rgb="FFB9FFB9"/>
        </patternFill>
      </fill>
    </dxf>
    <dxf>
      <font>
        <color rgb="FF000000"/>
      </font>
      <fill>
        <patternFill patternType="solid">
          <bgColor rgb="FF9BFFFF"/>
        </patternFill>
      </fill>
    </dxf>
    <dxf>
      <font>
        <color rgb="FF000000"/>
      </font>
      <fill>
        <patternFill patternType="solid">
          <bgColor rgb="FF80FFFF"/>
        </patternFill>
      </fill>
    </dxf>
    <dxf>
      <font>
        <color rgb="FF000000"/>
      </font>
      <fill>
        <patternFill patternType="solid">
          <bgColor rgb="FF24FFFF"/>
        </patternFill>
      </fill>
    </dxf>
    <dxf>
      <font>
        <color rgb="FF000000"/>
      </font>
      <fill>
        <patternFill patternType="solid">
          <bgColor rgb="FF0080FF"/>
        </patternFill>
      </fill>
    </dxf>
    <dxf>
      <font>
        <color rgb="FF000000"/>
      </font>
      <fill>
        <patternFill patternType="solid">
          <bgColor rgb="FFFF000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drawing1.xml><?xml version="1.0" encoding="utf-8"?>
<wsDr xmlns="http://schemas.openxmlformats.org/drawingml/2006/spreadsheetDrawing">
  <twoCellAnchor editAs="oneCell">
    <from>
      <col>48</col>
      <colOff>47625</colOff>
      <row>126</row>
      <rowOff>95250</rowOff>
    </from>
    <to>
      <col>68</col>
      <colOff>114300</colOff>
      <row>129</row>
      <rowOff>209550</rowOff>
    </to>
    <pic>
      <nvPicPr>
        <cNvPr id="1040" name="logo" descr="atslogo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419609" y="39962571"/>
          <a:ext cx="3693968" cy="144693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48</col>
      <colOff>47625</colOff>
      <row>126</row>
      <rowOff>95250</rowOff>
    </from>
    <to>
      <col>68</col>
      <colOff>114300</colOff>
      <row>129</row>
      <rowOff>209550</rowOff>
    </to>
    <pic>
      <nvPicPr>
        <cNvPr id="2" name="logo" descr="atslogo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992196" y="40295080"/>
          <a:ext cx="3562350" cy="14573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48</col>
      <colOff>47625</colOff>
      <row>126</row>
      <rowOff>95250</rowOff>
    </from>
    <to>
      <col>68</col>
      <colOff>114300</colOff>
      <row>129</row>
      <rowOff>209550</rowOff>
    </to>
    <pic>
      <nvPicPr>
        <cNvPr id="2" name="logo" descr="atslogo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992196" y="40295080"/>
          <a:ext cx="3562350" cy="14573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48</col>
      <colOff>47625</colOff>
      <row>126</row>
      <rowOff>95250</rowOff>
    </from>
    <to>
      <col>68</col>
      <colOff>114300</colOff>
      <row>129</row>
      <rowOff>209550</rowOff>
    </to>
    <pic>
      <nvPicPr>
        <cNvPr id="2" name="logo" descr="atslogo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992196" y="40295080"/>
          <a:ext cx="3562350" cy="14573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48</col>
      <colOff>47625</colOff>
      <row>126</row>
      <rowOff>95250</rowOff>
    </from>
    <to>
      <col>68</col>
      <colOff>114300</colOff>
      <row>129</row>
      <rowOff>209550</rowOff>
    </to>
    <pic>
      <nvPicPr>
        <cNvPr id="2" name="logo" descr="atslogo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992196" y="40295080"/>
          <a:ext cx="3562350" cy="14573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 codeName="Sheet6">
    <outlinePr summaryBelow="1" summaryRight="1"/>
    <pageSetUpPr fitToPage="1"/>
  </sheetPr>
  <dimension ref="A1:FZ148"/>
  <sheetViews>
    <sheetView tabSelected="1" topLeftCell="A93" zoomScale="50" zoomScaleNormal="50" workbookViewId="0">
      <selection activeCell="A1" sqref="A1:B2"/>
    </sheetView>
  </sheetViews>
  <sheetFormatPr baseColWidth="8" defaultColWidth="11.7109375" defaultRowHeight="12.75"/>
  <cols>
    <col width="5.7109375" customWidth="1" style="212" min="1" max="1"/>
    <col width="30.7109375" customWidth="1" style="1" min="2" max="2"/>
    <col width="7.28515625" bestFit="1" customWidth="1" style="2" min="3" max="3"/>
    <col width="2.5703125" customWidth="1" style="1" min="4" max="128"/>
    <col width="2.7109375" customWidth="1" style="1" min="129" max="130"/>
    <col hidden="1" width="2.42578125" customWidth="1" style="1" min="131" max="131"/>
    <col hidden="1" width="8.7109375" customWidth="1" style="2" min="132" max="132"/>
    <col hidden="1" style="2" min="133" max="172"/>
    <col hidden="1" width="11.5703125" customWidth="1" style="212" min="173" max="173"/>
    <col hidden="1" width="10.5703125" customWidth="1" style="212" min="174" max="174"/>
    <col hidden="1" width="10.85546875" customWidth="1" style="212" min="175" max="175"/>
    <col hidden="1" width="10.5703125" customWidth="1" style="212" min="176" max="177"/>
    <col hidden="1" width="10.85546875" customWidth="1" style="212" min="178" max="178"/>
    <col hidden="1" width="9.5703125" customWidth="1" style="212" min="179" max="179"/>
    <col hidden="1" width="11.7109375" customWidth="1" style="212" min="180" max="245"/>
    <col width="11.7109375" customWidth="1" style="212" min="246" max="247"/>
    <col width="11.7109375" customWidth="1" style="212" min="248" max="16384"/>
  </cols>
  <sheetData>
    <row r="1" ht="36" customHeight="1">
      <c r="A1" s="445" t="n">
        <v>2025</v>
      </c>
      <c r="B1" s="446" t="n"/>
      <c r="C1" s="447" t="inlineStr">
        <is>
          <t xml:space="preserve">RF - REFRACTORY; ST - STRUCTURAL INTERFERENCE; RT - RECESSED TUBE; </t>
        </is>
      </c>
      <c r="D1" s="448" t="n"/>
      <c r="E1" s="448" t="n"/>
      <c r="F1" s="448" t="n"/>
      <c r="G1" s="448" t="n"/>
      <c r="H1" s="448" t="n"/>
      <c r="I1" s="448" t="n"/>
      <c r="J1" s="448" t="n"/>
      <c r="K1" s="448" t="n"/>
      <c r="L1" s="448" t="n"/>
      <c r="M1" s="448" t="n"/>
      <c r="N1" s="448" t="n"/>
      <c r="O1" s="448" t="n"/>
      <c r="P1" s="448" t="n"/>
      <c r="Q1" s="448" t="n"/>
      <c r="R1" s="448" t="n"/>
      <c r="S1" s="448" t="n"/>
      <c r="T1" s="448" t="n"/>
      <c r="U1" s="448" t="n"/>
      <c r="V1" s="448" t="n"/>
      <c r="W1" s="448" t="n"/>
      <c r="X1" s="448" t="n"/>
      <c r="Y1" s="448" t="n"/>
      <c r="Z1" s="448" t="n"/>
      <c r="AA1" s="448" t="n"/>
      <c r="AB1" s="448" t="n"/>
      <c r="AC1" s="448" t="n"/>
      <c r="AD1" s="448" t="n"/>
      <c r="AE1" s="448" t="n"/>
      <c r="AF1" s="448" t="n"/>
      <c r="AG1" s="448" t="n"/>
      <c r="AH1" s="448" t="n"/>
      <c r="AI1" s="448" t="n"/>
      <c r="AJ1" s="448" t="n"/>
      <c r="AK1" s="448" t="n"/>
      <c r="AL1" s="448" t="n"/>
      <c r="AM1" s="448" t="n"/>
      <c r="AN1" s="448" t="n"/>
      <c r="AO1" s="448" t="n"/>
      <c r="AP1" s="448" t="n"/>
      <c r="AQ1" s="448" t="n"/>
      <c r="AR1" s="448" t="n"/>
      <c r="AS1" s="448" t="n"/>
      <c r="AT1" s="448" t="n"/>
      <c r="AU1" s="448" t="n"/>
      <c r="AV1" s="448" t="n"/>
      <c r="AW1" s="448" t="n"/>
      <c r="AX1" s="448" t="n"/>
      <c r="AY1" s="448" t="n"/>
      <c r="AZ1" s="448" t="n"/>
      <c r="BA1" s="448" t="n"/>
      <c r="BB1" s="448" t="n"/>
      <c r="BC1" s="448" t="n"/>
      <c r="BD1" s="448" t="n"/>
      <c r="BE1" s="448" t="n"/>
      <c r="BF1" s="448" t="n"/>
      <c r="BG1" s="448" t="n"/>
      <c r="BH1" s="448" t="n"/>
      <c r="BI1" s="448" t="n"/>
      <c r="BJ1" s="448" t="n"/>
      <c r="BK1" s="448" t="n"/>
      <c r="BL1" s="448" t="n"/>
      <c r="BM1" s="448" t="n"/>
      <c r="BN1" s="448" t="n"/>
      <c r="BO1" s="448" t="n"/>
      <c r="BP1" s="448" t="n"/>
      <c r="BQ1" s="448" t="n"/>
      <c r="BR1" s="448" t="n"/>
      <c r="BS1" s="448" t="n"/>
      <c r="BT1" s="448" t="n"/>
      <c r="BU1" s="448" t="n"/>
      <c r="BV1" s="448" t="n"/>
      <c r="BW1" s="448" t="n"/>
      <c r="BX1" s="448" t="n"/>
      <c r="BY1" s="448" t="n"/>
      <c r="BZ1" s="448" t="n"/>
      <c r="CA1" s="448" t="n"/>
      <c r="CB1" s="448" t="n"/>
      <c r="CC1" s="448" t="n"/>
      <c r="CD1" s="448" t="n"/>
      <c r="CE1" s="448" t="n"/>
      <c r="CF1" s="448" t="n"/>
      <c r="CG1" s="448" t="n"/>
      <c r="CH1" s="448" t="n"/>
      <c r="CI1" s="448" t="n"/>
      <c r="CJ1" s="448" t="n"/>
      <c r="CK1" s="448" t="n"/>
      <c r="CL1" s="448" t="n"/>
      <c r="CM1" s="448" t="n"/>
      <c r="CN1" s="448" t="n"/>
      <c r="CO1" s="448" t="n"/>
      <c r="CP1" s="448" t="n"/>
      <c r="CQ1" s="448" t="n"/>
      <c r="CR1" s="448" t="n"/>
      <c r="CS1" s="448" t="n"/>
      <c r="CT1" s="448" t="n"/>
      <c r="CU1" s="448" t="n"/>
      <c r="CV1" s="448" t="n"/>
      <c r="CW1" s="448" t="n"/>
      <c r="CX1" s="448" t="n"/>
      <c r="CY1" s="448" t="n"/>
      <c r="CZ1" s="448" t="n"/>
      <c r="DA1" s="448" t="n"/>
      <c r="DB1" s="448" t="n"/>
      <c r="DC1" s="448" t="n"/>
      <c r="DD1" s="448" t="n"/>
      <c r="DE1" s="448" t="n"/>
      <c r="DF1" s="448" t="n"/>
      <c r="DG1" s="448" t="n"/>
      <c r="DH1" s="448" t="n"/>
      <c r="DI1" s="448" t="n"/>
      <c r="DJ1" s="448" t="n"/>
      <c r="DK1" s="448" t="n"/>
      <c r="DL1" s="448" t="n"/>
      <c r="DM1" s="448" t="n"/>
      <c r="DN1" s="448" t="n"/>
      <c r="DO1" s="448" t="n"/>
      <c r="DP1" s="449" t="n"/>
      <c r="DQ1" s="450" t="inlineStr">
        <is>
          <t>OBSTRUCTION</t>
        </is>
      </c>
      <c r="DR1" s="448" t="n"/>
      <c r="DS1" s="448" t="n"/>
      <c r="DT1" s="448" t="n"/>
      <c r="DU1" s="448" t="n"/>
      <c r="DV1" s="448" t="n"/>
      <c r="DW1" s="448" t="n"/>
      <c r="DX1" s="448" t="n"/>
      <c r="DY1" s="448" t="n"/>
      <c r="DZ1" s="449" t="n"/>
    </row>
    <row r="2" ht="36" customFormat="1" customHeight="1" s="5">
      <c r="A2" s="14" t="n"/>
      <c r="B2" s="451" t="n"/>
      <c r="C2" s="452" t="inlineStr">
        <is>
          <t>TUBES NUMBERED LEFT TO RIGHT FACING WALL. THICKNESS MEASUREMENTS ARE IN INCHES.</t>
        </is>
      </c>
      <c r="D2" s="448" t="n"/>
      <c r="E2" s="448" t="n"/>
      <c r="F2" s="448" t="n"/>
      <c r="G2" s="448" t="n"/>
      <c r="H2" s="448" t="n"/>
      <c r="I2" s="448" t="n"/>
      <c r="J2" s="448" t="n"/>
      <c r="K2" s="448" t="n"/>
      <c r="L2" s="448" t="n"/>
      <c r="M2" s="448" t="n"/>
      <c r="N2" s="448" t="n"/>
      <c r="O2" s="448" t="n"/>
      <c r="P2" s="448" t="n"/>
      <c r="Q2" s="448" t="n"/>
      <c r="R2" s="448" t="n"/>
      <c r="S2" s="448" t="n"/>
      <c r="T2" s="448" t="n"/>
      <c r="U2" s="448" t="n"/>
      <c r="V2" s="448" t="n"/>
      <c r="W2" s="448" t="n"/>
      <c r="X2" s="448" t="n"/>
      <c r="Y2" s="448" t="n"/>
      <c r="Z2" s="448" t="n"/>
      <c r="AA2" s="448" t="n"/>
      <c r="AB2" s="448" t="n"/>
      <c r="AC2" s="448" t="n"/>
      <c r="AD2" s="448" t="n"/>
      <c r="AE2" s="448" t="n"/>
      <c r="AF2" s="448" t="n"/>
      <c r="AG2" s="448" t="n"/>
      <c r="AH2" s="448" t="n"/>
      <c r="AI2" s="448" t="n"/>
      <c r="AJ2" s="448" t="n"/>
      <c r="AK2" s="448" t="n"/>
      <c r="AL2" s="448" t="n"/>
      <c r="AM2" s="448" t="n"/>
      <c r="AN2" s="448" t="n"/>
      <c r="AO2" s="448" t="n"/>
      <c r="AP2" s="448" t="n"/>
      <c r="AQ2" s="448" t="n"/>
      <c r="AR2" s="448" t="n"/>
      <c r="AS2" s="448" t="n"/>
      <c r="AT2" s="448" t="n"/>
      <c r="AU2" s="448" t="n"/>
      <c r="AV2" s="448" t="n"/>
      <c r="AW2" s="448" t="n"/>
      <c r="AX2" s="448" t="n"/>
      <c r="AY2" s="448" t="n"/>
      <c r="AZ2" s="448" t="n"/>
      <c r="BA2" s="448" t="n"/>
      <c r="BB2" s="448" t="n"/>
      <c r="BC2" s="448" t="n"/>
      <c r="BD2" s="448" t="n"/>
      <c r="BE2" s="448" t="n"/>
      <c r="BF2" s="448" t="n"/>
      <c r="BG2" s="448" t="n"/>
      <c r="BH2" s="448" t="n"/>
      <c r="BI2" s="448" t="n"/>
      <c r="BJ2" s="448" t="n"/>
      <c r="BK2" s="448" t="n"/>
      <c r="BL2" s="448" t="n"/>
      <c r="BM2" s="448" t="n"/>
      <c r="BN2" s="448" t="n"/>
      <c r="BO2" s="448" t="n"/>
      <c r="BP2" s="448" t="n"/>
      <c r="BQ2" s="448" t="n"/>
      <c r="BR2" s="448" t="n"/>
      <c r="BS2" s="448" t="n"/>
      <c r="BT2" s="448" t="n"/>
      <c r="BU2" s="448" t="n"/>
      <c r="BV2" s="448" t="n"/>
      <c r="BW2" s="448" t="n"/>
      <c r="BX2" s="448" t="n"/>
      <c r="BY2" s="448" t="n"/>
      <c r="BZ2" s="448" t="n"/>
      <c r="CA2" s="448" t="n"/>
      <c r="CB2" s="448" t="n"/>
      <c r="CC2" s="448" t="n"/>
      <c r="CD2" s="448" t="n"/>
      <c r="CE2" s="448" t="n"/>
      <c r="CF2" s="448" t="n"/>
      <c r="CG2" s="448" t="n"/>
      <c r="CH2" s="448" t="n"/>
      <c r="CI2" s="448" t="n"/>
      <c r="CJ2" s="448" t="n"/>
      <c r="CK2" s="448" t="n"/>
      <c r="CL2" s="448" t="n"/>
      <c r="CM2" s="448" t="n"/>
      <c r="CN2" s="448" t="n"/>
      <c r="CO2" s="448" t="n"/>
      <c r="CP2" s="448" t="n"/>
      <c r="CQ2" s="448" t="n"/>
      <c r="CR2" s="448" t="n"/>
      <c r="CS2" s="448" t="n"/>
      <c r="CT2" s="448" t="n"/>
      <c r="CU2" s="448" t="n"/>
      <c r="CV2" s="448" t="n"/>
      <c r="CW2" s="448" t="n"/>
      <c r="CX2" s="448" t="n"/>
      <c r="CY2" s="448" t="n"/>
      <c r="CZ2" s="448" t="n"/>
      <c r="DA2" s="448" t="n"/>
      <c r="DB2" s="448" t="n"/>
      <c r="DC2" s="448" t="n"/>
      <c r="DD2" s="448" t="n"/>
      <c r="DE2" s="448" t="n"/>
      <c r="DF2" s="448" t="n"/>
      <c r="DG2" s="448" t="n"/>
      <c r="DH2" s="448" t="n"/>
      <c r="DI2" s="448" t="n"/>
      <c r="DJ2" s="448" t="n"/>
      <c r="DK2" s="448" t="n"/>
      <c r="DL2" s="448" t="n"/>
      <c r="DM2" s="448" t="n"/>
      <c r="DN2" s="448" t="n"/>
      <c r="DO2" s="448" t="n"/>
      <c r="DP2" s="449" t="n"/>
      <c r="DQ2" s="450" t="inlineStr">
        <is>
          <t>ORIENTATION</t>
        </is>
      </c>
      <c r="DR2" s="448" t="n"/>
      <c r="DS2" s="448" t="n"/>
      <c r="DT2" s="448" t="n"/>
      <c r="DU2" s="448" t="n"/>
      <c r="DV2" s="448" t="n"/>
      <c r="DW2" s="448" t="n"/>
      <c r="DX2" s="448" t="n"/>
      <c r="DY2" s="448" t="n"/>
      <c r="DZ2" s="449" t="n"/>
      <c r="EA2" s="4" t="n"/>
    </row>
    <row r="3" ht="36" customFormat="1" customHeight="1" s="5">
      <c r="A3" s="453" t="inlineStr">
        <is>
          <t>ELEVATION</t>
        </is>
      </c>
      <c r="B3" s="449" t="n"/>
      <c r="C3" s="18" t="inlineStr">
        <is>
          <t>LOC</t>
        </is>
      </c>
      <c r="D3" s="26" t="n">
        <v>1</v>
      </c>
      <c r="E3" s="27" t="n">
        <v>2</v>
      </c>
      <c r="F3" s="27" t="n">
        <v>3</v>
      </c>
      <c r="G3" s="27" t="n">
        <v>4</v>
      </c>
      <c r="H3" s="27" t="n">
        <v>5</v>
      </c>
      <c r="I3" s="27" t="n">
        <v>6</v>
      </c>
      <c r="J3" s="27" t="n">
        <v>7</v>
      </c>
      <c r="K3" s="27" t="n">
        <v>8</v>
      </c>
      <c r="L3" s="27" t="n">
        <v>9</v>
      </c>
      <c r="M3" s="27" t="n">
        <v>10</v>
      </c>
      <c r="N3" s="27" t="n">
        <v>11</v>
      </c>
      <c r="O3" s="27" t="n">
        <v>12</v>
      </c>
      <c r="P3" s="27" t="n">
        <v>13</v>
      </c>
      <c r="Q3" s="27" t="n">
        <v>14</v>
      </c>
      <c r="R3" s="27" t="n">
        <v>15</v>
      </c>
      <c r="S3" s="27" t="n">
        <v>16</v>
      </c>
      <c r="T3" s="27" t="n">
        <v>17</v>
      </c>
      <c r="U3" s="27" t="n">
        <v>18</v>
      </c>
      <c r="V3" s="27" t="n">
        <v>19</v>
      </c>
      <c r="W3" s="27" t="n">
        <v>20</v>
      </c>
      <c r="X3" s="27" t="n">
        <v>21</v>
      </c>
      <c r="Y3" s="27" t="n">
        <v>22</v>
      </c>
      <c r="Z3" s="27" t="n">
        <v>23</v>
      </c>
      <c r="AA3" s="27" t="n">
        <v>24</v>
      </c>
      <c r="AB3" s="27" t="n">
        <v>25</v>
      </c>
      <c r="AC3" s="27" t="n">
        <v>26</v>
      </c>
      <c r="AD3" s="27" t="n">
        <v>27</v>
      </c>
      <c r="AE3" s="27" t="n">
        <v>28</v>
      </c>
      <c r="AF3" s="27" t="n">
        <v>29</v>
      </c>
      <c r="AG3" s="27" t="n">
        <v>30</v>
      </c>
      <c r="AH3" s="27" t="n">
        <v>31</v>
      </c>
      <c r="AI3" s="27" t="n">
        <v>32</v>
      </c>
      <c r="AJ3" s="27" t="n">
        <v>33</v>
      </c>
      <c r="AK3" s="27" t="n">
        <v>34</v>
      </c>
      <c r="AL3" s="27" t="n">
        <v>35</v>
      </c>
      <c r="AM3" s="27" t="n">
        <v>36</v>
      </c>
      <c r="AN3" s="27" t="n">
        <v>37</v>
      </c>
      <c r="AO3" s="27" t="n">
        <v>38</v>
      </c>
      <c r="AP3" s="27" t="n">
        <v>39</v>
      </c>
      <c r="AQ3" s="27" t="n">
        <v>40</v>
      </c>
      <c r="AR3" s="27" t="n">
        <v>41</v>
      </c>
      <c r="AS3" s="27" t="n">
        <v>42</v>
      </c>
      <c r="AT3" s="27" t="n">
        <v>43</v>
      </c>
      <c r="AU3" s="27" t="n">
        <v>44</v>
      </c>
      <c r="AV3" s="27" t="n">
        <v>45</v>
      </c>
      <c r="AW3" s="27" t="n">
        <v>46</v>
      </c>
      <c r="AX3" s="27" t="n">
        <v>47</v>
      </c>
      <c r="AY3" s="27" t="n">
        <v>48</v>
      </c>
      <c r="AZ3" s="27" t="n">
        <v>49</v>
      </c>
      <c r="BA3" s="27" t="n">
        <v>50</v>
      </c>
      <c r="BB3" s="27" t="n">
        <v>51</v>
      </c>
      <c r="BC3" s="27" t="n">
        <v>52</v>
      </c>
      <c r="BD3" s="27" t="n">
        <v>53</v>
      </c>
      <c r="BE3" s="27" t="n">
        <v>54</v>
      </c>
      <c r="BF3" s="27" t="n">
        <v>55</v>
      </c>
      <c r="BG3" s="27" t="n">
        <v>56</v>
      </c>
      <c r="BH3" s="27" t="n">
        <v>57</v>
      </c>
      <c r="BI3" s="27" t="n">
        <v>58</v>
      </c>
      <c r="BJ3" s="27" t="n">
        <v>59</v>
      </c>
      <c r="BK3" s="27" t="n">
        <v>60</v>
      </c>
      <c r="BL3" s="27" t="n">
        <v>61</v>
      </c>
      <c r="BM3" s="27" t="n">
        <v>62</v>
      </c>
      <c r="BN3" s="27" t="n">
        <v>63</v>
      </c>
      <c r="BO3" s="27" t="n">
        <v>64</v>
      </c>
      <c r="BP3" s="27" t="n">
        <v>65</v>
      </c>
      <c r="BQ3" s="27" t="n">
        <v>66</v>
      </c>
      <c r="BR3" s="27" t="n">
        <v>67</v>
      </c>
      <c r="BS3" s="27" t="n">
        <v>68</v>
      </c>
      <c r="BT3" s="28" t="n">
        <v>69</v>
      </c>
      <c r="BU3" s="29" t="inlineStr">
        <is>
          <t>AVG</t>
        </is>
      </c>
      <c r="BV3" s="30" t="inlineStr">
        <is>
          <t>MIN</t>
        </is>
      </c>
      <c r="BW3" s="19" t="n"/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19" t="n"/>
      <c r="CL3" s="19" t="n"/>
      <c r="CM3" s="19" t="n"/>
      <c r="CN3" s="19" t="n"/>
      <c r="CO3" s="19" t="n"/>
      <c r="CP3" s="19" t="n"/>
      <c r="CQ3" s="19" t="n"/>
      <c r="CR3" s="19" t="n"/>
      <c r="CS3" s="19" t="n"/>
      <c r="CT3" s="19" t="n"/>
      <c r="CU3" s="19" t="n"/>
      <c r="CV3" s="19" t="n"/>
      <c r="CW3" s="19" t="n"/>
      <c r="CX3" s="19" t="n"/>
      <c r="CY3" s="19" t="n"/>
      <c r="CZ3" s="19" t="n"/>
      <c r="DA3" s="19" t="n"/>
      <c r="DB3" s="19" t="n"/>
      <c r="DC3" s="19" t="n"/>
      <c r="DD3" s="19" t="n"/>
      <c r="DE3" s="19" t="n"/>
      <c r="DF3" s="19" t="n"/>
      <c r="DG3" s="19" t="n"/>
      <c r="DH3" s="19" t="n"/>
      <c r="DI3" s="19" t="n"/>
      <c r="DJ3" s="19" t="n"/>
      <c r="DK3" s="19" t="n"/>
      <c r="DL3" s="19" t="n"/>
      <c r="DM3" s="19" t="n"/>
      <c r="DN3" s="19" t="n"/>
      <c r="DO3" s="20" t="n"/>
      <c r="DP3" s="20" t="n"/>
      <c r="DQ3" s="20" t="n"/>
      <c r="DR3" s="20" t="n"/>
      <c r="DS3" s="20" t="n"/>
      <c r="DT3" s="20" t="n"/>
      <c r="DU3" s="20" t="n"/>
      <c r="DV3" s="20" t="n"/>
      <c r="DW3" s="20" t="n"/>
      <c r="DX3" s="20" t="n"/>
      <c r="DY3" s="20" t="n"/>
      <c r="DZ3" s="21" t="n"/>
    </row>
    <row r="4" ht="36" customFormat="1" customHeight="1" s="5">
      <c r="A4" s="10" t="inlineStr">
        <is>
          <t>A</t>
        </is>
      </c>
      <c r="B4" s="6" t="n"/>
      <c r="C4" s="11" t="inlineStr">
        <is>
          <t>L</t>
        </is>
      </c>
      <c r="D4" s="433" t="inlineStr">
        <is>
          <t>RF</t>
        </is>
      </c>
      <c r="E4" s="436" t="n">
        <v>0.225</v>
      </c>
      <c r="F4" s="436" t="n">
        <v>0.223</v>
      </c>
      <c r="G4" s="436" t="n">
        <v>0.217</v>
      </c>
      <c r="H4" s="439" t="n">
        <v>0.241</v>
      </c>
      <c r="I4" s="442" t="n">
        <v>0.268</v>
      </c>
      <c r="J4" s="436" t="n">
        <v>0.276</v>
      </c>
      <c r="K4" s="436" t="n">
        <v>0.267</v>
      </c>
      <c r="L4" s="436" t="n">
        <v>0.277</v>
      </c>
      <c r="M4" s="439" t="n">
        <v>0.259</v>
      </c>
      <c r="N4" s="442" t="n">
        <v>0.266</v>
      </c>
      <c r="O4" s="436" t="n">
        <v>0.219</v>
      </c>
      <c r="P4" s="436" t="n">
        <v>0.223</v>
      </c>
      <c r="Q4" s="436" t="n">
        <v>0.211</v>
      </c>
      <c r="R4" s="439" t="n">
        <v>0.217</v>
      </c>
      <c r="S4" s="442" t="n">
        <v>0.222</v>
      </c>
      <c r="T4" s="436" t="n">
        <v>0.217</v>
      </c>
      <c r="U4" s="436" t="n">
        <v>0.222</v>
      </c>
      <c r="V4" s="436" t="n">
        <v>0.21</v>
      </c>
      <c r="W4" s="439" t="n">
        <v>0.217</v>
      </c>
      <c r="X4" s="442" t="n">
        <v>0.22</v>
      </c>
      <c r="Y4" s="436" t="n">
        <v>0.217</v>
      </c>
      <c r="Z4" s="436" t="n">
        <v>0.217</v>
      </c>
      <c r="AA4" s="436" t="n">
        <v>0.216</v>
      </c>
      <c r="AB4" s="439" t="n">
        <v>0.221</v>
      </c>
      <c r="AC4" s="442" t="n">
        <v>0.222</v>
      </c>
      <c r="AD4" s="436" t="n">
        <v>0.214</v>
      </c>
      <c r="AE4" s="436" t="n">
        <v>0.22</v>
      </c>
      <c r="AF4" s="436" t="n">
        <v>0.216</v>
      </c>
      <c r="AG4" s="439" t="n">
        <v>0.219</v>
      </c>
      <c r="AH4" s="442" t="n">
        <v>0.212</v>
      </c>
      <c r="AI4" s="436" t="n">
        <v>0.224</v>
      </c>
      <c r="AJ4" s="436" t="n">
        <v>0.232</v>
      </c>
      <c r="AK4" s="436" t="n">
        <v>0.232</v>
      </c>
      <c r="AL4" s="439" t="n">
        <v>0.223</v>
      </c>
      <c r="AM4" s="442" t="n">
        <v>0.213</v>
      </c>
      <c r="AN4" s="436" t="n">
        <v>0.213</v>
      </c>
      <c r="AO4" s="436" t="n">
        <v>0.224</v>
      </c>
      <c r="AP4" s="436" t="n">
        <v>0.207</v>
      </c>
      <c r="AQ4" s="439" t="n">
        <v>0.209</v>
      </c>
      <c r="AR4" s="442" t="n">
        <v>0.221</v>
      </c>
      <c r="AS4" s="436" t="n">
        <v>0.229</v>
      </c>
      <c r="AT4" s="436" t="n">
        <v>0.219</v>
      </c>
      <c r="AU4" s="436" t="n">
        <v>0.197</v>
      </c>
      <c r="AV4" s="439" t="n">
        <v>0.221</v>
      </c>
      <c r="AW4" s="442" t="n">
        <v>0.22</v>
      </c>
      <c r="AX4" s="436" t="n">
        <v>0.222</v>
      </c>
      <c r="AY4" s="436" t="n">
        <v>0.219</v>
      </c>
      <c r="AZ4" s="436" t="n">
        <v>0.221</v>
      </c>
      <c r="BA4" s="439" t="n">
        <v>0.214</v>
      </c>
      <c r="BB4" s="442" t="n">
        <v>0.234</v>
      </c>
      <c r="BC4" s="436" t="n">
        <v>0.22</v>
      </c>
      <c r="BD4" s="436" t="n">
        <v>0.219</v>
      </c>
      <c r="BE4" s="436" t="n">
        <v>0.214</v>
      </c>
      <c r="BF4" s="439" t="n">
        <v>0.217</v>
      </c>
      <c r="BG4" s="442" t="n">
        <v>0.214</v>
      </c>
      <c r="BH4" s="436" t="n">
        <v>0.218</v>
      </c>
      <c r="BI4" s="436" t="n">
        <v>0.232</v>
      </c>
      <c r="BJ4" s="436" t="n">
        <v>0.217</v>
      </c>
      <c r="BK4" s="439" t="n">
        <v>0.226</v>
      </c>
      <c r="BL4" s="442" t="n">
        <v>0.227</v>
      </c>
      <c r="BM4" s="436" t="n">
        <v>0.223</v>
      </c>
      <c r="BN4" s="436" t="n">
        <v>0.22</v>
      </c>
      <c r="BO4" s="436" t="n">
        <v>0.22</v>
      </c>
      <c r="BP4" s="439" t="n">
        <v>0.228</v>
      </c>
      <c r="BQ4" s="442" t="n">
        <v>0.227</v>
      </c>
      <c r="BR4" s="436" t="n">
        <v>0.232</v>
      </c>
      <c r="BS4" s="436" t="n">
        <v>0.239</v>
      </c>
      <c r="BT4" s="439" t="n">
        <v>0.212</v>
      </c>
      <c r="BU4" s="454">
        <f>IFERROR(AVERAGE(D4:BT6),0)</f>
        <v/>
      </c>
      <c r="BV4" s="454">
        <f>MIN(D4:BT6)</f>
        <v/>
      </c>
      <c r="BW4" s="437" t="n"/>
      <c r="BX4" s="437" t="n"/>
      <c r="BY4" s="437" t="n"/>
      <c r="BZ4" s="437" t="n"/>
      <c r="CA4" s="437" t="n"/>
      <c r="CB4" s="437" t="n"/>
      <c r="CC4" s="437" t="n"/>
      <c r="CD4" s="437" t="n"/>
      <c r="CE4" s="437" t="n"/>
      <c r="CF4" s="437" t="n"/>
      <c r="CG4" s="437" t="n"/>
      <c r="CH4" s="437" t="n"/>
      <c r="CI4" s="437" t="n"/>
      <c r="CJ4" s="437" t="n"/>
      <c r="CK4" s="437" t="n"/>
      <c r="CL4" s="437" t="n"/>
      <c r="CM4" s="437" t="n"/>
      <c r="CN4" s="437" t="n"/>
      <c r="CO4" s="437" t="n"/>
      <c r="CP4" s="437" t="n"/>
      <c r="CQ4" s="437" t="n"/>
      <c r="CR4" s="437" t="n"/>
      <c r="CS4" s="437" t="n"/>
      <c r="CT4" s="437" t="n"/>
      <c r="CU4" s="437" t="n"/>
      <c r="CV4" s="437" t="n"/>
      <c r="CW4" s="437" t="n"/>
      <c r="CX4" s="437" t="n"/>
      <c r="CY4" s="437" t="n"/>
      <c r="CZ4" s="437" t="n"/>
      <c r="DA4" s="437" t="n"/>
      <c r="DB4" s="437" t="n"/>
      <c r="DC4" s="437" t="n"/>
      <c r="DD4" s="437" t="n"/>
      <c r="DE4" s="437" t="n"/>
      <c r="DF4" s="437" t="n"/>
      <c r="DG4" s="437" t="n"/>
      <c r="DH4" s="437" t="n"/>
      <c r="DI4" s="437" t="n"/>
      <c r="DJ4" s="437" t="n"/>
      <c r="DK4" s="437" t="n"/>
      <c r="DL4" s="437" t="n"/>
      <c r="DM4" s="437" t="n"/>
      <c r="DN4" s="437" t="n"/>
      <c r="DO4" s="437" t="n"/>
      <c r="DP4" s="437" t="n"/>
      <c r="DQ4" s="437" t="n"/>
      <c r="DR4" s="437" t="n"/>
      <c r="DS4" s="437" t="n"/>
      <c r="DT4" s="437" t="n"/>
      <c r="DU4" s="437" t="n"/>
      <c r="DV4" s="437" t="n"/>
      <c r="DW4" s="437" t="n"/>
      <c r="DX4" s="437" t="n"/>
      <c r="DY4" s="238" t="n"/>
      <c r="DZ4" s="23" t="n"/>
      <c r="FQ4" s="212" t="n"/>
      <c r="FR4" s="212" t="n"/>
      <c r="FS4" s="212" t="n"/>
      <c r="FT4" s="212" t="n"/>
      <c r="FU4" s="212" t="n"/>
      <c r="FV4" s="212" t="n"/>
      <c r="FW4" s="212" t="n"/>
      <c r="FX4" s="212" t="n"/>
      <c r="FY4" s="212" t="n"/>
      <c r="FZ4" s="212" t="n"/>
    </row>
    <row r="5" ht="36" customFormat="1" customHeight="1" s="5">
      <c r="A5" s="182" t="n">
        <v>0.083</v>
      </c>
      <c r="B5" s="7" t="inlineStr">
        <is>
          <t>+16 FT 6 IN</t>
        </is>
      </c>
      <c r="C5" s="11" t="inlineStr">
        <is>
          <t>C</t>
        </is>
      </c>
      <c r="D5" s="434" t="inlineStr">
        <is>
          <t>RF</t>
        </is>
      </c>
      <c r="E5" s="437" t="n">
        <v>0.238</v>
      </c>
      <c r="F5" s="437" t="n">
        <v>0.226</v>
      </c>
      <c r="G5" s="437" t="n">
        <v>0.224</v>
      </c>
      <c r="H5" s="440" t="n">
        <v>0.225</v>
      </c>
      <c r="I5" s="443" t="n">
        <v>0.262</v>
      </c>
      <c r="J5" s="437" t="n">
        <v>0.266</v>
      </c>
      <c r="K5" s="437" t="n">
        <v>0.274</v>
      </c>
      <c r="L5" s="437" t="n">
        <v>0.276</v>
      </c>
      <c r="M5" s="440" t="n">
        <v>0.263</v>
      </c>
      <c r="N5" s="443" t="n">
        <v>0.263</v>
      </c>
      <c r="O5" s="437" t="n">
        <v>0.218</v>
      </c>
      <c r="P5" s="437" t="n">
        <v>0.224</v>
      </c>
      <c r="Q5" s="437" t="n">
        <v>0.235</v>
      </c>
      <c r="R5" s="440" t="n">
        <v>0.212</v>
      </c>
      <c r="S5" s="443" t="n">
        <v>0.225</v>
      </c>
      <c r="T5" s="437" t="n">
        <v>0.218</v>
      </c>
      <c r="U5" s="437" t="n">
        <v>0.219</v>
      </c>
      <c r="V5" s="437" t="n">
        <v>0.21</v>
      </c>
      <c r="W5" s="440" t="n">
        <v>0.217</v>
      </c>
      <c r="X5" s="443" t="n">
        <v>0.226</v>
      </c>
      <c r="Y5" s="437" t="n">
        <v>0.21</v>
      </c>
      <c r="Z5" s="437" t="n">
        <v>0.216</v>
      </c>
      <c r="AA5" s="437" t="n">
        <v>0.213</v>
      </c>
      <c r="AB5" s="440" t="n">
        <v>0.215</v>
      </c>
      <c r="AC5" s="443" t="n">
        <v>0.206</v>
      </c>
      <c r="AD5" s="437" t="n">
        <v>0.217</v>
      </c>
      <c r="AE5" s="437" t="n">
        <v>0.23</v>
      </c>
      <c r="AF5" s="437" t="n">
        <v>0.211</v>
      </c>
      <c r="AG5" s="440" t="n">
        <v>0.225</v>
      </c>
      <c r="AH5" s="443" t="n">
        <v>0.215</v>
      </c>
      <c r="AI5" s="437" t="n">
        <v>0.222</v>
      </c>
      <c r="AJ5" s="437" t="n">
        <v>0.223</v>
      </c>
      <c r="AK5" s="437" t="n">
        <v>0.23</v>
      </c>
      <c r="AL5" s="440" t="n">
        <v>0.222</v>
      </c>
      <c r="AM5" s="443" t="n">
        <v>0.223</v>
      </c>
      <c r="AN5" s="437" t="n">
        <v>0.207</v>
      </c>
      <c r="AO5" s="437" t="n">
        <v>0.216</v>
      </c>
      <c r="AP5" s="437" t="n">
        <v>0.213</v>
      </c>
      <c r="AQ5" s="440" t="n">
        <v>0.228</v>
      </c>
      <c r="AR5" s="443" t="n">
        <v>0.232</v>
      </c>
      <c r="AS5" s="437" t="n">
        <v>0.233</v>
      </c>
      <c r="AT5" s="437" t="n">
        <v>0.222</v>
      </c>
      <c r="AU5" s="437" t="n">
        <v>0.214</v>
      </c>
      <c r="AV5" s="440" t="n">
        <v>0.228</v>
      </c>
      <c r="AW5" s="443" t="n">
        <v>0.217</v>
      </c>
      <c r="AX5" s="437" t="n">
        <v>0.227</v>
      </c>
      <c r="AY5" s="437" t="n">
        <v>0.213</v>
      </c>
      <c r="AZ5" s="437" t="n">
        <v>0.218</v>
      </c>
      <c r="BA5" s="440" t="n">
        <v>0.216</v>
      </c>
      <c r="BB5" s="443" t="n">
        <v>0.221</v>
      </c>
      <c r="BC5" s="437" t="n">
        <v>0.213</v>
      </c>
      <c r="BD5" s="437" t="n">
        <v>0.219</v>
      </c>
      <c r="BE5" s="437" t="n">
        <v>0.214</v>
      </c>
      <c r="BF5" s="440" t="n">
        <v>0.213</v>
      </c>
      <c r="BG5" s="443" t="n">
        <v>0.212</v>
      </c>
      <c r="BH5" s="437" t="n">
        <v>0.219</v>
      </c>
      <c r="BI5" s="437" t="n">
        <v>0.227</v>
      </c>
      <c r="BJ5" s="437" t="n">
        <v>0.217</v>
      </c>
      <c r="BK5" s="440" t="n">
        <v>0.219</v>
      </c>
      <c r="BL5" s="443" t="n">
        <v>0.222</v>
      </c>
      <c r="BM5" s="437" t="n">
        <v>0.224</v>
      </c>
      <c r="BN5" s="437" t="n">
        <v>0.226</v>
      </c>
      <c r="BO5" s="437" t="n">
        <v>0.219</v>
      </c>
      <c r="BP5" s="440" t="n">
        <v>0.225</v>
      </c>
      <c r="BQ5" s="443" t="n">
        <v>0.225</v>
      </c>
      <c r="BR5" s="437" t="n">
        <v>0.229</v>
      </c>
      <c r="BS5" s="437" t="n">
        <v>0.226</v>
      </c>
      <c r="BT5" s="440" t="n">
        <v>0.215</v>
      </c>
      <c r="BU5" s="455" t="n"/>
      <c r="BV5" s="455" t="n"/>
      <c r="BW5" s="437" t="n"/>
      <c r="BX5" s="437" t="n"/>
      <c r="BY5" s="437" t="n"/>
      <c r="BZ5" s="437" t="n"/>
      <c r="CA5" s="437" t="n"/>
      <c r="CB5" s="437" t="n"/>
      <c r="CC5" s="437" t="n"/>
      <c r="CD5" s="437" t="n"/>
      <c r="CE5" s="437" t="n"/>
      <c r="CF5" s="437" t="n"/>
      <c r="CG5" s="437" t="n"/>
      <c r="CH5" s="437" t="n"/>
      <c r="CI5" s="437" t="n"/>
      <c r="CJ5" s="437" t="n"/>
      <c r="CK5" s="437" t="n"/>
      <c r="CL5" s="437" t="n"/>
      <c r="CM5" s="437" t="n"/>
      <c r="CN5" s="437" t="n"/>
      <c r="CO5" s="437" t="n"/>
      <c r="CP5" s="437" t="n"/>
      <c r="CQ5" s="437" t="n"/>
      <c r="CR5" s="437" t="n"/>
      <c r="CS5" s="437" t="n"/>
      <c r="CT5" s="437" t="n"/>
      <c r="CU5" s="437" t="n"/>
      <c r="CV5" s="437" t="n"/>
      <c r="CW5" s="437" t="n"/>
      <c r="CX5" s="437" t="n"/>
      <c r="CY5" s="437" t="n"/>
      <c r="CZ5" s="437" t="n"/>
      <c r="DA5" s="437" t="n"/>
      <c r="DB5" s="437" t="n"/>
      <c r="DC5" s="437" t="n"/>
      <c r="DD5" s="437" t="n"/>
      <c r="DE5" s="437" t="n"/>
      <c r="DF5" s="437" t="n"/>
      <c r="DG5" s="437" t="n"/>
      <c r="DH5" s="437" t="n"/>
      <c r="DI5" s="437" t="n"/>
      <c r="DJ5" s="437" t="n"/>
      <c r="DK5" s="437" t="n"/>
      <c r="DL5" s="437" t="n"/>
      <c r="DM5" s="437" t="n"/>
      <c r="DN5" s="437" t="n"/>
      <c r="DO5" s="437" t="n"/>
      <c r="DP5" s="437" t="n"/>
      <c r="DQ5" s="437" t="n"/>
      <c r="DR5" s="437" t="n"/>
      <c r="DS5" s="437" t="n"/>
      <c r="DT5" s="437" t="n"/>
      <c r="DU5" s="437" t="n"/>
      <c r="DV5" s="437" t="n"/>
      <c r="DW5" s="437" t="n"/>
      <c r="DX5" s="437" t="n"/>
      <c r="DY5" s="238" t="n"/>
      <c r="DZ5" s="23" t="n"/>
      <c r="FQ5" s="212" t="n"/>
      <c r="FR5" s="212" t="n"/>
      <c r="FS5" s="212" t="n"/>
      <c r="FT5" s="212" t="n"/>
      <c r="FU5" s="212" t="n"/>
      <c r="FV5" s="212" t="n"/>
      <c r="FW5" s="212" t="n"/>
      <c r="FX5" s="212" t="n"/>
      <c r="FY5" s="212" t="n"/>
      <c r="FZ5" s="212" t="n"/>
    </row>
    <row r="6" ht="36" customFormat="1" customHeight="1" s="5">
      <c r="A6" s="456" t="n"/>
      <c r="B6" s="8" t="n"/>
      <c r="C6" s="12" t="inlineStr">
        <is>
          <t>R</t>
        </is>
      </c>
      <c r="D6" s="435" t="inlineStr">
        <is>
          <t>RF</t>
        </is>
      </c>
      <c r="E6" s="438" t="n">
        <v>0.23</v>
      </c>
      <c r="F6" s="438" t="n">
        <v>0.223</v>
      </c>
      <c r="G6" s="438" t="n">
        <v>0.223</v>
      </c>
      <c r="H6" s="441" t="n">
        <v>0.23</v>
      </c>
      <c r="I6" s="444" t="n">
        <v>0.269</v>
      </c>
      <c r="J6" s="438" t="n">
        <v>0.241</v>
      </c>
      <c r="K6" s="438" t="n">
        <v>0.26</v>
      </c>
      <c r="L6" s="438" t="n">
        <v>0.273</v>
      </c>
      <c r="M6" s="441" t="n">
        <v>0.262</v>
      </c>
      <c r="N6" s="444" t="n">
        <v>0.27</v>
      </c>
      <c r="O6" s="438" t="n">
        <v>0.219</v>
      </c>
      <c r="P6" s="438" t="n">
        <v>0.221</v>
      </c>
      <c r="Q6" s="438" t="n">
        <v>0.236</v>
      </c>
      <c r="R6" s="441" t="n">
        <v>0.209</v>
      </c>
      <c r="S6" s="444" t="n">
        <v>0.229</v>
      </c>
      <c r="T6" s="438" t="n">
        <v>0.217</v>
      </c>
      <c r="U6" s="438" t="n">
        <v>0.219</v>
      </c>
      <c r="V6" s="438" t="n">
        <v>0.207</v>
      </c>
      <c r="W6" s="441" t="n">
        <v>0.219</v>
      </c>
      <c r="X6" s="444" t="n">
        <v>0.222</v>
      </c>
      <c r="Y6" s="438" t="n">
        <v>0.211</v>
      </c>
      <c r="Z6" s="438" t="n">
        <v>0.21</v>
      </c>
      <c r="AA6" s="438" t="n">
        <v>0.214</v>
      </c>
      <c r="AB6" s="441" t="n">
        <v>0.219</v>
      </c>
      <c r="AC6" s="444" t="n">
        <v>0.202</v>
      </c>
      <c r="AD6" s="438" t="n">
        <v>0.217</v>
      </c>
      <c r="AE6" s="438" t="n">
        <v>0.226</v>
      </c>
      <c r="AF6" s="438" t="n">
        <v>0.219</v>
      </c>
      <c r="AG6" s="441" t="n">
        <v>0.224</v>
      </c>
      <c r="AH6" s="444" t="n">
        <v>0.212</v>
      </c>
      <c r="AI6" s="438" t="n">
        <v>0.214</v>
      </c>
      <c r="AJ6" s="438" t="n">
        <v>0.221</v>
      </c>
      <c r="AK6" s="438" t="n">
        <v>0.229</v>
      </c>
      <c r="AL6" s="441" t="n">
        <v>0.226</v>
      </c>
      <c r="AM6" s="444" t="n">
        <v>0.236</v>
      </c>
      <c r="AN6" s="438" t="n">
        <v>0.22</v>
      </c>
      <c r="AO6" s="438" t="n">
        <v>0.223</v>
      </c>
      <c r="AP6" s="438" t="n">
        <v>0.215</v>
      </c>
      <c r="AQ6" s="441" t="n">
        <v>0.214</v>
      </c>
      <c r="AR6" s="444" t="n">
        <v>0.227</v>
      </c>
      <c r="AS6" s="438" t="n">
        <v>0.224</v>
      </c>
      <c r="AT6" s="438" t="n">
        <v>0.211</v>
      </c>
      <c r="AU6" s="438" t="n">
        <v>0.226</v>
      </c>
      <c r="AV6" s="441" t="n">
        <v>0.222</v>
      </c>
      <c r="AW6" s="444" t="n">
        <v>0.222</v>
      </c>
      <c r="AX6" s="438" t="n">
        <v>0.23</v>
      </c>
      <c r="AY6" s="438" t="n">
        <v>0.216</v>
      </c>
      <c r="AZ6" s="438" t="n">
        <v>0.215</v>
      </c>
      <c r="BA6" s="441" t="n">
        <v>0.211</v>
      </c>
      <c r="BB6" s="444" t="n">
        <v>0.216</v>
      </c>
      <c r="BC6" s="438" t="n">
        <v>0.211</v>
      </c>
      <c r="BD6" s="438" t="n">
        <v>0.217</v>
      </c>
      <c r="BE6" s="438" t="n">
        <v>0.215</v>
      </c>
      <c r="BF6" s="441" t="n">
        <v>0.219</v>
      </c>
      <c r="BG6" s="444" t="n">
        <v>0.212</v>
      </c>
      <c r="BH6" s="438" t="n">
        <v>0.223</v>
      </c>
      <c r="BI6" s="438" t="n">
        <v>0.222</v>
      </c>
      <c r="BJ6" s="438" t="n">
        <v>0.214</v>
      </c>
      <c r="BK6" s="441" t="n">
        <v>0.221</v>
      </c>
      <c r="BL6" s="444" t="n">
        <v>0.224</v>
      </c>
      <c r="BM6" s="438" t="n">
        <v>0.22</v>
      </c>
      <c r="BN6" s="438" t="n">
        <v>0.222</v>
      </c>
      <c r="BO6" s="438" t="n">
        <v>0.226</v>
      </c>
      <c r="BP6" s="441" t="n">
        <v>0.229</v>
      </c>
      <c r="BQ6" s="444" t="n">
        <v>0.228</v>
      </c>
      <c r="BR6" s="438" t="n">
        <v>0.237</v>
      </c>
      <c r="BS6" s="438" t="n">
        <v>0.227</v>
      </c>
      <c r="BT6" s="441" t="n">
        <v>0.221</v>
      </c>
      <c r="BU6" s="457" t="n"/>
      <c r="BV6" s="457" t="n"/>
      <c r="BW6" s="437" t="n"/>
      <c r="BX6" s="437" t="n"/>
      <c r="BY6" s="437" t="n"/>
      <c r="BZ6" s="437" t="n"/>
      <c r="CA6" s="437" t="n"/>
      <c r="CB6" s="437" t="n"/>
      <c r="CC6" s="437" t="n"/>
      <c r="CD6" s="437" t="n"/>
      <c r="CE6" s="437" t="n"/>
      <c r="CF6" s="437" t="n"/>
      <c r="CG6" s="437" t="n"/>
      <c r="CH6" s="437" t="n"/>
      <c r="CI6" s="437" t="n"/>
      <c r="CJ6" s="437" t="n"/>
      <c r="CK6" s="437" t="n"/>
      <c r="CL6" s="437" t="n"/>
      <c r="CM6" s="437" t="n"/>
      <c r="CN6" s="437" t="n"/>
      <c r="CO6" s="437" t="n"/>
      <c r="CP6" s="437" t="n"/>
      <c r="CQ6" s="437" t="n"/>
      <c r="CR6" s="437" t="n"/>
      <c r="CS6" s="437" t="n"/>
      <c r="CT6" s="437" t="n"/>
      <c r="CU6" s="437" t="n"/>
      <c r="CV6" s="437" t="n"/>
      <c r="CW6" s="437" t="n"/>
      <c r="CX6" s="437" t="n"/>
      <c r="CY6" s="437" t="n"/>
      <c r="CZ6" s="437" t="n"/>
      <c r="DA6" s="437" t="n"/>
      <c r="DB6" s="437" t="n"/>
      <c r="DC6" s="437" t="n"/>
      <c r="DD6" s="437" t="n"/>
      <c r="DE6" s="437" t="n"/>
      <c r="DF6" s="437" t="n"/>
      <c r="DG6" s="437" t="n"/>
      <c r="DH6" s="437" t="n"/>
      <c r="DI6" s="437" t="n"/>
      <c r="DJ6" s="437" t="n"/>
      <c r="DK6" s="437" t="n"/>
      <c r="DL6" s="437" t="n"/>
      <c r="DM6" s="437" t="n"/>
      <c r="DN6" s="437" t="n"/>
      <c r="DO6" s="437" t="n"/>
      <c r="DP6" s="437" t="n"/>
      <c r="DQ6" s="437" t="n"/>
      <c r="DR6" s="437" t="n"/>
      <c r="DS6" s="437" t="n"/>
      <c r="DT6" s="437" t="n"/>
      <c r="DU6" s="437" t="n"/>
      <c r="DV6" s="437" t="n"/>
      <c r="DW6" s="437" t="n"/>
      <c r="DX6" s="437" t="n"/>
      <c r="DY6" s="238" t="n"/>
      <c r="DZ6" s="23" t="n"/>
      <c r="FQ6" s="212" t="n"/>
      <c r="FR6" s="212" t="n"/>
      <c r="FS6" s="212" t="n"/>
      <c r="FT6" s="212" t="n"/>
      <c r="FU6" s="212" t="n"/>
      <c r="FV6" s="212" t="n"/>
      <c r="FW6" s="212" t="n"/>
      <c r="FX6" s="212" t="n"/>
      <c r="FY6" s="212" t="n"/>
      <c r="FZ6" s="212" t="n"/>
    </row>
    <row r="7" ht="39.95" customFormat="1" customHeight="1" s="5">
      <c r="A7" s="10" t="inlineStr">
        <is>
          <t>A</t>
        </is>
      </c>
      <c r="B7" s="6" t="n"/>
      <c r="C7" s="11" t="inlineStr">
        <is>
          <t>L</t>
        </is>
      </c>
      <c r="D7" s="433" t="inlineStr">
        <is>
          <t>RF</t>
        </is>
      </c>
      <c r="E7" s="436" t="n">
        <v>0.217</v>
      </c>
      <c r="F7" s="436" t="n">
        <v>0.233</v>
      </c>
      <c r="G7" s="436" t="n">
        <v>0.23</v>
      </c>
      <c r="H7" s="439" t="n">
        <v>0.229</v>
      </c>
      <c r="I7" s="442" t="n">
        <v>0.27</v>
      </c>
      <c r="J7" s="436" t="n">
        <v>0.263</v>
      </c>
      <c r="K7" s="436" t="n">
        <v>0.267</v>
      </c>
      <c r="L7" s="436" t="n">
        <v>0.255</v>
      </c>
      <c r="M7" s="439" t="n">
        <v>0.263</v>
      </c>
      <c r="N7" s="442" t="n">
        <v>0.267</v>
      </c>
      <c r="O7" s="436" t="n">
        <v>0.226</v>
      </c>
      <c r="P7" s="436" t="n">
        <v>0.229</v>
      </c>
      <c r="Q7" s="436" t="n">
        <v>0.223</v>
      </c>
      <c r="R7" s="439" t="n">
        <v>0.208</v>
      </c>
      <c r="S7" s="442" t="n">
        <v>0.216</v>
      </c>
      <c r="T7" s="436" t="n">
        <v>0.217</v>
      </c>
      <c r="U7" s="436" t="n">
        <v>0.212</v>
      </c>
      <c r="V7" s="436" t="n">
        <v>0.219</v>
      </c>
      <c r="W7" s="439" t="n">
        <v>0.211</v>
      </c>
      <c r="X7" s="442" t="n">
        <v>0.212</v>
      </c>
      <c r="Y7" s="436" t="n">
        <v>0.208</v>
      </c>
      <c r="Z7" s="436" t="n">
        <v>0.221</v>
      </c>
      <c r="AA7" s="436" t="n">
        <v>0.21</v>
      </c>
      <c r="AB7" s="439" t="n">
        <v>0.207</v>
      </c>
      <c r="AC7" s="442" t="n">
        <v>0.22</v>
      </c>
      <c r="AD7" s="436" t="n">
        <v>0.213</v>
      </c>
      <c r="AE7" s="436" t="n">
        <v>0.212</v>
      </c>
      <c r="AF7" s="436" t="n">
        <v>0.213</v>
      </c>
      <c r="AG7" s="439" t="n">
        <v>0.205</v>
      </c>
      <c r="AH7" s="442" t="n">
        <v>0.208</v>
      </c>
      <c r="AI7" s="436" t="n">
        <v>0.215</v>
      </c>
      <c r="AJ7" s="436" t="n">
        <v>0.204</v>
      </c>
      <c r="AK7" s="436" t="n">
        <v>0.228</v>
      </c>
      <c r="AL7" s="439" t="n">
        <v>0.226</v>
      </c>
      <c r="AM7" s="442" t="n">
        <v>0.215</v>
      </c>
      <c r="AN7" s="436" t="n">
        <v>0.21</v>
      </c>
      <c r="AO7" s="436" t="n">
        <v>0.211</v>
      </c>
      <c r="AP7" s="436" t="n">
        <v>0.2</v>
      </c>
      <c r="AQ7" s="439" t="n">
        <v>0.204</v>
      </c>
      <c r="AR7" s="442" t="n">
        <v>0.207</v>
      </c>
      <c r="AS7" s="436" t="n">
        <v>0.209</v>
      </c>
      <c r="AT7" s="436" t="n">
        <v>0.217</v>
      </c>
      <c r="AU7" s="436" t="n">
        <v>0.21</v>
      </c>
      <c r="AV7" s="439" t="n">
        <v>0.212</v>
      </c>
      <c r="AW7" s="442" t="n">
        <v>0.202</v>
      </c>
      <c r="AX7" s="436" t="n">
        <v>0.216</v>
      </c>
      <c r="AY7" s="436" t="n">
        <v>0.208</v>
      </c>
      <c r="AZ7" s="436" t="n">
        <v>0.228</v>
      </c>
      <c r="BA7" s="439" t="n">
        <v>0.21</v>
      </c>
      <c r="BB7" s="442" t="n">
        <v>0.226</v>
      </c>
      <c r="BC7" s="436" t="n">
        <v>0.209</v>
      </c>
      <c r="BD7" s="436" t="n">
        <v>0.209</v>
      </c>
      <c r="BE7" s="436" t="n">
        <v>0.209</v>
      </c>
      <c r="BF7" s="439" t="n">
        <v>0.208</v>
      </c>
      <c r="BG7" s="442" t="n">
        <v>0.224</v>
      </c>
      <c r="BH7" s="436" t="n">
        <v>0.215</v>
      </c>
      <c r="BI7" s="436" t="n">
        <v>0.215</v>
      </c>
      <c r="BJ7" s="436" t="n">
        <v>0.218</v>
      </c>
      <c r="BK7" s="439" t="n">
        <v>0.218</v>
      </c>
      <c r="BL7" s="442" t="n">
        <v>0.223</v>
      </c>
      <c r="BM7" s="436" t="n">
        <v>0.226</v>
      </c>
      <c r="BN7" s="436" t="n">
        <v>0.226</v>
      </c>
      <c r="BO7" s="436" t="n">
        <v>0.22</v>
      </c>
      <c r="BP7" s="439" t="n">
        <v>0.24</v>
      </c>
      <c r="BQ7" s="442" t="n">
        <v>0.227</v>
      </c>
      <c r="BR7" s="436" t="n">
        <v>0.219</v>
      </c>
      <c r="BS7" s="436" t="n">
        <v>0.229</v>
      </c>
      <c r="BT7" s="439" t="inlineStr">
        <is>
          <t>RF</t>
        </is>
      </c>
      <c r="BU7" s="454">
        <f>IFERROR(AVERAGE(D7:BT9),0)</f>
        <v/>
      </c>
      <c r="BV7" s="454">
        <f>MIN(D7:BT9)</f>
        <v/>
      </c>
      <c r="BW7" s="238" t="n"/>
      <c r="BX7" s="238" t="n"/>
      <c r="BY7" s="238" t="n"/>
      <c r="BZ7" s="238" t="n"/>
      <c r="CA7" s="238" t="n"/>
      <c r="CB7" s="238" t="n"/>
      <c r="CC7" s="238" t="n"/>
      <c r="CD7" s="238" t="n"/>
      <c r="CE7" s="238" t="n"/>
      <c r="CF7" s="238" t="n"/>
      <c r="CG7" s="238" t="n"/>
      <c r="CH7" s="238" t="n"/>
      <c r="CI7" s="238" t="n"/>
      <c r="CJ7" s="238" t="n"/>
      <c r="CK7" s="238" t="n"/>
      <c r="CL7" s="238" t="n"/>
      <c r="CM7" s="238" t="n"/>
      <c r="CN7" s="238" t="n"/>
      <c r="CO7" s="238" t="n"/>
      <c r="CP7" s="238" t="n"/>
      <c r="CQ7" s="238" t="n"/>
      <c r="CR7" s="238" t="n"/>
      <c r="CS7" s="238" t="n"/>
      <c r="CT7" s="238" t="n"/>
      <c r="CU7" s="238" t="n"/>
      <c r="CV7" s="238" t="n"/>
      <c r="CW7" s="238" t="n"/>
      <c r="CX7" s="238" t="n"/>
      <c r="CY7" s="238" t="n"/>
      <c r="CZ7" s="238" t="n"/>
      <c r="DA7" s="238" t="n"/>
      <c r="DB7" s="238" t="n"/>
      <c r="DC7" s="238" t="n"/>
      <c r="DD7" s="238" t="n"/>
      <c r="DE7" s="238" t="n"/>
      <c r="DF7" s="238" t="n"/>
      <c r="DG7" s="238" t="n"/>
      <c r="DH7" s="238" t="n"/>
      <c r="DI7" s="238" t="n"/>
      <c r="DJ7" s="238" t="n"/>
      <c r="DK7" s="238" t="n"/>
      <c r="DL7" s="238" t="n"/>
      <c r="DM7" s="238" t="n"/>
      <c r="DN7" s="238" t="n"/>
      <c r="DO7" s="238" t="n"/>
      <c r="DP7" s="238" t="n"/>
      <c r="DQ7" s="238" t="n"/>
      <c r="DR7" s="238" t="n"/>
      <c r="DS7" s="238" t="n"/>
      <c r="DT7" s="238" t="n"/>
      <c r="DU7" s="238" t="n"/>
      <c r="DV7" s="238" t="n"/>
      <c r="DW7" s="238" t="n"/>
      <c r="DX7" s="238" t="n"/>
      <c r="DY7" s="238" t="n"/>
      <c r="DZ7" s="23" t="n"/>
      <c r="FQ7" s="212" t="n"/>
      <c r="FR7" s="212" t="n"/>
      <c r="FS7" s="212" t="n"/>
      <c r="FT7" s="212" t="n"/>
      <c r="FU7" s="212" t="n"/>
      <c r="FV7" s="212" t="n"/>
      <c r="FW7" s="212" t="n"/>
      <c r="FX7" s="212" t="n"/>
      <c r="FY7" s="212" t="n"/>
      <c r="FZ7" s="212" t="n"/>
    </row>
    <row r="8" ht="39.95" customFormat="1" customHeight="1" s="5">
      <c r="A8" s="182" t="n">
        <v>0.083</v>
      </c>
      <c r="B8" s="7" t="inlineStr">
        <is>
          <t>+15 FT</t>
        </is>
      </c>
      <c r="C8" s="11" t="inlineStr">
        <is>
          <t>C</t>
        </is>
      </c>
      <c r="D8" s="434" t="inlineStr">
        <is>
          <t>RF</t>
        </is>
      </c>
      <c r="E8" s="437" t="n">
        <v>0.216</v>
      </c>
      <c r="F8" s="437" t="n">
        <v>0.23</v>
      </c>
      <c r="G8" s="437" t="n">
        <v>0.225</v>
      </c>
      <c r="H8" s="440" t="n">
        <v>0.229</v>
      </c>
      <c r="I8" s="443" t="n">
        <v>0.274</v>
      </c>
      <c r="J8" s="437" t="n">
        <v>0.263</v>
      </c>
      <c r="K8" s="437" t="n">
        <v>0.267</v>
      </c>
      <c r="L8" s="437" t="n">
        <v>0.265</v>
      </c>
      <c r="M8" s="440" t="n">
        <v>0.26</v>
      </c>
      <c r="N8" s="443" t="n">
        <v>0.272</v>
      </c>
      <c r="O8" s="437" t="n">
        <v>0.23</v>
      </c>
      <c r="P8" s="437" t="n">
        <v>0.224</v>
      </c>
      <c r="Q8" s="437" t="n">
        <v>0.217</v>
      </c>
      <c r="R8" s="440" t="n">
        <v>0.221</v>
      </c>
      <c r="S8" s="443" t="n">
        <v>0.212</v>
      </c>
      <c r="T8" s="437" t="n">
        <v>0.212</v>
      </c>
      <c r="U8" s="437" t="n">
        <v>0.211</v>
      </c>
      <c r="V8" s="437" t="n">
        <v>0.212</v>
      </c>
      <c r="W8" s="440" t="n">
        <v>0.205</v>
      </c>
      <c r="X8" s="443" t="n">
        <v>0.23</v>
      </c>
      <c r="Y8" s="437" t="n">
        <v>0.21</v>
      </c>
      <c r="Z8" s="437" t="n">
        <v>0.214</v>
      </c>
      <c r="AA8" s="437" t="n">
        <v>0.217</v>
      </c>
      <c r="AB8" s="440" t="n">
        <v>0.21</v>
      </c>
      <c r="AC8" s="443" t="n">
        <v>0.207</v>
      </c>
      <c r="AD8" s="437" t="n">
        <v>0.208</v>
      </c>
      <c r="AE8" s="437" t="n">
        <v>0.208</v>
      </c>
      <c r="AF8" s="437" t="n">
        <v>0.207</v>
      </c>
      <c r="AG8" s="440" t="n">
        <v>0.202</v>
      </c>
      <c r="AH8" s="443" t="n">
        <v>0.223</v>
      </c>
      <c r="AI8" s="437" t="n">
        <v>0.216</v>
      </c>
      <c r="AJ8" s="437" t="n">
        <v>0.22</v>
      </c>
      <c r="AK8" s="437" t="n">
        <v>0.228</v>
      </c>
      <c r="AL8" s="440" t="n">
        <v>0.209</v>
      </c>
      <c r="AM8" s="443" t="n">
        <v>0.213</v>
      </c>
      <c r="AN8" s="437" t="n">
        <v>0.216</v>
      </c>
      <c r="AO8" s="437" t="n">
        <v>0.208</v>
      </c>
      <c r="AP8" s="437" t="n">
        <v>0.202</v>
      </c>
      <c r="AQ8" s="440" t="n">
        <v>0.208</v>
      </c>
      <c r="AR8" s="443" t="n">
        <v>0.212</v>
      </c>
      <c r="AS8" s="437" t="n">
        <v>0.206</v>
      </c>
      <c r="AT8" s="437" t="n">
        <v>0.215</v>
      </c>
      <c r="AU8" s="437" t="n">
        <v>0.223</v>
      </c>
      <c r="AV8" s="440" t="n">
        <v>0.216</v>
      </c>
      <c r="AW8" s="443" t="n">
        <v>0.198</v>
      </c>
      <c r="AX8" s="437" t="n">
        <v>0.207</v>
      </c>
      <c r="AY8" s="437" t="n">
        <v>0.21</v>
      </c>
      <c r="AZ8" s="437" t="n">
        <v>0.214</v>
      </c>
      <c r="BA8" s="440" t="n">
        <v>0.218</v>
      </c>
      <c r="BB8" s="443" t="n">
        <v>0.227</v>
      </c>
      <c r="BC8" s="437" t="n">
        <v>0.217</v>
      </c>
      <c r="BD8" s="437" t="n">
        <v>0.214</v>
      </c>
      <c r="BE8" s="437" t="n">
        <v>0.208</v>
      </c>
      <c r="BF8" s="440" t="n">
        <v>0.206</v>
      </c>
      <c r="BG8" s="443" t="n">
        <v>0.208</v>
      </c>
      <c r="BH8" s="437" t="n">
        <v>0.208</v>
      </c>
      <c r="BI8" s="437" t="n">
        <v>0.22</v>
      </c>
      <c r="BJ8" s="437" t="n">
        <v>0.223</v>
      </c>
      <c r="BK8" s="440" t="n">
        <v>0.22</v>
      </c>
      <c r="BL8" s="443" t="n">
        <v>0.217</v>
      </c>
      <c r="BM8" s="437" t="n">
        <v>0.221</v>
      </c>
      <c r="BN8" s="437" t="n">
        <v>0.226</v>
      </c>
      <c r="BO8" s="437" t="n">
        <v>0.217</v>
      </c>
      <c r="BP8" s="440" t="n">
        <v>0.228</v>
      </c>
      <c r="BQ8" s="443" t="n">
        <v>0.233</v>
      </c>
      <c r="BR8" s="437" t="n">
        <v>0.221</v>
      </c>
      <c r="BS8" s="437" t="n">
        <v>0.231</v>
      </c>
      <c r="BT8" s="440" t="inlineStr">
        <is>
          <t>RF</t>
        </is>
      </c>
      <c r="BU8" s="455" t="n"/>
      <c r="BV8" s="455" t="n"/>
      <c r="BW8" s="238" t="n"/>
      <c r="BX8" s="238" t="n"/>
      <c r="BY8" s="238" t="n"/>
      <c r="BZ8" s="238" t="n"/>
      <c r="CA8" s="238" t="n"/>
      <c r="CB8" s="238" t="n"/>
      <c r="CC8" s="238" t="n"/>
      <c r="CD8" s="238" t="n"/>
      <c r="CE8" s="238" t="n"/>
      <c r="CF8" s="238" t="n"/>
      <c r="CG8" s="238" t="n"/>
      <c r="CH8" s="238" t="n"/>
      <c r="CI8" s="238" t="n"/>
      <c r="CJ8" s="238" t="n"/>
      <c r="CK8" s="238" t="n"/>
      <c r="CL8" s="238" t="n"/>
      <c r="CM8" s="238" t="n"/>
      <c r="CN8" s="238" t="n"/>
      <c r="CO8" s="238" t="n"/>
      <c r="CP8" s="238" t="n"/>
      <c r="CQ8" s="238" t="n"/>
      <c r="CR8" s="238" t="n"/>
      <c r="CS8" s="238" t="n"/>
      <c r="CT8" s="238" t="n"/>
      <c r="CU8" s="238" t="n"/>
      <c r="CV8" s="238" t="n"/>
      <c r="CW8" s="238" t="n"/>
      <c r="CX8" s="238" t="n"/>
      <c r="CY8" s="238" t="n"/>
      <c r="CZ8" s="238" t="n"/>
      <c r="DA8" s="238" t="n"/>
      <c r="DB8" s="238" t="n"/>
      <c r="DC8" s="238" t="n"/>
      <c r="DD8" s="238" t="n"/>
      <c r="DE8" s="238" t="n"/>
      <c r="DF8" s="238" t="n"/>
      <c r="DG8" s="238" t="n"/>
      <c r="DH8" s="238" t="n"/>
      <c r="DI8" s="238" t="n"/>
      <c r="DJ8" s="238" t="n"/>
      <c r="DK8" s="238" t="n"/>
      <c r="DL8" s="238" t="n"/>
      <c r="DM8" s="238" t="n"/>
      <c r="DN8" s="238" t="n"/>
      <c r="DO8" s="238" t="n"/>
      <c r="DP8" s="238" t="n"/>
      <c r="DQ8" s="238" t="n"/>
      <c r="DR8" s="238" t="n"/>
      <c r="DS8" s="238" t="n"/>
      <c r="DT8" s="238" t="n"/>
      <c r="DU8" s="238" t="n"/>
      <c r="DV8" s="238" t="n"/>
      <c r="DW8" s="238" t="n"/>
      <c r="DX8" s="238" t="n"/>
      <c r="DY8" s="238" t="n"/>
      <c r="DZ8" s="23" t="n"/>
      <c r="FQ8" s="212" t="n"/>
      <c r="FR8" s="212" t="n"/>
      <c r="FS8" s="212" t="n"/>
      <c r="FT8" s="212" t="n"/>
      <c r="FU8" s="212" t="n"/>
      <c r="FV8" s="212" t="n"/>
      <c r="FW8" s="212" t="n"/>
      <c r="FX8" s="212" t="n"/>
      <c r="FY8" s="212" t="n"/>
      <c r="FZ8" s="212" t="n"/>
    </row>
    <row r="9" ht="39.95" customFormat="1" customHeight="1" s="5">
      <c r="A9" s="456" t="n"/>
      <c r="B9" s="8" t="n"/>
      <c r="C9" s="12" t="inlineStr">
        <is>
          <t>R</t>
        </is>
      </c>
      <c r="D9" s="435" t="inlineStr">
        <is>
          <t>RF</t>
        </is>
      </c>
      <c r="E9" s="438" t="n">
        <v>0.218</v>
      </c>
      <c r="F9" s="438" t="n">
        <v>0.229</v>
      </c>
      <c r="G9" s="438" t="n">
        <v>0.225</v>
      </c>
      <c r="H9" s="441" t="n">
        <v>0.224</v>
      </c>
      <c r="I9" s="444" t="n">
        <v>0.268</v>
      </c>
      <c r="J9" s="438" t="n">
        <v>0.271</v>
      </c>
      <c r="K9" s="438" t="n">
        <v>0.268</v>
      </c>
      <c r="L9" s="438" t="n">
        <v>0.272</v>
      </c>
      <c r="M9" s="441" t="n">
        <v>0.257</v>
      </c>
      <c r="N9" s="444" t="n">
        <v>0.271</v>
      </c>
      <c r="O9" s="438" t="n">
        <v>0.21</v>
      </c>
      <c r="P9" s="438" t="n">
        <v>0.219</v>
      </c>
      <c r="Q9" s="438" t="n">
        <v>0.213</v>
      </c>
      <c r="R9" s="441" t="n">
        <v>0.201</v>
      </c>
      <c r="S9" s="444" t="n">
        <v>0.215</v>
      </c>
      <c r="T9" s="438" t="n">
        <v>0.218</v>
      </c>
      <c r="U9" s="438" t="n">
        <v>0.203</v>
      </c>
      <c r="V9" s="438" t="n">
        <v>0.211</v>
      </c>
      <c r="W9" s="441" t="n">
        <v>0.199</v>
      </c>
      <c r="X9" s="444" t="n">
        <v>0.227</v>
      </c>
      <c r="Y9" s="438" t="n">
        <v>0.204</v>
      </c>
      <c r="Z9" s="438" t="n">
        <v>0.213</v>
      </c>
      <c r="AA9" s="438" t="n">
        <v>0.213</v>
      </c>
      <c r="AB9" s="441" t="n">
        <v>0.215</v>
      </c>
      <c r="AC9" s="444" t="n">
        <v>0.211</v>
      </c>
      <c r="AD9" s="438" t="n">
        <v>0.217</v>
      </c>
      <c r="AE9" s="438" t="n">
        <v>0.215</v>
      </c>
      <c r="AF9" s="438" t="n">
        <v>0.207</v>
      </c>
      <c r="AG9" s="441" t="n">
        <v>0.217</v>
      </c>
      <c r="AH9" s="444" t="n">
        <v>0.217</v>
      </c>
      <c r="AI9" s="438" t="n">
        <v>0.212</v>
      </c>
      <c r="AJ9" s="438" t="n">
        <v>0.219</v>
      </c>
      <c r="AK9" s="438" t="n">
        <v>0.226</v>
      </c>
      <c r="AL9" s="441" t="n">
        <v>0.223</v>
      </c>
      <c r="AM9" s="444" t="n">
        <v>0.215</v>
      </c>
      <c r="AN9" s="438" t="n">
        <v>0.221</v>
      </c>
      <c r="AO9" s="438" t="n">
        <v>0.221</v>
      </c>
      <c r="AP9" s="438" t="n">
        <v>0.209</v>
      </c>
      <c r="AQ9" s="441" t="n">
        <v>0.196</v>
      </c>
      <c r="AR9" s="444" t="n">
        <v>0.214</v>
      </c>
      <c r="AS9" s="438" t="n">
        <v>0.215</v>
      </c>
      <c r="AT9" s="438" t="n">
        <v>0.212</v>
      </c>
      <c r="AU9" s="438" t="n">
        <v>0.215</v>
      </c>
      <c r="AV9" s="441" t="n">
        <v>0.205</v>
      </c>
      <c r="AW9" s="444" t="n">
        <v>0.204</v>
      </c>
      <c r="AX9" s="438" t="n">
        <v>0.21</v>
      </c>
      <c r="AY9" s="438" t="n">
        <v>0.214</v>
      </c>
      <c r="AZ9" s="438" t="n">
        <v>0.209</v>
      </c>
      <c r="BA9" s="441" t="n">
        <v>0.219</v>
      </c>
      <c r="BB9" s="444" t="n">
        <v>0.216</v>
      </c>
      <c r="BC9" s="438" t="n">
        <v>0.217</v>
      </c>
      <c r="BD9" s="438" t="n">
        <v>0.209</v>
      </c>
      <c r="BE9" s="438" t="n">
        <v>0.22</v>
      </c>
      <c r="BF9" s="441" t="n">
        <v>0.21</v>
      </c>
      <c r="BG9" s="444" t="n">
        <v>0.216</v>
      </c>
      <c r="BH9" s="438" t="n">
        <v>0.218</v>
      </c>
      <c r="BI9" s="438" t="n">
        <v>0.219</v>
      </c>
      <c r="BJ9" s="438" t="n">
        <v>0.22</v>
      </c>
      <c r="BK9" s="441" t="n">
        <v>0.221</v>
      </c>
      <c r="BL9" s="444" t="n">
        <v>0.216</v>
      </c>
      <c r="BM9" s="438" t="n">
        <v>0.224</v>
      </c>
      <c r="BN9" s="438" t="n">
        <v>0.232</v>
      </c>
      <c r="BO9" s="438" t="n">
        <v>0.225</v>
      </c>
      <c r="BP9" s="441" t="n">
        <v>0.222</v>
      </c>
      <c r="BQ9" s="444" t="n">
        <v>0.243</v>
      </c>
      <c r="BR9" s="438" t="n">
        <v>0.225</v>
      </c>
      <c r="BS9" s="438" t="n">
        <v>0.227</v>
      </c>
      <c r="BT9" s="441" t="inlineStr">
        <is>
          <t>RF</t>
        </is>
      </c>
      <c r="BU9" s="457" t="n"/>
      <c r="BV9" s="457" t="n"/>
      <c r="BW9" s="238" t="n"/>
      <c r="BX9" s="238" t="n"/>
      <c r="BY9" s="238" t="n"/>
      <c r="BZ9" s="238" t="n"/>
      <c r="CA9" s="238" t="n"/>
      <c r="CB9" s="238" t="n"/>
      <c r="CC9" s="238" t="n"/>
      <c r="CD9" s="238" t="n"/>
      <c r="CE9" s="238" t="n"/>
      <c r="CF9" s="238" t="n"/>
      <c r="CG9" s="238" t="n"/>
      <c r="CH9" s="238" t="n"/>
      <c r="CI9" s="238" t="n"/>
      <c r="CJ9" s="238" t="n"/>
      <c r="CK9" s="238" t="n"/>
      <c r="CL9" s="238" t="n"/>
      <c r="CM9" s="238" t="n"/>
      <c r="CN9" s="238" t="n"/>
      <c r="CO9" s="238" t="n"/>
      <c r="CP9" s="238" t="n"/>
      <c r="CQ9" s="238" t="n"/>
      <c r="CR9" s="238" t="n"/>
      <c r="CS9" s="238" t="n"/>
      <c r="CT9" s="238" t="n"/>
      <c r="CU9" s="238" t="n"/>
      <c r="CV9" s="238" t="n"/>
      <c r="CW9" s="238" t="n"/>
      <c r="CX9" s="238" t="n"/>
      <c r="CY9" s="238" t="n"/>
      <c r="CZ9" s="238" t="n"/>
      <c r="DA9" s="238" t="n"/>
      <c r="DB9" s="238" t="n"/>
      <c r="DC9" s="238" t="n"/>
      <c r="DD9" s="238" t="n"/>
      <c r="DE9" s="238" t="n"/>
      <c r="DF9" s="238" t="n"/>
      <c r="DG9" s="238" t="n"/>
      <c r="DH9" s="238" t="n"/>
      <c r="DI9" s="238" t="n"/>
      <c r="DJ9" s="238" t="n"/>
      <c r="DK9" s="238" t="n"/>
      <c r="DL9" s="238" t="n"/>
      <c r="DM9" s="238" t="n"/>
      <c r="DN9" s="238" t="n"/>
      <c r="DO9" s="238" t="n"/>
      <c r="DP9" s="238" t="n"/>
      <c r="DQ9" s="238" t="n"/>
      <c r="DR9" s="238" t="n"/>
      <c r="DS9" s="238" t="n"/>
      <c r="DT9" s="238" t="n"/>
      <c r="DU9" s="238" t="n"/>
      <c r="DV9" s="238" t="n"/>
      <c r="DW9" s="238" t="n"/>
      <c r="DX9" s="238" t="n"/>
      <c r="DY9" s="238" t="n"/>
      <c r="DZ9" s="23" t="n"/>
      <c r="FQ9" s="212" t="n"/>
      <c r="FR9" s="212" t="n"/>
      <c r="FS9" s="212" t="n"/>
      <c r="FT9" s="212" t="n"/>
      <c r="FU9" s="212" t="n"/>
      <c r="FV9" s="212" t="n"/>
      <c r="FW9" s="212" t="n"/>
      <c r="FX9" s="212" t="n"/>
      <c r="FY9" s="212" t="n"/>
      <c r="FZ9" s="212" t="n"/>
    </row>
    <row r="10" ht="39.95" customFormat="1" customHeight="1" s="5">
      <c r="A10" s="10" t="inlineStr">
        <is>
          <t>A</t>
        </is>
      </c>
      <c r="B10" s="6" t="n"/>
      <c r="C10" s="11" t="inlineStr">
        <is>
          <t>L</t>
        </is>
      </c>
      <c r="D10" s="433" t="inlineStr">
        <is>
          <t>RF</t>
        </is>
      </c>
      <c r="E10" s="436" t="n">
        <v>0.223</v>
      </c>
      <c r="F10" s="436" t="n">
        <v>0.231</v>
      </c>
      <c r="G10" s="436" t="n">
        <v>0.235</v>
      </c>
      <c r="H10" s="439" t="n">
        <v>0.223</v>
      </c>
      <c r="I10" s="442" t="n">
        <v>0.278</v>
      </c>
      <c r="J10" s="436" t="n">
        <v>0.278</v>
      </c>
      <c r="K10" s="436" t="n">
        <v>0.268</v>
      </c>
      <c r="L10" s="436" t="n">
        <v>0.277</v>
      </c>
      <c r="M10" s="439" t="n">
        <v>0.271</v>
      </c>
      <c r="N10" s="442" t="n">
        <v>0.268</v>
      </c>
      <c r="O10" s="436" t="n">
        <v>0.223</v>
      </c>
      <c r="P10" s="436" t="n">
        <v>0.218</v>
      </c>
      <c r="Q10" s="436" t="n">
        <v>0.22</v>
      </c>
      <c r="R10" s="439" t="n">
        <v>0.203</v>
      </c>
      <c r="S10" s="442" t="n">
        <v>0.214</v>
      </c>
      <c r="T10" s="436" t="n">
        <v>0.215</v>
      </c>
      <c r="U10" s="436" t="n">
        <v>0.209</v>
      </c>
      <c r="V10" s="436" t="n">
        <v>0.205</v>
      </c>
      <c r="W10" s="439" t="n">
        <v>0.223</v>
      </c>
      <c r="X10" s="442" t="n">
        <v>0.221</v>
      </c>
      <c r="Y10" s="436" t="n">
        <v>0.2</v>
      </c>
      <c r="Z10" s="436" t="n">
        <v>0.2</v>
      </c>
      <c r="AA10" s="436" t="n">
        <v>0.207</v>
      </c>
      <c r="AB10" s="439" t="n">
        <v>0.209</v>
      </c>
      <c r="AC10" s="442" t="n">
        <v>0.207</v>
      </c>
      <c r="AD10" s="436" t="n">
        <v>0.212</v>
      </c>
      <c r="AE10" s="436" t="n">
        <v>0.21</v>
      </c>
      <c r="AF10" s="436" t="n">
        <v>0.214</v>
      </c>
      <c r="AG10" s="439" t="n">
        <v>0.19</v>
      </c>
      <c r="AH10" s="442" t="n">
        <v>0.206</v>
      </c>
      <c r="AI10" s="436" t="n">
        <v>0.225</v>
      </c>
      <c r="AJ10" s="436" t="n">
        <v>0.209</v>
      </c>
      <c r="AK10" s="436" t="n">
        <v>0.224</v>
      </c>
      <c r="AL10" s="439" t="n">
        <v>0.205</v>
      </c>
      <c r="AM10" s="442" t="n">
        <v>0.208</v>
      </c>
      <c r="AN10" s="436" t="n">
        <v>0.208</v>
      </c>
      <c r="AO10" s="436" t="n">
        <v>0.209</v>
      </c>
      <c r="AP10" s="436" t="n">
        <v>0.194</v>
      </c>
      <c r="AQ10" s="439" t="n">
        <v>0.195</v>
      </c>
      <c r="AR10" s="442" t="n">
        <v>0.21</v>
      </c>
      <c r="AS10" s="436" t="n">
        <v>0.221</v>
      </c>
      <c r="AT10" s="436" t="n">
        <v>0.194</v>
      </c>
      <c r="AU10" s="436" t="n">
        <v>0.213</v>
      </c>
      <c r="AV10" s="439" t="n">
        <v>0.208</v>
      </c>
      <c r="AW10" s="442" t="n">
        <v>0.193</v>
      </c>
      <c r="AX10" s="436" t="n">
        <v>0.222</v>
      </c>
      <c r="AY10" s="436" t="n">
        <v>0.217</v>
      </c>
      <c r="AZ10" s="436" t="n">
        <v>0.216</v>
      </c>
      <c r="BA10" s="439" t="n">
        <v>0.202</v>
      </c>
      <c r="BB10" s="442" t="n">
        <v>0.191</v>
      </c>
      <c r="BC10" s="436" t="n">
        <v>0.199</v>
      </c>
      <c r="BD10" s="436" t="n">
        <v>0.193</v>
      </c>
      <c r="BE10" s="436" t="n">
        <v>0.229</v>
      </c>
      <c r="BF10" s="439" t="n">
        <v>0.208</v>
      </c>
      <c r="BG10" s="442" t="n">
        <v>0.204</v>
      </c>
      <c r="BH10" s="436" t="n">
        <v>0.209</v>
      </c>
      <c r="BI10" s="436" t="n">
        <v>0.204</v>
      </c>
      <c r="BJ10" s="436" t="n">
        <v>0.206</v>
      </c>
      <c r="BK10" s="439" t="n">
        <v>0.23</v>
      </c>
      <c r="BL10" s="442" t="n">
        <v>0.228</v>
      </c>
      <c r="BM10" s="436" t="n">
        <v>0.217</v>
      </c>
      <c r="BN10" s="436" t="n">
        <v>0.235</v>
      </c>
      <c r="BO10" s="436" t="n">
        <v>0.223</v>
      </c>
      <c r="BP10" s="439" t="n">
        <v>0.23</v>
      </c>
      <c r="BQ10" s="442" t="n">
        <v>0.231</v>
      </c>
      <c r="BR10" s="436" t="n">
        <v>0.24</v>
      </c>
      <c r="BS10" s="436" t="n">
        <v>0.237</v>
      </c>
      <c r="BT10" s="439" t="inlineStr">
        <is>
          <t>RF</t>
        </is>
      </c>
      <c r="BU10" s="454">
        <f>IFERROR(AVERAGE(D10:BT12),0)</f>
        <v/>
      </c>
      <c r="BV10" s="454">
        <f>MIN(D10:BT12)</f>
        <v/>
      </c>
      <c r="BW10" s="238" t="n"/>
      <c r="BX10" s="238" t="n"/>
      <c r="BY10" s="238" t="n"/>
      <c r="BZ10" s="238" t="n"/>
      <c r="CA10" s="238" t="n"/>
      <c r="CB10" s="238" t="n"/>
      <c r="CC10" s="238" t="n"/>
      <c r="CD10" s="238" t="n"/>
      <c r="CE10" s="238" t="n"/>
      <c r="CF10" s="238" t="n"/>
      <c r="CG10" s="238" t="n"/>
      <c r="CH10" s="238" t="n"/>
      <c r="CI10" s="238" t="n"/>
      <c r="CJ10" s="238" t="n"/>
      <c r="CK10" s="238" t="n"/>
      <c r="CL10" s="238" t="n"/>
      <c r="CM10" s="238" t="n"/>
      <c r="CN10" s="238" t="n"/>
      <c r="CO10" s="238" t="n"/>
      <c r="CP10" s="238" t="n"/>
      <c r="CQ10" s="238" t="n"/>
      <c r="CR10" s="238" t="n"/>
      <c r="CS10" s="238" t="n"/>
      <c r="CT10" s="238" t="n"/>
      <c r="CU10" s="238" t="n"/>
      <c r="CV10" s="238" t="n"/>
      <c r="CW10" s="238" t="n"/>
      <c r="CX10" s="238" t="n"/>
      <c r="CY10" s="238" t="n"/>
      <c r="CZ10" s="238" t="n"/>
      <c r="DA10" s="238" t="n"/>
      <c r="DB10" s="238" t="n"/>
      <c r="DC10" s="238" t="n"/>
      <c r="DD10" s="238" t="n"/>
      <c r="DE10" s="238" t="n"/>
      <c r="DF10" s="238" t="n"/>
      <c r="DG10" s="238" t="n"/>
      <c r="DH10" s="238" t="n"/>
      <c r="DI10" s="238" t="n"/>
      <c r="DJ10" s="238" t="n"/>
      <c r="DK10" s="238" t="n"/>
      <c r="DL10" s="238" t="n"/>
      <c r="DM10" s="238" t="n"/>
      <c r="DN10" s="238" t="n"/>
      <c r="DO10" s="238" t="n"/>
      <c r="DP10" s="238" t="n"/>
      <c r="DQ10" s="238" t="n"/>
      <c r="DR10" s="238" t="n"/>
      <c r="DS10" s="238" t="n"/>
      <c r="DT10" s="238" t="n"/>
      <c r="DU10" s="238" t="n"/>
      <c r="DV10" s="238" t="n"/>
      <c r="DW10" s="238" t="n"/>
      <c r="DX10" s="238" t="n"/>
      <c r="DY10" s="238" t="n"/>
      <c r="DZ10" s="23" t="n"/>
      <c r="FQ10" s="212" t="n"/>
      <c r="FR10" s="212" t="n"/>
      <c r="FS10" s="212" t="n"/>
      <c r="FT10" s="212" t="n"/>
      <c r="FU10" s="212" t="n"/>
      <c r="FV10" s="212" t="n"/>
      <c r="FW10" s="212" t="n"/>
      <c r="FX10" s="212" t="n"/>
      <c r="FY10" s="212" t="n"/>
      <c r="FZ10" s="212" t="n"/>
    </row>
    <row r="11" ht="39.95" customFormat="1" customHeight="1" s="5">
      <c r="A11" s="182" t="n">
        <v>0.083</v>
      </c>
      <c r="B11" s="7" t="inlineStr">
        <is>
          <t>+13 FT 6 IN</t>
        </is>
      </c>
      <c r="C11" s="11" t="inlineStr">
        <is>
          <t>C</t>
        </is>
      </c>
      <c r="D11" s="434" t="inlineStr">
        <is>
          <t>RF</t>
        </is>
      </c>
      <c r="E11" s="437" t="n">
        <v>0.224</v>
      </c>
      <c r="F11" s="437" t="n">
        <v>0.221</v>
      </c>
      <c r="G11" s="437" t="n">
        <v>0.226</v>
      </c>
      <c r="H11" s="440" t="n">
        <v>0.216</v>
      </c>
      <c r="I11" s="443" t="n">
        <v>0.275</v>
      </c>
      <c r="J11" s="437" t="n">
        <v>0.276</v>
      </c>
      <c r="K11" s="437" t="n">
        <v>0.275</v>
      </c>
      <c r="L11" s="437" t="n">
        <v>0.268</v>
      </c>
      <c r="M11" s="440" t="n">
        <v>0.268</v>
      </c>
      <c r="N11" s="443" t="n">
        <v>0.263</v>
      </c>
      <c r="O11" s="437" t="n">
        <v>0.225</v>
      </c>
      <c r="P11" s="437" t="n">
        <v>0.218</v>
      </c>
      <c r="Q11" s="437" t="n">
        <v>0.229</v>
      </c>
      <c r="R11" s="440" t="n">
        <v>0.209</v>
      </c>
      <c r="S11" s="443" t="n">
        <v>0.214</v>
      </c>
      <c r="T11" s="437" t="n">
        <v>0.213</v>
      </c>
      <c r="U11" s="437" t="n">
        <v>0.213</v>
      </c>
      <c r="V11" s="437" t="n">
        <v>0.206</v>
      </c>
      <c r="W11" s="440" t="n">
        <v>0.202</v>
      </c>
      <c r="X11" s="443" t="n">
        <v>0.208</v>
      </c>
      <c r="Y11" s="437" t="n">
        <v>0.217</v>
      </c>
      <c r="Z11" s="437" t="n">
        <v>0.227</v>
      </c>
      <c r="AA11" s="437" t="n">
        <v>0.227</v>
      </c>
      <c r="AB11" s="440" t="n">
        <v>0.207</v>
      </c>
      <c r="AC11" s="443" t="n">
        <v>0.203</v>
      </c>
      <c r="AD11" s="437" t="n">
        <v>0.21</v>
      </c>
      <c r="AE11" s="437" t="n">
        <v>0.21</v>
      </c>
      <c r="AF11" s="437" t="n">
        <v>0.226</v>
      </c>
      <c r="AG11" s="440" t="n">
        <v>0.193</v>
      </c>
      <c r="AH11" s="443" t="n">
        <v>0.2</v>
      </c>
      <c r="AI11" s="437" t="n">
        <v>0.208</v>
      </c>
      <c r="AJ11" s="437" t="n">
        <v>0.202</v>
      </c>
      <c r="AK11" s="437" t="n">
        <v>0.228</v>
      </c>
      <c r="AL11" s="440" t="n">
        <v>0.205</v>
      </c>
      <c r="AM11" s="443" t="n">
        <v>0.212</v>
      </c>
      <c r="AN11" s="437" t="n">
        <v>0.198</v>
      </c>
      <c r="AO11" s="437" t="n">
        <v>0.206</v>
      </c>
      <c r="AP11" s="437" t="n">
        <v>0.194</v>
      </c>
      <c r="AQ11" s="440" t="n">
        <v>0.185</v>
      </c>
      <c r="AR11" s="443" t="n">
        <v>0.185</v>
      </c>
      <c r="AS11" s="437" t="n">
        <v>0.205</v>
      </c>
      <c r="AT11" s="437" t="n">
        <v>0.212</v>
      </c>
      <c r="AU11" s="437" t="n">
        <v>0.205</v>
      </c>
      <c r="AV11" s="440" t="n">
        <v>0.206</v>
      </c>
      <c r="AW11" s="443" t="n">
        <v>0.214</v>
      </c>
      <c r="AX11" s="437" t="n">
        <v>0.2</v>
      </c>
      <c r="AY11" s="437" t="n">
        <v>0.218</v>
      </c>
      <c r="AZ11" s="437" t="n">
        <v>0.218</v>
      </c>
      <c r="BA11" s="440" t="n">
        <v>0.213</v>
      </c>
      <c r="BB11" s="443" t="n">
        <v>0.219</v>
      </c>
      <c r="BC11" s="437" t="n">
        <v>0.205</v>
      </c>
      <c r="BD11" s="437" t="n">
        <v>0.197</v>
      </c>
      <c r="BE11" s="437" t="n">
        <v>0.235</v>
      </c>
      <c r="BF11" s="440" t="n">
        <v>0.215</v>
      </c>
      <c r="BG11" s="443" t="n">
        <v>0.206</v>
      </c>
      <c r="BH11" s="437" t="n">
        <v>0.235</v>
      </c>
      <c r="BI11" s="437" t="n">
        <v>0.218</v>
      </c>
      <c r="BJ11" s="437" t="n">
        <v>0.212</v>
      </c>
      <c r="BK11" s="440" t="n">
        <v>0.223</v>
      </c>
      <c r="BL11" s="443" t="n">
        <v>0.21</v>
      </c>
      <c r="BM11" s="437" t="n">
        <v>0.222</v>
      </c>
      <c r="BN11" s="437" t="n">
        <v>0.217</v>
      </c>
      <c r="BO11" s="437" t="n">
        <v>0.224</v>
      </c>
      <c r="BP11" s="440" t="n">
        <v>0.23</v>
      </c>
      <c r="BQ11" s="443" t="n">
        <v>0.234</v>
      </c>
      <c r="BR11" s="437" t="n">
        <v>0.228</v>
      </c>
      <c r="BS11" s="437" t="n">
        <v>0.237</v>
      </c>
      <c r="BT11" s="440" t="inlineStr">
        <is>
          <t>RF</t>
        </is>
      </c>
      <c r="BU11" s="455" t="n"/>
      <c r="BV11" s="455" t="n"/>
      <c r="BW11" s="238" t="n"/>
      <c r="BX11" s="238" t="n"/>
      <c r="BY11" s="238" t="n"/>
      <c r="BZ11" s="238" t="n"/>
      <c r="CA11" s="238" t="n"/>
      <c r="CB11" s="238" t="n"/>
      <c r="CC11" s="238" t="n"/>
      <c r="CD11" s="238" t="n"/>
      <c r="CE11" s="238" t="n"/>
      <c r="CF11" s="238" t="n"/>
      <c r="CG11" s="238" t="n"/>
      <c r="CH11" s="238" t="n"/>
      <c r="CI11" s="238" t="n"/>
      <c r="CJ11" s="238" t="n"/>
      <c r="CK11" s="238" t="n"/>
      <c r="CL11" s="238" t="n"/>
      <c r="CM11" s="238" t="n"/>
      <c r="CN11" s="238" t="n"/>
      <c r="CO11" s="238" t="n"/>
      <c r="CP11" s="238" t="n"/>
      <c r="CQ11" s="238" t="n"/>
      <c r="CR11" s="238" t="n"/>
      <c r="CS11" s="238" t="n"/>
      <c r="CT11" s="238" t="n"/>
      <c r="CU11" s="238" t="n"/>
      <c r="CV11" s="238" t="n"/>
      <c r="CW11" s="238" t="n"/>
      <c r="CX11" s="238" t="n"/>
      <c r="CY11" s="238" t="n"/>
      <c r="CZ11" s="238" t="n"/>
      <c r="DA11" s="238" t="n"/>
      <c r="DB11" s="238" t="n"/>
      <c r="DC11" s="238" t="n"/>
      <c r="DD11" s="238" t="n"/>
      <c r="DE11" s="238" t="n"/>
      <c r="DF11" s="238" t="n"/>
      <c r="DG11" s="238" t="n"/>
      <c r="DH11" s="238" t="n"/>
      <c r="DI11" s="238" t="n"/>
      <c r="DJ11" s="238" t="n"/>
      <c r="DK11" s="238" t="n"/>
      <c r="DL11" s="238" t="n"/>
      <c r="DM11" s="238" t="n"/>
      <c r="DN11" s="238" t="n"/>
      <c r="DO11" s="238" t="n"/>
      <c r="DP11" s="238" t="n"/>
      <c r="DQ11" s="238" t="n"/>
      <c r="DR11" s="238" t="n"/>
      <c r="DS11" s="238" t="n"/>
      <c r="DT11" s="238" t="n"/>
      <c r="DU11" s="238" t="n"/>
      <c r="DV11" s="238" t="n"/>
      <c r="DW11" s="238" t="n"/>
      <c r="DX11" s="238" t="n"/>
      <c r="DY11" s="238" t="n"/>
      <c r="DZ11" s="23" t="n"/>
      <c r="FQ11" s="212" t="n"/>
      <c r="FR11" s="212" t="n"/>
      <c r="FS11" s="212" t="n"/>
      <c r="FT11" s="212" t="n"/>
      <c r="FU11" s="212" t="n"/>
      <c r="FV11" s="212" t="n"/>
      <c r="FW11" s="212" t="n"/>
      <c r="FX11" s="212" t="n"/>
      <c r="FY11" s="212" t="n"/>
      <c r="FZ11" s="212" t="n"/>
    </row>
    <row r="12" ht="39.95" customFormat="1" customHeight="1" s="5">
      <c r="A12" s="456" t="n"/>
      <c r="B12" s="8" t="n"/>
      <c r="C12" s="12" t="inlineStr">
        <is>
          <t>R</t>
        </is>
      </c>
      <c r="D12" s="435" t="inlineStr">
        <is>
          <t>RF</t>
        </is>
      </c>
      <c r="E12" s="438" t="n">
        <v>0.218</v>
      </c>
      <c r="F12" s="438" t="n">
        <v>0.221</v>
      </c>
      <c r="G12" s="438" t="n">
        <v>0.22</v>
      </c>
      <c r="H12" s="441" t="n">
        <v>0.222</v>
      </c>
      <c r="I12" s="444" t="n">
        <v>0.272</v>
      </c>
      <c r="J12" s="438" t="n">
        <v>0.288</v>
      </c>
      <c r="K12" s="438" t="n">
        <v>0.274</v>
      </c>
      <c r="L12" s="438" t="n">
        <v>0.267</v>
      </c>
      <c r="M12" s="441" t="n">
        <v>0.27</v>
      </c>
      <c r="N12" s="444" t="n">
        <v>0.273</v>
      </c>
      <c r="O12" s="438" t="n">
        <v>0.221</v>
      </c>
      <c r="P12" s="438" t="n">
        <v>0.216</v>
      </c>
      <c r="Q12" s="438" t="n">
        <v>0.217</v>
      </c>
      <c r="R12" s="441" t="n">
        <v>0.201</v>
      </c>
      <c r="S12" s="444" t="n">
        <v>0.205</v>
      </c>
      <c r="T12" s="438" t="n">
        <v>0.204</v>
      </c>
      <c r="U12" s="438" t="n">
        <v>0.201</v>
      </c>
      <c r="V12" s="438" t="n">
        <v>0.2</v>
      </c>
      <c r="W12" s="441" t="n">
        <v>0.202</v>
      </c>
      <c r="X12" s="444" t="n">
        <v>0.212</v>
      </c>
      <c r="Y12" s="438" t="n">
        <v>0.21</v>
      </c>
      <c r="Z12" s="438" t="n">
        <v>0.212</v>
      </c>
      <c r="AA12" s="438" t="n">
        <v>0.215</v>
      </c>
      <c r="AB12" s="441" t="n">
        <v>0.204</v>
      </c>
      <c r="AC12" s="444" t="n">
        <v>0.216</v>
      </c>
      <c r="AD12" s="438" t="n">
        <v>0.219</v>
      </c>
      <c r="AE12" s="438" t="n">
        <v>0.217</v>
      </c>
      <c r="AF12" s="438" t="n">
        <v>0.208</v>
      </c>
      <c r="AG12" s="441" t="n">
        <v>0.201</v>
      </c>
      <c r="AH12" s="444" t="n">
        <v>0.203</v>
      </c>
      <c r="AI12" s="438" t="n">
        <v>0.213</v>
      </c>
      <c r="AJ12" s="438" t="n">
        <v>0.211</v>
      </c>
      <c r="AK12" s="438" t="n">
        <v>0.212</v>
      </c>
      <c r="AL12" s="441" t="n">
        <v>0.206</v>
      </c>
      <c r="AM12" s="444" t="n">
        <v>0.209</v>
      </c>
      <c r="AN12" s="438" t="n">
        <v>0.205</v>
      </c>
      <c r="AO12" s="438" t="n">
        <v>0.206</v>
      </c>
      <c r="AP12" s="438" t="n">
        <v>0.192</v>
      </c>
      <c r="AQ12" s="441" t="n">
        <v>0.182</v>
      </c>
      <c r="AR12" s="444" t="n">
        <v>0.205</v>
      </c>
      <c r="AS12" s="438" t="n">
        <v>0.21</v>
      </c>
      <c r="AT12" s="438" t="n">
        <v>0.196</v>
      </c>
      <c r="AU12" s="438" t="n">
        <v>0.21</v>
      </c>
      <c r="AV12" s="441" t="n">
        <v>0.208</v>
      </c>
      <c r="AW12" s="444" t="n">
        <v>0.205</v>
      </c>
      <c r="AX12" s="438" t="n">
        <v>0.207</v>
      </c>
      <c r="AY12" s="438" t="n">
        <v>0.202</v>
      </c>
      <c r="AZ12" s="438" t="n">
        <v>0.209</v>
      </c>
      <c r="BA12" s="441" t="n">
        <v>0.213</v>
      </c>
      <c r="BB12" s="444" t="n">
        <v>0.196</v>
      </c>
      <c r="BC12" s="438" t="n">
        <v>0.21</v>
      </c>
      <c r="BD12" s="438" t="n">
        <v>0.201</v>
      </c>
      <c r="BE12" s="438" t="n">
        <v>0.205</v>
      </c>
      <c r="BF12" s="441" t="n">
        <v>0.208</v>
      </c>
      <c r="BG12" s="444" t="n">
        <v>0.22</v>
      </c>
      <c r="BH12" s="438" t="n">
        <v>0.231</v>
      </c>
      <c r="BI12" s="438" t="n">
        <v>0.207</v>
      </c>
      <c r="BJ12" s="438" t="n">
        <v>0.212</v>
      </c>
      <c r="BK12" s="441" t="n">
        <v>0.219</v>
      </c>
      <c r="BL12" s="444" t="n">
        <v>0.226</v>
      </c>
      <c r="BM12" s="438" t="n">
        <v>0.227</v>
      </c>
      <c r="BN12" s="438" t="n">
        <v>0.216</v>
      </c>
      <c r="BO12" s="438" t="n">
        <v>0.225</v>
      </c>
      <c r="BP12" s="441" t="n">
        <v>0.227</v>
      </c>
      <c r="BQ12" s="444" t="n">
        <v>0.226</v>
      </c>
      <c r="BR12" s="438" t="n">
        <v>0.224</v>
      </c>
      <c r="BS12" s="438" t="n">
        <v>0.226</v>
      </c>
      <c r="BT12" s="441" t="inlineStr">
        <is>
          <t>RF</t>
        </is>
      </c>
      <c r="BU12" s="457" t="n"/>
      <c r="BV12" s="457" t="n"/>
      <c r="BW12" s="238" t="n"/>
      <c r="BX12" s="238" t="n"/>
      <c r="BY12" s="238" t="n"/>
      <c r="BZ12" s="238" t="n"/>
      <c r="CA12" s="238" t="n"/>
      <c r="CB12" s="238" t="n"/>
      <c r="CC12" s="238" t="n"/>
      <c r="CD12" s="238" t="n"/>
      <c r="CE12" s="238" t="n"/>
      <c r="CF12" s="238" t="n"/>
      <c r="CG12" s="238" t="n"/>
      <c r="CH12" s="238" t="n"/>
      <c r="CI12" s="238" t="n"/>
      <c r="CJ12" s="238" t="n"/>
      <c r="CK12" s="238" t="n"/>
      <c r="CL12" s="238" t="n"/>
      <c r="CM12" s="238" t="n"/>
      <c r="CN12" s="238" t="n"/>
      <c r="CO12" s="238" t="n"/>
      <c r="CP12" s="238" t="n"/>
      <c r="CQ12" s="238" t="n"/>
      <c r="CR12" s="238" t="n"/>
      <c r="CS12" s="238" t="n"/>
      <c r="CT12" s="238" t="n"/>
      <c r="CU12" s="238" t="n"/>
      <c r="CV12" s="238" t="n"/>
      <c r="CW12" s="238" t="n"/>
      <c r="CX12" s="238" t="n"/>
      <c r="CY12" s="238" t="n"/>
      <c r="CZ12" s="238" t="n"/>
      <c r="DA12" s="238" t="n"/>
      <c r="DB12" s="238" t="n"/>
      <c r="DC12" s="238" t="n"/>
      <c r="DD12" s="238" t="n"/>
      <c r="DE12" s="238" t="n"/>
      <c r="DF12" s="238" t="n"/>
      <c r="DG12" s="238" t="n"/>
      <c r="DH12" s="238" t="n"/>
      <c r="DI12" s="238" t="n"/>
      <c r="DJ12" s="238" t="n"/>
      <c r="DK12" s="238" t="n"/>
      <c r="DL12" s="238" t="n"/>
      <c r="DM12" s="238" t="n"/>
      <c r="DN12" s="238" t="n"/>
      <c r="DO12" s="238" t="n"/>
      <c r="DP12" s="238" t="n"/>
      <c r="DQ12" s="238" t="n"/>
      <c r="DR12" s="238" t="n"/>
      <c r="DS12" s="238" t="n"/>
      <c r="DT12" s="238" t="n"/>
      <c r="DU12" s="238" t="n"/>
      <c r="DV12" s="238" t="n"/>
      <c r="DW12" s="238" t="n"/>
      <c r="DX12" s="238" t="n"/>
      <c r="DY12" s="238" t="n"/>
      <c r="DZ12" s="23" t="n"/>
      <c r="FQ12" s="212" t="n"/>
      <c r="FR12" s="212" t="n"/>
      <c r="FS12" s="212" t="n"/>
      <c r="FT12" s="212" t="n"/>
      <c r="FU12" s="212" t="n"/>
      <c r="FV12" s="212" t="n"/>
      <c r="FW12" s="212" t="n"/>
      <c r="FX12" s="212" t="n"/>
      <c r="FY12" s="212" t="n"/>
      <c r="FZ12" s="212" t="n"/>
    </row>
    <row r="13" ht="39.95" customFormat="1" customHeight="1" s="5">
      <c r="A13" s="10" t="inlineStr">
        <is>
          <t>A</t>
        </is>
      </c>
      <c r="B13" s="6" t="n"/>
      <c r="C13" s="11" t="inlineStr">
        <is>
          <t>L</t>
        </is>
      </c>
      <c r="D13" s="433" t="inlineStr">
        <is>
          <t>RF</t>
        </is>
      </c>
      <c r="E13" s="436" t="n">
        <v>0.23</v>
      </c>
      <c r="F13" s="436" t="n">
        <v>0.227</v>
      </c>
      <c r="G13" s="436" t="n">
        <v>0.225</v>
      </c>
      <c r="H13" s="439" t="n">
        <v>0.223</v>
      </c>
      <c r="I13" s="442" t="n">
        <v>0.252</v>
      </c>
      <c r="J13" s="436" t="n">
        <v>0.276</v>
      </c>
      <c r="K13" s="436" t="n">
        <v>0.255</v>
      </c>
      <c r="L13" s="436" t="n">
        <v>0.247</v>
      </c>
      <c r="M13" s="439" t="n">
        <v>0.246</v>
      </c>
      <c r="N13" s="442" t="n">
        <v>0.248</v>
      </c>
      <c r="O13" s="436" t="n">
        <v>0.206</v>
      </c>
      <c r="P13" s="436" t="n">
        <v>0.212</v>
      </c>
      <c r="Q13" s="436" t="n">
        <v>0.213</v>
      </c>
      <c r="R13" s="439" t="n">
        <v>0.208</v>
      </c>
      <c r="S13" s="442" t="n">
        <v>0.213</v>
      </c>
      <c r="T13" s="436" t="n">
        <v>0.199</v>
      </c>
      <c r="U13" s="436" t="n">
        <v>0.208</v>
      </c>
      <c r="V13" s="436" t="n">
        <v>0.215</v>
      </c>
      <c r="W13" s="439" t="n">
        <v>0.2</v>
      </c>
      <c r="X13" s="442" t="n">
        <v>0.199</v>
      </c>
      <c r="Y13" s="436" t="n">
        <v>0.217</v>
      </c>
      <c r="Z13" s="436" t="n">
        <v>0.209</v>
      </c>
      <c r="AA13" s="436" t="n">
        <v>0.21</v>
      </c>
      <c r="AB13" s="439" t="n">
        <v>0.202</v>
      </c>
      <c r="AC13" s="442" t="n">
        <v>0.21</v>
      </c>
      <c r="AD13" s="436" t="n">
        <v>0.208</v>
      </c>
      <c r="AE13" s="436" t="n">
        <v>0.206</v>
      </c>
      <c r="AF13" s="436" t="n">
        <v>0.2</v>
      </c>
      <c r="AG13" s="439" t="n">
        <v>0.202</v>
      </c>
      <c r="AH13" s="442" t="n">
        <v>0.246</v>
      </c>
      <c r="AI13" s="436" t="n">
        <v>0.207</v>
      </c>
      <c r="AJ13" s="436" t="n">
        <v>0.22</v>
      </c>
      <c r="AK13" s="436" t="n">
        <v>0.222</v>
      </c>
      <c r="AL13" s="439" t="n">
        <v>0.219</v>
      </c>
      <c r="AM13" s="442" t="n">
        <v>0.219</v>
      </c>
      <c r="AN13" s="436" t="n">
        <v>0.196</v>
      </c>
      <c r="AO13" s="436" t="n">
        <v>0.182</v>
      </c>
      <c r="AP13" s="436" t="n">
        <v>0.192</v>
      </c>
      <c r="AQ13" s="439" t="n">
        <v>0.185</v>
      </c>
      <c r="AR13" s="442" t="n">
        <v>0.195</v>
      </c>
      <c r="AS13" s="436" t="n">
        <v>0.189</v>
      </c>
      <c r="AT13" s="436" t="n">
        <v>0.182</v>
      </c>
      <c r="AU13" s="436" t="n">
        <v>0.2</v>
      </c>
      <c r="AV13" s="439" t="n">
        <v>0.188</v>
      </c>
      <c r="AW13" s="442" t="n">
        <v>0.194</v>
      </c>
      <c r="AX13" s="436" t="n">
        <v>0.193</v>
      </c>
      <c r="AY13" s="436" t="n">
        <v>0.195</v>
      </c>
      <c r="AZ13" s="436" t="n">
        <v>0.189</v>
      </c>
      <c r="BA13" s="439" t="n">
        <v>0.201</v>
      </c>
      <c r="BB13" s="442" t="n">
        <v>0.191</v>
      </c>
      <c r="BC13" s="436" t="n">
        <v>0.199</v>
      </c>
      <c r="BD13" s="436" t="n">
        <v>0.195</v>
      </c>
      <c r="BE13" s="436" t="n">
        <v>0.214</v>
      </c>
      <c r="BF13" s="439" t="n">
        <v>0.195</v>
      </c>
      <c r="BG13" s="442" t="n">
        <v>0.186</v>
      </c>
      <c r="BH13" s="436" t="n">
        <v>0.202</v>
      </c>
      <c r="BI13" s="436" t="n">
        <v>0.214</v>
      </c>
      <c r="BJ13" s="436" t="n">
        <v>0.198</v>
      </c>
      <c r="BK13" s="439" t="n">
        <v>0.215</v>
      </c>
      <c r="BL13" s="442" t="n">
        <v>0.21</v>
      </c>
      <c r="BM13" s="436" t="n">
        <v>0.206</v>
      </c>
      <c r="BN13" s="436" t="n">
        <v>0.221</v>
      </c>
      <c r="BO13" s="436" t="n">
        <v>0.221</v>
      </c>
      <c r="BP13" s="439" t="n">
        <v>0.229</v>
      </c>
      <c r="BQ13" s="442" t="n">
        <v>0.234</v>
      </c>
      <c r="BR13" s="436" t="n">
        <v>0.229</v>
      </c>
      <c r="BS13" s="436" t="n">
        <v>0.226</v>
      </c>
      <c r="BT13" s="439" t="n">
        <v>0.233</v>
      </c>
      <c r="BU13" s="454">
        <f>IFERROR(AVERAGE(D13:BT15),0)</f>
        <v/>
      </c>
      <c r="BV13" s="454">
        <f>MIN(D13:BT15)</f>
        <v/>
      </c>
      <c r="BW13" s="238" t="n"/>
      <c r="BX13" s="238" t="n"/>
      <c r="BY13" s="238" t="n"/>
      <c r="BZ13" s="238" t="n"/>
      <c r="CA13" s="238" t="n"/>
      <c r="CB13" s="238" t="n"/>
      <c r="CC13" s="238" t="n"/>
      <c r="CD13" s="238" t="n"/>
      <c r="CE13" s="238" t="n"/>
      <c r="CF13" s="238" t="n"/>
      <c r="CG13" s="238" t="n"/>
      <c r="CH13" s="238" t="n"/>
      <c r="CI13" s="238" t="n"/>
      <c r="CJ13" s="238" t="n"/>
      <c r="CK13" s="238" t="n"/>
      <c r="CL13" s="238" t="n"/>
      <c r="CM13" s="238" t="n"/>
      <c r="CN13" s="238" t="n"/>
      <c r="CO13" s="238" t="n"/>
      <c r="CP13" s="238" t="n"/>
      <c r="CQ13" s="238" t="n"/>
      <c r="CR13" s="238" t="n"/>
      <c r="CS13" s="238" t="n"/>
      <c r="CT13" s="238" t="n"/>
      <c r="CU13" s="238" t="n"/>
      <c r="CV13" s="238" t="n"/>
      <c r="CW13" s="238" t="n"/>
      <c r="CX13" s="238" t="n"/>
      <c r="CY13" s="238" t="n"/>
      <c r="CZ13" s="238" t="n"/>
      <c r="DA13" s="238" t="n"/>
      <c r="DB13" s="238" t="n"/>
      <c r="DC13" s="238" t="n"/>
      <c r="DD13" s="238" t="n"/>
      <c r="DE13" s="238" t="n"/>
      <c r="DF13" s="238" t="n"/>
      <c r="DG13" s="238" t="n"/>
      <c r="DH13" s="238" t="n"/>
      <c r="DI13" s="238" t="n"/>
      <c r="DJ13" s="238" t="n"/>
      <c r="DK13" s="238" t="n"/>
      <c r="DL13" s="238" t="n"/>
      <c r="DM13" s="238" t="n"/>
      <c r="DN13" s="238" t="n"/>
      <c r="DO13" s="238" t="n"/>
      <c r="DP13" s="238" t="n"/>
      <c r="DQ13" s="238" t="n"/>
      <c r="DR13" s="238" t="n"/>
      <c r="DS13" s="238" t="n"/>
      <c r="DT13" s="238" t="n"/>
      <c r="DU13" s="238" t="n"/>
      <c r="DV13" s="238" t="n"/>
      <c r="DW13" s="238" t="n"/>
      <c r="DX13" s="238" t="n"/>
      <c r="DY13" s="238" t="n"/>
      <c r="DZ13" s="23" t="n"/>
      <c r="FQ13" s="212" t="n"/>
      <c r="FR13" s="212" t="n"/>
      <c r="FS13" s="212" t="n"/>
      <c r="FT13" s="212" t="n"/>
      <c r="FU13" s="212" t="n"/>
      <c r="FV13" s="212" t="n"/>
      <c r="FW13" s="212" t="n"/>
      <c r="FX13" s="212" t="n"/>
      <c r="FY13" s="212" t="n"/>
      <c r="FZ13" s="212" t="n"/>
    </row>
    <row r="14" ht="39.95" customFormat="1" customHeight="1" s="5">
      <c r="A14" s="182" t="n">
        <v>0.083</v>
      </c>
      <c r="B14" s="7" t="inlineStr">
        <is>
          <t>+12 FT</t>
        </is>
      </c>
      <c r="C14" s="11" t="inlineStr">
        <is>
          <t>C</t>
        </is>
      </c>
      <c r="D14" s="434" t="inlineStr">
        <is>
          <t>RF</t>
        </is>
      </c>
      <c r="E14" s="437" t="n">
        <v>0.229</v>
      </c>
      <c r="F14" s="437" t="n">
        <v>0.221</v>
      </c>
      <c r="G14" s="437" t="n">
        <v>0.22</v>
      </c>
      <c r="H14" s="440" t="n">
        <v>0.216</v>
      </c>
      <c r="I14" s="443" t="n">
        <v>0.252</v>
      </c>
      <c r="J14" s="437" t="n">
        <v>0.25</v>
      </c>
      <c r="K14" s="437" t="n">
        <v>0.255</v>
      </c>
      <c r="L14" s="437" t="n">
        <v>0.243</v>
      </c>
      <c r="M14" s="440" t="n">
        <v>0.25</v>
      </c>
      <c r="N14" s="443" t="n">
        <v>0.249</v>
      </c>
      <c r="O14" s="437" t="n">
        <v>0.217</v>
      </c>
      <c r="P14" s="437" t="n">
        <v>0.214</v>
      </c>
      <c r="Q14" s="437" t="n">
        <v>0.222</v>
      </c>
      <c r="R14" s="440" t="n">
        <v>0.208</v>
      </c>
      <c r="S14" s="443" t="n">
        <v>0.215</v>
      </c>
      <c r="T14" s="437" t="n">
        <v>0.216</v>
      </c>
      <c r="U14" s="437" t="n">
        <v>0.214</v>
      </c>
      <c r="V14" s="437" t="n">
        <v>0.219</v>
      </c>
      <c r="W14" s="440" t="n">
        <v>0.21</v>
      </c>
      <c r="X14" s="443" t="n">
        <v>0.206</v>
      </c>
      <c r="Y14" s="437" t="n">
        <v>0.218</v>
      </c>
      <c r="Z14" s="437" t="n">
        <v>0.196</v>
      </c>
      <c r="AA14" s="437" t="n">
        <v>0.207</v>
      </c>
      <c r="AB14" s="440" t="n">
        <v>0.207</v>
      </c>
      <c r="AC14" s="443" t="n">
        <v>0.206</v>
      </c>
      <c r="AD14" s="437" t="n">
        <v>0.196</v>
      </c>
      <c r="AE14" s="437" t="n">
        <v>0.197</v>
      </c>
      <c r="AF14" s="437" t="n">
        <v>0.199</v>
      </c>
      <c r="AG14" s="440" t="n">
        <v>0.205</v>
      </c>
      <c r="AH14" s="443" t="n">
        <v>0.198</v>
      </c>
      <c r="AI14" s="437" t="n">
        <v>0.201</v>
      </c>
      <c r="AJ14" s="437" t="n">
        <v>0.22</v>
      </c>
      <c r="AK14" s="437" t="n">
        <v>0.223</v>
      </c>
      <c r="AL14" s="440" t="n">
        <v>0.216</v>
      </c>
      <c r="AM14" s="443" t="n">
        <v>0.204</v>
      </c>
      <c r="AN14" s="437" t="n">
        <v>0.207</v>
      </c>
      <c r="AO14" s="437" t="n">
        <v>0.189</v>
      </c>
      <c r="AP14" s="437" t="n">
        <v>0.181</v>
      </c>
      <c r="AQ14" s="440" t="n">
        <v>0.172</v>
      </c>
      <c r="AR14" s="443" t="n">
        <v>0.196</v>
      </c>
      <c r="AS14" s="437" t="n">
        <v>0.225</v>
      </c>
      <c r="AT14" s="437" t="n">
        <v>0.18</v>
      </c>
      <c r="AU14" s="437" t="n">
        <v>0.187</v>
      </c>
      <c r="AV14" s="440" t="n">
        <v>0.188</v>
      </c>
      <c r="AW14" s="443" t="n">
        <v>0.198</v>
      </c>
      <c r="AX14" s="437" t="n">
        <v>0.192</v>
      </c>
      <c r="AY14" s="437" t="n">
        <v>0.197</v>
      </c>
      <c r="AZ14" s="437" t="n">
        <v>0.193</v>
      </c>
      <c r="BA14" s="440" t="n">
        <v>0.197</v>
      </c>
      <c r="BB14" s="443" t="n">
        <v>0.191</v>
      </c>
      <c r="BC14" s="437" t="n">
        <v>0.19</v>
      </c>
      <c r="BD14" s="437" t="n">
        <v>0.201</v>
      </c>
      <c r="BE14" s="437" t="n">
        <v>0.207</v>
      </c>
      <c r="BF14" s="440" t="n">
        <v>0.203</v>
      </c>
      <c r="BG14" s="443" t="n">
        <v>0.195</v>
      </c>
      <c r="BH14" s="437" t="n">
        <v>0.207</v>
      </c>
      <c r="BI14" s="437" t="n">
        <v>0.204</v>
      </c>
      <c r="BJ14" s="437" t="n">
        <v>0.213</v>
      </c>
      <c r="BK14" s="440" t="n">
        <v>0.209</v>
      </c>
      <c r="BL14" s="443" t="n">
        <v>0.214</v>
      </c>
      <c r="BM14" s="437" t="n">
        <v>0.21</v>
      </c>
      <c r="BN14" s="437" t="n">
        <v>0.218</v>
      </c>
      <c r="BO14" s="437" t="n">
        <v>0.225</v>
      </c>
      <c r="BP14" s="440" t="n">
        <v>0.229</v>
      </c>
      <c r="BQ14" s="443" t="n">
        <v>0.235</v>
      </c>
      <c r="BR14" s="437" t="n">
        <v>0.221</v>
      </c>
      <c r="BS14" s="437" t="n">
        <v>0.236</v>
      </c>
      <c r="BT14" s="440" t="n">
        <v>0.216</v>
      </c>
      <c r="BU14" s="455" t="n"/>
      <c r="BV14" s="455" t="n"/>
      <c r="BW14" s="238" t="n"/>
      <c r="BX14" s="238" t="n"/>
      <c r="BY14" s="238" t="n"/>
      <c r="BZ14" s="238" t="n"/>
      <c r="CA14" s="238" t="n"/>
      <c r="CB14" s="238" t="n"/>
      <c r="CC14" s="238" t="n"/>
      <c r="CD14" s="238" t="n"/>
      <c r="CE14" s="238" t="n"/>
      <c r="CF14" s="238" t="n"/>
      <c r="CG14" s="238" t="n"/>
      <c r="CH14" s="238" t="n"/>
      <c r="CI14" s="238" t="n"/>
      <c r="CJ14" s="238" t="n"/>
      <c r="CK14" s="238" t="n"/>
      <c r="CL14" s="238" t="n"/>
      <c r="CM14" s="238" t="n"/>
      <c r="CN14" s="238" t="n"/>
      <c r="CO14" s="238" t="n"/>
      <c r="CP14" s="238" t="n"/>
      <c r="CQ14" s="238" t="n"/>
      <c r="CR14" s="238" t="n"/>
      <c r="CS14" s="238" t="n"/>
      <c r="CT14" s="238" t="n"/>
      <c r="CU14" s="238" t="n"/>
      <c r="CV14" s="238" t="n"/>
      <c r="CW14" s="238" t="n"/>
      <c r="CX14" s="238" t="n"/>
      <c r="CY14" s="238" t="n"/>
      <c r="CZ14" s="238" t="n"/>
      <c r="DA14" s="238" t="n"/>
      <c r="DB14" s="238" t="n"/>
      <c r="DC14" s="238" t="n"/>
      <c r="DD14" s="238" t="n"/>
      <c r="DE14" s="238" t="n"/>
      <c r="DF14" s="238" t="n"/>
      <c r="DG14" s="238" t="n"/>
      <c r="DH14" s="238" t="n"/>
      <c r="DI14" s="238" t="n"/>
      <c r="DJ14" s="238" t="n"/>
      <c r="DK14" s="238" t="n"/>
      <c r="DL14" s="238" t="n"/>
      <c r="DM14" s="238" t="n"/>
      <c r="DN14" s="238" t="n"/>
      <c r="DO14" s="238" t="n"/>
      <c r="DP14" s="238" t="n"/>
      <c r="DQ14" s="238" t="n"/>
      <c r="DR14" s="238" t="n"/>
      <c r="DS14" s="238" t="n"/>
      <c r="DT14" s="238" t="n"/>
      <c r="DU14" s="238" t="n"/>
      <c r="DV14" s="238" t="n"/>
      <c r="DW14" s="238" t="n"/>
      <c r="DX14" s="238" t="n"/>
      <c r="DY14" s="238" t="n"/>
      <c r="DZ14" s="23" t="n"/>
      <c r="FQ14" s="212" t="n"/>
      <c r="FR14" s="212" t="n"/>
      <c r="FS14" s="212" t="n"/>
      <c r="FT14" s="212" t="n"/>
      <c r="FU14" s="212" t="n"/>
      <c r="FV14" s="212" t="n"/>
      <c r="FW14" s="212" t="n"/>
      <c r="FX14" s="212" t="n"/>
      <c r="FY14" s="212" t="n"/>
      <c r="FZ14" s="212" t="n"/>
    </row>
    <row r="15" ht="39.95" customFormat="1" customHeight="1" s="5">
      <c r="A15" s="456" t="n"/>
      <c r="B15" s="8" t="n"/>
      <c r="C15" s="12" t="inlineStr">
        <is>
          <t>R</t>
        </is>
      </c>
      <c r="D15" s="435" t="inlineStr">
        <is>
          <t>RF</t>
        </is>
      </c>
      <c r="E15" s="438" t="n">
        <v>0.225</v>
      </c>
      <c r="F15" s="438" t="n">
        <v>0.23</v>
      </c>
      <c r="G15" s="438" t="n">
        <v>0.219</v>
      </c>
      <c r="H15" s="441" t="n">
        <v>0.219</v>
      </c>
      <c r="I15" s="444" t="n">
        <v>0.25</v>
      </c>
      <c r="J15" s="438" t="n">
        <v>0.256</v>
      </c>
      <c r="K15" s="438" t="n">
        <v>0.261</v>
      </c>
      <c r="L15" s="438" t="n">
        <v>0.243</v>
      </c>
      <c r="M15" s="441" t="n">
        <v>0.25</v>
      </c>
      <c r="N15" s="444" t="n">
        <v>0.245</v>
      </c>
      <c r="O15" s="438" t="n">
        <v>0.218</v>
      </c>
      <c r="P15" s="438" t="n">
        <v>0.214</v>
      </c>
      <c r="Q15" s="438" t="n">
        <v>0.211</v>
      </c>
      <c r="R15" s="441" t="n">
        <v>0.204</v>
      </c>
      <c r="S15" s="444" t="n">
        <v>0.215</v>
      </c>
      <c r="T15" s="438" t="n">
        <v>0.21</v>
      </c>
      <c r="U15" s="438" t="n">
        <v>0.213</v>
      </c>
      <c r="V15" s="438" t="n">
        <v>0.215</v>
      </c>
      <c r="W15" s="441" t="n">
        <v>0.205</v>
      </c>
      <c r="X15" s="444" t="n">
        <v>0.214</v>
      </c>
      <c r="Y15" s="438" t="n">
        <v>0.203</v>
      </c>
      <c r="Z15" s="438" t="n">
        <v>0.197</v>
      </c>
      <c r="AA15" s="438" t="n">
        <v>0.227</v>
      </c>
      <c r="AB15" s="441" t="n">
        <v>0.206</v>
      </c>
      <c r="AC15" s="444" t="n">
        <v>0.208</v>
      </c>
      <c r="AD15" s="438" t="n">
        <v>0.199</v>
      </c>
      <c r="AE15" s="438" t="n">
        <v>0.204</v>
      </c>
      <c r="AF15" s="438" t="n">
        <v>0.23</v>
      </c>
      <c r="AG15" s="441" t="n">
        <v>0.194</v>
      </c>
      <c r="AH15" s="444" t="n">
        <v>0.205</v>
      </c>
      <c r="AI15" s="438" t="n">
        <v>0.218</v>
      </c>
      <c r="AJ15" s="438" t="n">
        <v>0.223</v>
      </c>
      <c r="AK15" s="438" t="n">
        <v>0.223</v>
      </c>
      <c r="AL15" s="441" t="n">
        <v>0.216</v>
      </c>
      <c r="AM15" s="444" t="n">
        <v>0.197</v>
      </c>
      <c r="AN15" s="438" t="n">
        <v>0.196</v>
      </c>
      <c r="AO15" s="438" t="n">
        <v>0.185</v>
      </c>
      <c r="AP15" s="438" t="n">
        <v>0.183</v>
      </c>
      <c r="AQ15" s="441" t="n">
        <v>0.192</v>
      </c>
      <c r="AR15" s="444" t="n">
        <v>0.222</v>
      </c>
      <c r="AS15" s="438" t="n">
        <v>0.184</v>
      </c>
      <c r="AT15" s="438" t="n">
        <v>0.182</v>
      </c>
      <c r="AU15" s="438" t="n">
        <v>0.21</v>
      </c>
      <c r="AV15" s="441" t="n">
        <v>0.2</v>
      </c>
      <c r="AW15" s="444" t="n">
        <v>0.198</v>
      </c>
      <c r="AX15" s="438" t="n">
        <v>0.198</v>
      </c>
      <c r="AY15" s="438" t="n">
        <v>0.194</v>
      </c>
      <c r="AZ15" s="438" t="n">
        <v>0.194</v>
      </c>
      <c r="BA15" s="441" t="n">
        <v>0.197</v>
      </c>
      <c r="BB15" s="444" t="n">
        <v>0.186</v>
      </c>
      <c r="BC15" s="438" t="n">
        <v>0.189</v>
      </c>
      <c r="BD15" s="438" t="n">
        <v>0.199</v>
      </c>
      <c r="BE15" s="438" t="n">
        <v>0.201</v>
      </c>
      <c r="BF15" s="441" t="n">
        <v>0.203</v>
      </c>
      <c r="BG15" s="444" t="n">
        <v>0.208</v>
      </c>
      <c r="BH15" s="438" t="n">
        <v>0.211</v>
      </c>
      <c r="BI15" s="438" t="n">
        <v>0.196</v>
      </c>
      <c r="BJ15" s="438" t="n">
        <v>0.195</v>
      </c>
      <c r="BK15" s="441" t="n">
        <v>0.204</v>
      </c>
      <c r="BL15" s="444" t="n">
        <v>0.208</v>
      </c>
      <c r="BM15" s="438" t="n">
        <v>0.23</v>
      </c>
      <c r="BN15" s="438" t="n">
        <v>0.218</v>
      </c>
      <c r="BO15" s="438" t="n">
        <v>0.233</v>
      </c>
      <c r="BP15" s="441" t="n">
        <v>0.237</v>
      </c>
      <c r="BQ15" s="444" t="n">
        <v>0.226</v>
      </c>
      <c r="BR15" s="438" t="n">
        <v>0.227</v>
      </c>
      <c r="BS15" s="438" t="n">
        <v>0.226</v>
      </c>
      <c r="BT15" s="441" t="n">
        <v>0.224</v>
      </c>
      <c r="BU15" s="457" t="n"/>
      <c r="BV15" s="457" t="n"/>
      <c r="BW15" s="238" t="n"/>
      <c r="BX15" s="238" t="n"/>
      <c r="BY15" s="238" t="n"/>
      <c r="BZ15" s="238" t="n"/>
      <c r="CA15" s="238" t="n"/>
      <c r="CB15" s="238" t="n"/>
      <c r="CC15" s="238" t="n"/>
      <c r="CD15" s="238" t="n"/>
      <c r="CE15" s="238" t="n"/>
      <c r="CF15" s="238" t="n"/>
      <c r="CG15" s="238" t="n"/>
      <c r="CH15" s="238" t="n"/>
      <c r="CI15" s="238" t="n"/>
      <c r="CJ15" s="238" t="n"/>
      <c r="CK15" s="238" t="n"/>
      <c r="CL15" s="238" t="n"/>
      <c r="CM15" s="238" t="n"/>
      <c r="CN15" s="238" t="n"/>
      <c r="CO15" s="238" t="n"/>
      <c r="CP15" s="238" t="n"/>
      <c r="CQ15" s="238" t="n"/>
      <c r="CR15" s="238" t="n"/>
      <c r="CS15" s="238" t="n"/>
      <c r="CT15" s="238" t="n"/>
      <c r="CU15" s="238" t="n"/>
      <c r="CV15" s="238" t="n"/>
      <c r="CW15" s="238" t="n"/>
      <c r="CX15" s="238" t="n"/>
      <c r="CY15" s="238" t="n"/>
      <c r="CZ15" s="238" t="n"/>
      <c r="DA15" s="238" t="n"/>
      <c r="DB15" s="238" t="n"/>
      <c r="DC15" s="238" t="n"/>
      <c r="DD15" s="238" t="n"/>
      <c r="DE15" s="238" t="n"/>
      <c r="DF15" s="238" t="n"/>
      <c r="DG15" s="238" t="n"/>
      <c r="DH15" s="238" t="n"/>
      <c r="DI15" s="238" t="n"/>
      <c r="DJ15" s="238" t="n"/>
      <c r="DK15" s="238" t="n"/>
      <c r="DL15" s="238" t="n"/>
      <c r="DM15" s="238" t="n"/>
      <c r="DN15" s="238" t="n"/>
      <c r="DO15" s="238" t="n"/>
      <c r="DP15" s="238" t="n"/>
      <c r="DQ15" s="238" t="n"/>
      <c r="DR15" s="238" t="n"/>
      <c r="DS15" s="238" t="n"/>
      <c r="DT15" s="238" t="n"/>
      <c r="DU15" s="238" t="n"/>
      <c r="DV15" s="238" t="n"/>
      <c r="DW15" s="238" t="n"/>
      <c r="DX15" s="238" t="n"/>
      <c r="DY15" s="238" t="n"/>
      <c r="DZ15" s="23" t="n"/>
      <c r="FQ15" s="212" t="n"/>
      <c r="FR15" s="212" t="n"/>
      <c r="FS15" s="212" t="n"/>
      <c r="FT15" s="212" t="n"/>
      <c r="FU15" s="212" t="n"/>
      <c r="FV15" s="212" t="n"/>
      <c r="FW15" s="212" t="n"/>
      <c r="FX15" s="212" t="n"/>
      <c r="FY15" s="212" t="n"/>
      <c r="FZ15" s="212" t="n"/>
    </row>
    <row r="16" ht="39.95" customFormat="1" customHeight="1" s="5">
      <c r="A16" s="10" t="inlineStr">
        <is>
          <t>A</t>
        </is>
      </c>
      <c r="B16" s="6" t="inlineStr">
        <is>
          <t>POSITION 'A'</t>
        </is>
      </c>
      <c r="C16" s="11" t="inlineStr">
        <is>
          <t>L</t>
        </is>
      </c>
      <c r="D16" s="433" t="inlineStr"/>
      <c r="E16" s="436" t="n">
        <v>0.216</v>
      </c>
      <c r="F16" s="436" t="n">
        <v>0.218</v>
      </c>
      <c r="G16" s="436" t="n">
        <v>0.212</v>
      </c>
      <c r="H16" s="439" t="n">
        <v>0.211</v>
      </c>
      <c r="I16" s="442" t="inlineStr"/>
      <c r="J16" s="436" t="inlineStr"/>
      <c r="K16" s="436" t="inlineStr"/>
      <c r="L16" s="436" t="inlineStr"/>
      <c r="M16" s="439" t="inlineStr"/>
      <c r="N16" s="442" t="inlineStr"/>
      <c r="O16" s="436" t="inlineStr"/>
      <c r="P16" s="436" t="inlineStr"/>
      <c r="Q16" s="436" t="inlineStr"/>
      <c r="R16" s="439" t="inlineStr"/>
      <c r="S16" s="442" t="inlineStr"/>
      <c r="T16" s="436" t="inlineStr"/>
      <c r="U16" s="436" t="inlineStr"/>
      <c r="V16" s="436" t="inlineStr"/>
      <c r="W16" s="439" t="inlineStr"/>
      <c r="X16" s="442" t="inlineStr"/>
      <c r="Y16" s="436" t="inlineStr"/>
      <c r="Z16" s="436" t="inlineStr"/>
      <c r="AA16" s="436" t="inlineStr"/>
      <c r="AB16" s="439" t="inlineStr"/>
      <c r="AC16" s="442" t="inlineStr"/>
      <c r="AD16" s="436" t="inlineStr"/>
      <c r="AE16" s="436" t="inlineStr"/>
      <c r="AF16" s="436" t="inlineStr"/>
      <c r="AG16" s="439" t="inlineStr"/>
      <c r="AH16" s="442" t="inlineStr"/>
      <c r="AI16" s="436" t="inlineStr"/>
      <c r="AJ16" s="436" t="inlineStr"/>
      <c r="AK16" s="436" t="inlineStr"/>
      <c r="AL16" s="439" t="inlineStr"/>
      <c r="AM16" s="442" t="inlineStr"/>
      <c r="AN16" s="436" t="inlineStr"/>
      <c r="AO16" s="436" t="inlineStr"/>
      <c r="AP16" s="436" t="inlineStr"/>
      <c r="AQ16" s="439" t="inlineStr"/>
      <c r="AR16" s="442" t="inlineStr"/>
      <c r="AS16" s="436" t="inlineStr"/>
      <c r="AT16" s="436" t="inlineStr"/>
      <c r="AU16" s="436" t="inlineStr"/>
      <c r="AV16" s="439" t="inlineStr"/>
      <c r="AW16" s="442" t="inlineStr"/>
      <c r="AX16" s="436" t="inlineStr"/>
      <c r="AY16" s="436" t="inlineStr"/>
      <c r="AZ16" s="436" t="inlineStr"/>
      <c r="BA16" s="439" t="inlineStr"/>
      <c r="BB16" s="442" t="inlineStr"/>
      <c r="BC16" s="436" t="inlineStr"/>
      <c r="BD16" s="436" t="inlineStr"/>
      <c r="BE16" s="436" t="inlineStr"/>
      <c r="BF16" s="439" t="inlineStr"/>
      <c r="BG16" s="442" t="inlineStr"/>
      <c r="BH16" s="436" t="inlineStr"/>
      <c r="BI16" s="436" t="inlineStr"/>
      <c r="BJ16" s="436" t="inlineStr"/>
      <c r="BK16" s="439" t="inlineStr"/>
      <c r="BL16" s="442" t="inlineStr"/>
      <c r="BM16" s="436" t="inlineStr"/>
      <c r="BN16" s="436" t="inlineStr"/>
      <c r="BO16" s="436" t="inlineStr"/>
      <c r="BP16" s="439" t="n">
        <v>0.218</v>
      </c>
      <c r="BQ16" s="442" t="n">
        <v>0.233</v>
      </c>
      <c r="BR16" s="436" t="n">
        <v>0.227</v>
      </c>
      <c r="BS16" s="436" t="n">
        <v>0.226</v>
      </c>
      <c r="BT16" s="439" t="inlineStr"/>
      <c r="BU16" s="454">
        <f>IFERROR(AVERAGE(D16:BT18),0)</f>
        <v/>
      </c>
      <c r="BV16" s="454">
        <f>MIN(D16:BT18)</f>
        <v/>
      </c>
      <c r="BW16" s="238" t="n"/>
      <c r="BX16" s="238" t="n"/>
      <c r="BY16" s="238" t="n"/>
      <c r="BZ16" s="238" t="n"/>
      <c r="CA16" s="238" t="n"/>
      <c r="CB16" s="238" t="n"/>
      <c r="CC16" s="238" t="n"/>
      <c r="CD16" s="238" t="n"/>
      <c r="CE16" s="238" t="n"/>
      <c r="CF16" s="238" t="n"/>
      <c r="CG16" s="238" t="n"/>
      <c r="CH16" s="238" t="n"/>
      <c r="CI16" s="238" t="n"/>
      <c r="CJ16" s="238" t="n"/>
      <c r="CK16" s="238" t="n"/>
      <c r="CL16" s="238" t="n"/>
      <c r="CM16" s="238" t="n"/>
      <c r="CN16" s="238" t="n"/>
      <c r="CO16" s="238" t="n"/>
      <c r="CP16" s="238" t="n"/>
      <c r="CQ16" s="238" t="n"/>
      <c r="CR16" s="238" t="n"/>
      <c r="CS16" s="238" t="n"/>
      <c r="CT16" s="238" t="n"/>
      <c r="CU16" s="238" t="n"/>
      <c r="CV16" s="238" t="n"/>
      <c r="CW16" s="238" t="n"/>
      <c r="CX16" s="238" t="n"/>
      <c r="CY16" s="238" t="n"/>
      <c r="CZ16" s="238" t="n"/>
      <c r="DA16" s="238" t="n"/>
      <c r="DB16" s="238" t="n"/>
      <c r="DC16" s="238" t="n"/>
      <c r="DD16" s="238" t="n"/>
      <c r="DE16" s="238" t="n"/>
      <c r="DF16" s="238" t="n"/>
      <c r="DG16" s="238" t="n"/>
      <c r="DH16" s="238" t="n"/>
      <c r="DI16" s="238" t="n"/>
      <c r="DJ16" s="238" t="n"/>
      <c r="DK16" s="238" t="n"/>
      <c r="DL16" s="238" t="n"/>
      <c r="DM16" s="238" t="n"/>
      <c r="DN16" s="238" t="n"/>
      <c r="DO16" s="238" t="n"/>
      <c r="DP16" s="238" t="n"/>
      <c r="DQ16" s="238" t="n"/>
      <c r="DR16" s="238" t="n"/>
      <c r="DS16" s="238" t="n"/>
      <c r="DT16" s="238" t="n"/>
      <c r="DU16" s="238" t="n"/>
      <c r="DV16" s="238" t="n"/>
      <c r="DW16" s="238" t="n"/>
      <c r="DX16" s="238" t="n"/>
      <c r="DY16" s="238" t="n"/>
      <c r="DZ16" s="23" t="n"/>
      <c r="FQ16" s="212" t="n"/>
      <c r="FR16" s="212" t="n"/>
      <c r="FS16" s="212" t="n"/>
      <c r="FT16" s="212" t="n"/>
      <c r="FU16" s="212" t="n"/>
      <c r="FV16" s="212" t="n"/>
      <c r="FW16" s="212" t="n"/>
      <c r="FX16" s="212" t="n"/>
      <c r="FY16" s="212" t="n"/>
      <c r="FZ16" s="212" t="n"/>
    </row>
    <row r="17" ht="39.95" customFormat="1" customHeight="1" s="5">
      <c r="A17" s="182" t="n">
        <v>0.083</v>
      </c>
      <c r="B17" s="7" t="inlineStr">
        <is>
          <t>OF THE</t>
        </is>
      </c>
      <c r="C17" s="11" t="inlineStr">
        <is>
          <t>C</t>
        </is>
      </c>
      <c r="D17" s="434" t="inlineStr"/>
      <c r="E17" s="437" t="n">
        <v>0.207</v>
      </c>
      <c r="F17" s="437" t="n">
        <v>0.214</v>
      </c>
      <c r="G17" s="437" t="n">
        <v>0.214</v>
      </c>
      <c r="H17" s="440" t="n">
        <v>0.212</v>
      </c>
      <c r="I17" s="443" t="inlineStr"/>
      <c r="J17" s="437" t="inlineStr"/>
      <c r="K17" s="437" t="inlineStr"/>
      <c r="L17" s="437" t="inlineStr"/>
      <c r="M17" s="440" t="inlineStr"/>
      <c r="N17" s="443" t="inlineStr"/>
      <c r="O17" s="437" t="inlineStr"/>
      <c r="P17" s="437" t="inlineStr"/>
      <c r="Q17" s="437" t="inlineStr"/>
      <c r="R17" s="440" t="inlineStr"/>
      <c r="S17" s="443" t="inlineStr"/>
      <c r="T17" s="437" t="inlineStr"/>
      <c r="U17" s="437" t="inlineStr"/>
      <c r="V17" s="437" t="inlineStr"/>
      <c r="W17" s="440" t="inlineStr"/>
      <c r="X17" s="443" t="inlineStr"/>
      <c r="Y17" s="437" t="inlineStr"/>
      <c r="Z17" s="437" t="inlineStr"/>
      <c r="AA17" s="437" t="inlineStr"/>
      <c r="AB17" s="440" t="inlineStr"/>
      <c r="AC17" s="443" t="inlineStr"/>
      <c r="AD17" s="437" t="inlineStr"/>
      <c r="AE17" s="437" t="inlineStr"/>
      <c r="AF17" s="437" t="inlineStr"/>
      <c r="AG17" s="440" t="inlineStr"/>
      <c r="AH17" s="443" t="inlineStr"/>
      <c r="AI17" s="437" t="inlineStr"/>
      <c r="AJ17" s="437" t="inlineStr"/>
      <c r="AK17" s="437" t="inlineStr"/>
      <c r="AL17" s="440" t="inlineStr"/>
      <c r="AM17" s="443" t="inlineStr"/>
      <c r="AN17" s="437" t="inlineStr"/>
      <c r="AO17" s="437" t="inlineStr"/>
      <c r="AP17" s="437" t="inlineStr"/>
      <c r="AQ17" s="440" t="inlineStr"/>
      <c r="AR17" s="443" t="inlineStr"/>
      <c r="AS17" s="437" t="inlineStr"/>
      <c r="AT17" s="437" t="inlineStr"/>
      <c r="AU17" s="437" t="inlineStr"/>
      <c r="AV17" s="440" t="inlineStr"/>
      <c r="AW17" s="443" t="inlineStr"/>
      <c r="AX17" s="437" t="inlineStr"/>
      <c r="AY17" s="437" t="inlineStr"/>
      <c r="AZ17" s="437" t="inlineStr"/>
      <c r="BA17" s="440" t="inlineStr"/>
      <c r="BB17" s="443" t="inlineStr"/>
      <c r="BC17" s="437" t="inlineStr"/>
      <c r="BD17" s="437" t="inlineStr"/>
      <c r="BE17" s="437" t="inlineStr"/>
      <c r="BF17" s="440" t="inlineStr"/>
      <c r="BG17" s="443" t="inlineStr"/>
      <c r="BH17" s="437" t="inlineStr"/>
      <c r="BI17" s="437" t="inlineStr"/>
      <c r="BJ17" s="437" t="inlineStr"/>
      <c r="BK17" s="440" t="inlineStr"/>
      <c r="BL17" s="443" t="inlineStr"/>
      <c r="BM17" s="437" t="inlineStr"/>
      <c r="BN17" s="437" t="inlineStr"/>
      <c r="BO17" s="437" t="inlineStr"/>
      <c r="BP17" s="440" t="n">
        <v>0.214</v>
      </c>
      <c r="BQ17" s="443" t="n">
        <v>0.222</v>
      </c>
      <c r="BR17" s="437" t="n">
        <v>0.217</v>
      </c>
      <c r="BS17" s="437" t="n">
        <v>0.24</v>
      </c>
      <c r="BT17" s="440" t="inlineStr"/>
      <c r="BU17" s="455" t="n"/>
      <c r="BV17" s="455" t="n"/>
      <c r="BW17" s="238" t="n"/>
      <c r="BX17" s="238" t="n"/>
      <c r="BY17" s="238" t="n"/>
      <c r="BZ17" s="238" t="n"/>
      <c r="CA17" s="238" t="n"/>
      <c r="CB17" s="238" t="n"/>
      <c r="CC17" s="238" t="n"/>
      <c r="CD17" s="238" t="n"/>
      <c r="CE17" s="238" t="n"/>
      <c r="CF17" s="238" t="n"/>
      <c r="CG17" s="238" t="n"/>
      <c r="CH17" s="238" t="n"/>
      <c r="CI17" s="238" t="n"/>
      <c r="CJ17" s="238" t="n"/>
      <c r="CK17" s="238" t="n"/>
      <c r="CL17" s="238" t="n"/>
      <c r="CM17" s="238" t="n"/>
      <c r="CN17" s="238" t="n"/>
      <c r="CO17" s="238" t="n"/>
      <c r="CP17" s="238" t="n"/>
      <c r="CQ17" s="238" t="n"/>
      <c r="CR17" s="238" t="n"/>
      <c r="CS17" s="238" t="n"/>
      <c r="CT17" s="238" t="n"/>
      <c r="CU17" s="238" t="n"/>
      <c r="CV17" s="238" t="n"/>
      <c r="CW17" s="238" t="n"/>
      <c r="CX17" s="238" t="n"/>
      <c r="CY17" s="238" t="n"/>
      <c r="CZ17" s="238" t="n"/>
      <c r="DA17" s="238" t="n"/>
      <c r="DB17" s="238" t="n"/>
      <c r="DC17" s="238" t="n"/>
      <c r="DD17" s="238" t="n"/>
      <c r="DE17" s="238" t="n"/>
      <c r="DF17" s="238" t="n"/>
      <c r="DG17" s="238" t="n"/>
      <c r="DH17" s="238" t="n"/>
      <c r="DI17" s="238" t="n"/>
      <c r="DJ17" s="238" t="n"/>
      <c r="DK17" s="238" t="n"/>
      <c r="DL17" s="238" t="n"/>
      <c r="DM17" s="238" t="n"/>
      <c r="DN17" s="238" t="n"/>
      <c r="DO17" s="238" t="n"/>
      <c r="DP17" s="238" t="n"/>
      <c r="DQ17" s="238" t="n"/>
      <c r="DR17" s="238" t="n"/>
      <c r="DS17" s="238" t="n"/>
      <c r="DT17" s="238" t="n"/>
      <c r="DU17" s="238" t="n"/>
      <c r="DV17" s="238" t="n"/>
      <c r="DW17" s="238" t="n"/>
      <c r="DX17" s="238" t="n"/>
      <c r="DY17" s="238" t="n"/>
      <c r="DZ17" s="23" t="n"/>
      <c r="FQ17" s="212" t="n"/>
      <c r="FR17" s="212" t="n"/>
      <c r="FS17" s="212" t="n"/>
      <c r="FT17" s="212" t="n"/>
      <c r="FU17" s="212" t="n"/>
      <c r="FV17" s="212" t="n"/>
      <c r="FW17" s="212" t="n"/>
      <c r="FX17" s="212" t="n"/>
      <c r="FY17" s="212" t="n"/>
      <c r="FZ17" s="212" t="n"/>
    </row>
    <row r="18" ht="39.95" customFormat="1" customHeight="1" s="5">
      <c r="A18" s="456" t="n"/>
      <c r="B18" s="8" t="inlineStr">
        <is>
          <t>OB PORTS</t>
        </is>
      </c>
      <c r="C18" s="12" t="inlineStr">
        <is>
          <t>R</t>
        </is>
      </c>
      <c r="D18" s="435" t="inlineStr"/>
      <c r="E18" s="438" t="n">
        <v>0.226</v>
      </c>
      <c r="F18" s="438" t="n">
        <v>0.219</v>
      </c>
      <c r="G18" s="438" t="n">
        <v>0.215</v>
      </c>
      <c r="H18" s="441" t="n">
        <v>0.212</v>
      </c>
      <c r="I18" s="444" t="inlineStr"/>
      <c r="J18" s="438" t="inlineStr"/>
      <c r="K18" s="438" t="inlineStr"/>
      <c r="L18" s="438" t="inlineStr"/>
      <c r="M18" s="441" t="inlineStr"/>
      <c r="N18" s="444" t="inlineStr"/>
      <c r="O18" s="438" t="inlineStr"/>
      <c r="P18" s="438" t="inlineStr"/>
      <c r="Q18" s="438" t="inlineStr"/>
      <c r="R18" s="441" t="inlineStr"/>
      <c r="S18" s="444" t="inlineStr"/>
      <c r="T18" s="438" t="inlineStr"/>
      <c r="U18" s="438" t="inlineStr"/>
      <c r="V18" s="438" t="inlineStr"/>
      <c r="W18" s="441" t="inlineStr"/>
      <c r="X18" s="444" t="inlineStr"/>
      <c r="Y18" s="438" t="inlineStr"/>
      <c r="Z18" s="438" t="inlineStr"/>
      <c r="AA18" s="438" t="inlineStr"/>
      <c r="AB18" s="441" t="inlineStr"/>
      <c r="AC18" s="444" t="inlineStr"/>
      <c r="AD18" s="438" t="inlineStr"/>
      <c r="AE18" s="438" t="inlineStr"/>
      <c r="AF18" s="438" t="inlineStr"/>
      <c r="AG18" s="441" t="inlineStr"/>
      <c r="AH18" s="444" t="inlineStr"/>
      <c r="AI18" s="438" t="inlineStr"/>
      <c r="AJ18" s="438" t="inlineStr"/>
      <c r="AK18" s="438" t="inlineStr"/>
      <c r="AL18" s="441" t="inlineStr"/>
      <c r="AM18" s="444" t="inlineStr"/>
      <c r="AN18" s="438" t="inlineStr"/>
      <c r="AO18" s="438" t="inlineStr"/>
      <c r="AP18" s="438" t="inlineStr"/>
      <c r="AQ18" s="441" t="inlineStr"/>
      <c r="AR18" s="444" t="inlineStr"/>
      <c r="AS18" s="438" t="inlineStr"/>
      <c r="AT18" s="438" t="inlineStr"/>
      <c r="AU18" s="438" t="inlineStr"/>
      <c r="AV18" s="441" t="inlineStr"/>
      <c r="AW18" s="444" t="inlineStr"/>
      <c r="AX18" s="438" t="inlineStr"/>
      <c r="AY18" s="438" t="inlineStr"/>
      <c r="AZ18" s="438" t="inlineStr"/>
      <c r="BA18" s="441" t="inlineStr"/>
      <c r="BB18" s="444" t="inlineStr"/>
      <c r="BC18" s="438" t="inlineStr"/>
      <c r="BD18" s="438" t="inlineStr"/>
      <c r="BE18" s="438" t="inlineStr"/>
      <c r="BF18" s="441" t="inlineStr"/>
      <c r="BG18" s="444" t="inlineStr"/>
      <c r="BH18" s="438" t="inlineStr"/>
      <c r="BI18" s="438" t="inlineStr"/>
      <c r="BJ18" s="438" t="inlineStr"/>
      <c r="BK18" s="441" t="inlineStr"/>
      <c r="BL18" s="444" t="inlineStr"/>
      <c r="BM18" s="438" t="inlineStr"/>
      <c r="BN18" s="438" t="inlineStr"/>
      <c r="BO18" s="438" t="inlineStr"/>
      <c r="BP18" s="441" t="n">
        <v>0.218</v>
      </c>
      <c r="BQ18" s="444" t="n">
        <v>0.219</v>
      </c>
      <c r="BR18" s="438" t="n">
        <v>0.216</v>
      </c>
      <c r="BS18" s="438" t="n">
        <v>0.222</v>
      </c>
      <c r="BT18" s="441" t="inlineStr"/>
      <c r="BU18" s="457" t="n"/>
      <c r="BV18" s="457" t="n"/>
      <c r="BW18" s="238" t="n"/>
      <c r="BX18" s="238" t="n"/>
      <c r="BY18" s="238" t="n"/>
      <c r="BZ18" s="238" t="n"/>
      <c r="CA18" s="238" t="n"/>
      <c r="CB18" s="238" t="n"/>
      <c r="CC18" s="238" t="n"/>
      <c r="CD18" s="238" t="n"/>
      <c r="CE18" s="238" t="n"/>
      <c r="CF18" s="238" t="n"/>
      <c r="CG18" s="238" t="n"/>
      <c r="CH18" s="238" t="n"/>
      <c r="CI18" s="238" t="n"/>
      <c r="CJ18" s="238" t="n"/>
      <c r="CK18" s="238" t="n"/>
      <c r="CL18" s="238" t="n"/>
      <c r="CM18" s="238" t="n"/>
      <c r="CN18" s="238" t="n"/>
      <c r="CO18" s="238" t="n"/>
      <c r="CP18" s="238" t="n"/>
      <c r="CQ18" s="238" t="n"/>
      <c r="CR18" s="238" t="n"/>
      <c r="CS18" s="238" t="n"/>
      <c r="CT18" s="238" t="n"/>
      <c r="CU18" s="238" t="n"/>
      <c r="CV18" s="238" t="n"/>
      <c r="CW18" s="238" t="n"/>
      <c r="CX18" s="238" t="n"/>
      <c r="CY18" s="238" t="n"/>
      <c r="CZ18" s="238" t="n"/>
      <c r="DA18" s="238" t="n"/>
      <c r="DB18" s="238" t="n"/>
      <c r="DC18" s="238" t="n"/>
      <c r="DD18" s="238" t="n"/>
      <c r="DE18" s="238" t="n"/>
      <c r="DF18" s="238" t="n"/>
      <c r="DG18" s="238" t="n"/>
      <c r="DH18" s="238" t="n"/>
      <c r="DI18" s="238" t="n"/>
      <c r="DJ18" s="238" t="n"/>
      <c r="DK18" s="238" t="n"/>
      <c r="DL18" s="238" t="n"/>
      <c r="DM18" s="238" t="n"/>
      <c r="DN18" s="238" t="n"/>
      <c r="DO18" s="238" t="n"/>
      <c r="DP18" s="238" t="n"/>
      <c r="DQ18" s="238" t="n"/>
      <c r="DR18" s="238" t="n"/>
      <c r="DS18" s="238" t="n"/>
      <c r="DT18" s="238" t="n"/>
      <c r="DU18" s="238" t="n"/>
      <c r="DV18" s="238" t="n"/>
      <c r="DW18" s="238" t="n"/>
      <c r="DX18" s="238" t="n"/>
      <c r="DY18" s="238" t="n"/>
      <c r="DZ18" s="23" t="n"/>
      <c r="FQ18" s="212" t="n"/>
      <c r="FR18" s="212" t="n"/>
      <c r="FS18" s="212" t="n"/>
      <c r="FT18" s="212" t="n"/>
      <c r="FU18" s="212" t="n"/>
      <c r="FV18" s="212" t="n"/>
      <c r="FW18" s="212" t="n"/>
      <c r="FX18" s="212" t="n"/>
      <c r="FY18" s="212" t="n"/>
      <c r="FZ18" s="212" t="n"/>
    </row>
    <row r="19" ht="39.95" customFormat="1" customHeight="1" s="5">
      <c r="A19" s="10" t="inlineStr">
        <is>
          <t>A</t>
        </is>
      </c>
      <c r="B19" s="6" t="inlineStr">
        <is>
          <t>POSITION 'B'</t>
        </is>
      </c>
      <c r="C19" s="11" t="inlineStr">
        <is>
          <t>L</t>
        </is>
      </c>
      <c r="D19" s="433" t="inlineStr"/>
      <c r="E19" s="436" t="n">
        <v>0.214</v>
      </c>
      <c r="F19" s="436" t="n">
        <v>0.219</v>
      </c>
      <c r="G19" s="436" t="n">
        <v>0.221</v>
      </c>
      <c r="H19" s="439" t="n">
        <v>0.235</v>
      </c>
      <c r="I19" s="442" t="inlineStr"/>
      <c r="J19" s="436" t="inlineStr"/>
      <c r="K19" s="436" t="inlineStr"/>
      <c r="L19" s="436" t="inlineStr"/>
      <c r="M19" s="439" t="inlineStr"/>
      <c r="N19" s="442" t="inlineStr"/>
      <c r="O19" s="436" t="inlineStr"/>
      <c r="P19" s="436" t="inlineStr"/>
      <c r="Q19" s="436" t="inlineStr"/>
      <c r="R19" s="439" t="inlineStr"/>
      <c r="S19" s="442" t="inlineStr"/>
      <c r="T19" s="436" t="inlineStr"/>
      <c r="U19" s="436" t="inlineStr"/>
      <c r="V19" s="436" t="inlineStr"/>
      <c r="W19" s="439" t="inlineStr"/>
      <c r="X19" s="442" t="inlineStr"/>
      <c r="Y19" s="436" t="inlineStr"/>
      <c r="Z19" s="436" t="inlineStr"/>
      <c r="AA19" s="436" t="inlineStr"/>
      <c r="AB19" s="439" t="inlineStr"/>
      <c r="AC19" s="442" t="inlineStr"/>
      <c r="AD19" s="436" t="inlineStr"/>
      <c r="AE19" s="436" t="inlineStr"/>
      <c r="AF19" s="436" t="inlineStr"/>
      <c r="AG19" s="439" t="inlineStr"/>
      <c r="AH19" s="442" t="inlineStr"/>
      <c r="AI19" s="436" t="inlineStr"/>
      <c r="AJ19" s="436" t="inlineStr"/>
      <c r="AK19" s="436" t="inlineStr"/>
      <c r="AL19" s="439" t="inlineStr"/>
      <c r="AM19" s="442" t="inlineStr"/>
      <c r="AN19" s="436" t="inlineStr"/>
      <c r="AO19" s="436" t="inlineStr"/>
      <c r="AP19" s="436" t="inlineStr"/>
      <c r="AQ19" s="439" t="inlineStr"/>
      <c r="AR19" s="442" t="inlineStr"/>
      <c r="AS19" s="436" t="inlineStr"/>
      <c r="AT19" s="436" t="inlineStr"/>
      <c r="AU19" s="436" t="inlineStr"/>
      <c r="AV19" s="439" t="inlineStr"/>
      <c r="AW19" s="442" t="inlineStr"/>
      <c r="AX19" s="436" t="inlineStr"/>
      <c r="AY19" s="436" t="inlineStr"/>
      <c r="AZ19" s="436" t="inlineStr"/>
      <c r="BA19" s="439" t="inlineStr"/>
      <c r="BB19" s="442" t="inlineStr"/>
      <c r="BC19" s="436" t="inlineStr"/>
      <c r="BD19" s="436" t="inlineStr"/>
      <c r="BE19" s="436" t="inlineStr"/>
      <c r="BF19" s="439" t="inlineStr"/>
      <c r="BG19" s="442" t="inlineStr"/>
      <c r="BH19" s="436" t="inlineStr"/>
      <c r="BI19" s="436" t="inlineStr"/>
      <c r="BJ19" s="436" t="inlineStr"/>
      <c r="BK19" s="439" t="inlineStr"/>
      <c r="BL19" s="442" t="inlineStr"/>
      <c r="BM19" s="436" t="inlineStr"/>
      <c r="BN19" s="436" t="inlineStr"/>
      <c r="BO19" s="436" t="inlineStr"/>
      <c r="BP19" s="439" t="n">
        <v>0.218</v>
      </c>
      <c r="BQ19" s="442" t="n">
        <v>0.222</v>
      </c>
      <c r="BR19" s="436" t="n">
        <v>0.218</v>
      </c>
      <c r="BS19" s="436" t="n">
        <v>0.232</v>
      </c>
      <c r="BT19" s="439" t="inlineStr"/>
      <c r="BU19" s="454">
        <f>IFERROR(AVERAGE(D19:BT21),0)</f>
        <v/>
      </c>
      <c r="BV19" s="454">
        <f>MIN(D19:BT21)</f>
        <v/>
      </c>
      <c r="BW19" s="238" t="n"/>
      <c r="BX19" s="238" t="n"/>
      <c r="BY19" s="238" t="n"/>
      <c r="BZ19" s="238" t="n"/>
      <c r="CA19" s="238" t="n"/>
      <c r="CB19" s="238" t="n"/>
      <c r="CC19" s="238" t="n"/>
      <c r="CD19" s="238" t="n"/>
      <c r="CE19" s="238" t="n"/>
      <c r="CF19" s="238" t="n"/>
      <c r="CG19" s="238" t="n"/>
      <c r="CH19" s="238" t="n"/>
      <c r="CI19" s="238" t="n"/>
      <c r="CJ19" s="238" t="n"/>
      <c r="CK19" s="238" t="n"/>
      <c r="CL19" s="238" t="n"/>
      <c r="CM19" s="238" t="n"/>
      <c r="CN19" s="238" t="n"/>
      <c r="CO19" s="238" t="n"/>
      <c r="CP19" s="238" t="n"/>
      <c r="CQ19" s="238" t="n"/>
      <c r="CR19" s="238" t="n"/>
      <c r="CS19" s="238" t="n"/>
      <c r="CT19" s="238" t="n"/>
      <c r="CU19" s="238" t="n"/>
      <c r="CV19" s="238" t="n"/>
      <c r="CW19" s="238" t="n"/>
      <c r="CX19" s="238" t="n"/>
      <c r="CY19" s="238" t="n"/>
      <c r="CZ19" s="238" t="n"/>
      <c r="DA19" s="238" t="n"/>
      <c r="DB19" s="238" t="n"/>
      <c r="DC19" s="238" t="n"/>
      <c r="DD19" s="238" t="n"/>
      <c r="DE19" s="238" t="n"/>
      <c r="DF19" s="238" t="n"/>
      <c r="DG19" s="238" t="n"/>
      <c r="DH19" s="238" t="n"/>
      <c r="DI19" s="238" t="n"/>
      <c r="DJ19" s="238" t="n"/>
      <c r="DK19" s="238" t="n"/>
      <c r="DL19" s="238" t="n"/>
      <c r="DM19" s="238" t="n"/>
      <c r="DN19" s="238" t="n"/>
      <c r="DO19" s="238" t="n"/>
      <c r="DP19" s="238" t="n"/>
      <c r="DQ19" s="238" t="n"/>
      <c r="DR19" s="238" t="n"/>
      <c r="DS19" s="238" t="n"/>
      <c r="DT19" s="238" t="n"/>
      <c r="DU19" s="238" t="n"/>
      <c r="DV19" s="238" t="n"/>
      <c r="DW19" s="238" t="n"/>
      <c r="DX19" s="238" t="n"/>
      <c r="DY19" s="238" t="n"/>
      <c r="DZ19" s="23" t="n"/>
      <c r="FQ19" s="212" t="n"/>
      <c r="FR19" s="212" t="n"/>
      <c r="FS19" s="212" t="n"/>
      <c r="FT19" s="212" t="n"/>
      <c r="FU19" s="212" t="n"/>
      <c r="FV19" s="212" t="n"/>
      <c r="FW19" s="212" t="n"/>
      <c r="FX19" s="212" t="n"/>
      <c r="FY19" s="212" t="n"/>
      <c r="FZ19" s="212" t="n"/>
    </row>
    <row r="20" ht="39.95" customFormat="1" customHeight="1" s="5">
      <c r="A20" s="182" t="n">
        <v>0.083</v>
      </c>
      <c r="B20" s="7" t="inlineStr">
        <is>
          <t xml:space="preserve">OF THE </t>
        </is>
      </c>
      <c r="C20" s="11" t="inlineStr">
        <is>
          <t>C</t>
        </is>
      </c>
      <c r="D20" s="434" t="inlineStr"/>
      <c r="E20" s="437" t="n">
        <v>0.21</v>
      </c>
      <c r="F20" s="437" t="n">
        <v>0.213</v>
      </c>
      <c r="G20" s="437" t="n">
        <v>0.224</v>
      </c>
      <c r="H20" s="440" t="n">
        <v>0.214</v>
      </c>
      <c r="I20" s="443" t="inlineStr"/>
      <c r="J20" s="437" t="inlineStr"/>
      <c r="K20" s="437" t="inlineStr"/>
      <c r="L20" s="437" t="inlineStr"/>
      <c r="M20" s="440" t="inlineStr"/>
      <c r="N20" s="443" t="inlineStr"/>
      <c r="O20" s="437" t="inlineStr"/>
      <c r="P20" s="437" t="inlineStr"/>
      <c r="Q20" s="437" t="inlineStr"/>
      <c r="R20" s="440" t="inlineStr"/>
      <c r="S20" s="443" t="inlineStr"/>
      <c r="T20" s="437" t="inlineStr"/>
      <c r="U20" s="437" t="inlineStr"/>
      <c r="V20" s="437" t="inlineStr"/>
      <c r="W20" s="440" t="inlineStr"/>
      <c r="X20" s="443" t="inlineStr"/>
      <c r="Y20" s="437" t="inlineStr"/>
      <c r="Z20" s="437" t="inlineStr"/>
      <c r="AA20" s="437" t="inlineStr"/>
      <c r="AB20" s="440" t="inlineStr"/>
      <c r="AC20" s="443" t="inlineStr"/>
      <c r="AD20" s="437" t="inlineStr"/>
      <c r="AE20" s="437" t="inlineStr"/>
      <c r="AF20" s="437" t="inlineStr"/>
      <c r="AG20" s="440" t="inlineStr"/>
      <c r="AH20" s="443" t="inlineStr"/>
      <c r="AI20" s="437" t="inlineStr"/>
      <c r="AJ20" s="437" t="inlineStr"/>
      <c r="AK20" s="437" t="inlineStr"/>
      <c r="AL20" s="440" t="inlineStr"/>
      <c r="AM20" s="443" t="inlineStr"/>
      <c r="AN20" s="437" t="inlineStr"/>
      <c r="AO20" s="437" t="inlineStr"/>
      <c r="AP20" s="437" t="inlineStr"/>
      <c r="AQ20" s="440" t="inlineStr"/>
      <c r="AR20" s="443" t="inlineStr"/>
      <c r="AS20" s="437" t="inlineStr"/>
      <c r="AT20" s="437" t="inlineStr"/>
      <c r="AU20" s="437" t="inlineStr"/>
      <c r="AV20" s="440" t="inlineStr"/>
      <c r="AW20" s="443" t="inlineStr"/>
      <c r="AX20" s="437" t="inlineStr"/>
      <c r="AY20" s="437" t="inlineStr"/>
      <c r="AZ20" s="437" t="inlineStr"/>
      <c r="BA20" s="440" t="inlineStr"/>
      <c r="BB20" s="443" t="inlineStr"/>
      <c r="BC20" s="437" t="inlineStr"/>
      <c r="BD20" s="437" t="inlineStr"/>
      <c r="BE20" s="437" t="inlineStr"/>
      <c r="BF20" s="440" t="inlineStr"/>
      <c r="BG20" s="443" t="inlineStr"/>
      <c r="BH20" s="437" t="inlineStr"/>
      <c r="BI20" s="437" t="inlineStr"/>
      <c r="BJ20" s="437" t="inlineStr"/>
      <c r="BK20" s="440" t="inlineStr"/>
      <c r="BL20" s="443" t="inlineStr"/>
      <c r="BM20" s="437" t="inlineStr"/>
      <c r="BN20" s="437" t="inlineStr"/>
      <c r="BO20" s="437" t="inlineStr"/>
      <c r="BP20" s="440" t="n">
        <v>0.22</v>
      </c>
      <c r="BQ20" s="443" t="n">
        <v>0.22</v>
      </c>
      <c r="BR20" s="437" t="n">
        <v>0.224</v>
      </c>
      <c r="BS20" s="437" t="n">
        <v>0.22</v>
      </c>
      <c r="BT20" s="440" t="inlineStr"/>
      <c r="BU20" s="455" t="n"/>
      <c r="BV20" s="455" t="n"/>
      <c r="BW20" s="238" t="n"/>
      <c r="BX20" s="238" t="n"/>
      <c r="BY20" s="238" t="n"/>
      <c r="BZ20" s="238" t="n"/>
      <c r="CA20" s="238" t="n"/>
      <c r="CB20" s="238" t="n"/>
      <c r="CC20" s="238" t="n"/>
      <c r="CD20" s="238" t="n"/>
      <c r="CE20" s="238" t="n"/>
      <c r="CF20" s="238" t="n"/>
      <c r="CG20" s="238" t="n"/>
      <c r="CH20" s="238" t="n"/>
      <c r="CI20" s="238" t="n"/>
      <c r="CJ20" s="238" t="n"/>
      <c r="CK20" s="238" t="n"/>
      <c r="CL20" s="238" t="n"/>
      <c r="CM20" s="238" t="n"/>
      <c r="CN20" s="238" t="n"/>
      <c r="CO20" s="238" t="n"/>
      <c r="CP20" s="238" t="n"/>
      <c r="CQ20" s="238" t="n"/>
      <c r="CR20" s="238" t="n"/>
      <c r="CS20" s="238" t="n"/>
      <c r="CT20" s="238" t="n"/>
      <c r="CU20" s="238" t="n"/>
      <c r="CV20" s="238" t="n"/>
      <c r="CW20" s="238" t="n"/>
      <c r="CX20" s="238" t="n"/>
      <c r="CY20" s="238" t="n"/>
      <c r="CZ20" s="238" t="n"/>
      <c r="DA20" s="238" t="n"/>
      <c r="DB20" s="238" t="n"/>
      <c r="DC20" s="238" t="n"/>
      <c r="DD20" s="238" t="n"/>
      <c r="DE20" s="238" t="n"/>
      <c r="DF20" s="238" t="n"/>
      <c r="DG20" s="238" t="n"/>
      <c r="DH20" s="238" t="n"/>
      <c r="DI20" s="238" t="n"/>
      <c r="DJ20" s="238" t="n"/>
      <c r="DK20" s="238" t="n"/>
      <c r="DL20" s="238" t="n"/>
      <c r="DM20" s="238" t="n"/>
      <c r="DN20" s="238" t="n"/>
      <c r="DO20" s="238" t="n"/>
      <c r="DP20" s="238" t="n"/>
      <c r="DQ20" s="238" t="n"/>
      <c r="DR20" s="238" t="n"/>
      <c r="DS20" s="238" t="n"/>
      <c r="DT20" s="238" t="n"/>
      <c r="DU20" s="238" t="n"/>
      <c r="DV20" s="238" t="n"/>
      <c r="DW20" s="238" t="n"/>
      <c r="DX20" s="238" t="n"/>
      <c r="DY20" s="238" t="n"/>
      <c r="DZ20" s="23" t="n"/>
      <c r="FQ20" s="212" t="n"/>
      <c r="FR20" s="212" t="n"/>
      <c r="FS20" s="212" t="n"/>
      <c r="FT20" s="212" t="n"/>
      <c r="FU20" s="212" t="n"/>
      <c r="FV20" s="212" t="n"/>
      <c r="FW20" s="212" t="n"/>
      <c r="FX20" s="212" t="n"/>
      <c r="FY20" s="212" t="n"/>
      <c r="FZ20" s="212" t="n"/>
    </row>
    <row r="21" ht="39.95" customFormat="1" customHeight="1" s="5">
      <c r="A21" s="456" t="n"/>
      <c r="B21" s="8" t="inlineStr">
        <is>
          <t>OB PORTS</t>
        </is>
      </c>
      <c r="C21" s="12" t="inlineStr">
        <is>
          <t>R</t>
        </is>
      </c>
      <c r="D21" s="435" t="inlineStr"/>
      <c r="E21" s="438" t="n">
        <v>0.214</v>
      </c>
      <c r="F21" s="438" t="n">
        <v>0.216</v>
      </c>
      <c r="G21" s="438" t="n">
        <v>0.221</v>
      </c>
      <c r="H21" s="441" t="n">
        <v>0.21</v>
      </c>
      <c r="I21" s="444" t="inlineStr"/>
      <c r="J21" s="438" t="inlineStr"/>
      <c r="K21" s="438" t="inlineStr"/>
      <c r="L21" s="438" t="inlineStr"/>
      <c r="M21" s="441" t="inlineStr"/>
      <c r="N21" s="444" t="inlineStr"/>
      <c r="O21" s="438" t="inlineStr"/>
      <c r="P21" s="438" t="inlineStr"/>
      <c r="Q21" s="438" t="inlineStr"/>
      <c r="R21" s="441" t="inlineStr"/>
      <c r="S21" s="444" t="inlineStr"/>
      <c r="T21" s="438" t="inlineStr"/>
      <c r="U21" s="438" t="inlineStr"/>
      <c r="V21" s="438" t="inlineStr"/>
      <c r="W21" s="441" t="inlineStr"/>
      <c r="X21" s="444" t="inlineStr"/>
      <c r="Y21" s="438" t="inlineStr"/>
      <c r="Z21" s="438" t="inlineStr"/>
      <c r="AA21" s="438" t="inlineStr"/>
      <c r="AB21" s="441" t="inlineStr"/>
      <c r="AC21" s="444" t="inlineStr"/>
      <c r="AD21" s="438" t="inlineStr"/>
      <c r="AE21" s="438" t="inlineStr"/>
      <c r="AF21" s="438" t="inlineStr"/>
      <c r="AG21" s="441" t="inlineStr"/>
      <c r="AH21" s="444" t="inlineStr"/>
      <c r="AI21" s="438" t="inlineStr"/>
      <c r="AJ21" s="438" t="inlineStr"/>
      <c r="AK21" s="438" t="inlineStr"/>
      <c r="AL21" s="441" t="inlineStr"/>
      <c r="AM21" s="444" t="inlineStr"/>
      <c r="AN21" s="438" t="inlineStr"/>
      <c r="AO21" s="438" t="inlineStr"/>
      <c r="AP21" s="438" t="inlineStr"/>
      <c r="AQ21" s="441" t="inlineStr"/>
      <c r="AR21" s="444" t="inlineStr"/>
      <c r="AS21" s="438" t="inlineStr"/>
      <c r="AT21" s="438" t="inlineStr"/>
      <c r="AU21" s="438" t="inlineStr"/>
      <c r="AV21" s="441" t="inlineStr"/>
      <c r="AW21" s="444" t="inlineStr"/>
      <c r="AX21" s="438" t="inlineStr"/>
      <c r="AY21" s="438" t="inlineStr"/>
      <c r="AZ21" s="438" t="inlineStr"/>
      <c r="BA21" s="441" t="inlineStr"/>
      <c r="BB21" s="444" t="inlineStr"/>
      <c r="BC21" s="438" t="inlineStr"/>
      <c r="BD21" s="438" t="inlineStr"/>
      <c r="BE21" s="438" t="inlineStr"/>
      <c r="BF21" s="441" t="inlineStr"/>
      <c r="BG21" s="444" t="inlineStr"/>
      <c r="BH21" s="438" t="inlineStr"/>
      <c r="BI21" s="438" t="inlineStr"/>
      <c r="BJ21" s="438" t="inlineStr"/>
      <c r="BK21" s="441" t="inlineStr"/>
      <c r="BL21" s="444" t="inlineStr"/>
      <c r="BM21" s="438" t="inlineStr"/>
      <c r="BN21" s="438" t="inlineStr"/>
      <c r="BO21" s="438" t="inlineStr"/>
      <c r="BP21" s="441" t="n">
        <v>0.223</v>
      </c>
      <c r="BQ21" s="444" t="n">
        <v>0.216</v>
      </c>
      <c r="BR21" s="438" t="n">
        <v>0.219</v>
      </c>
      <c r="BS21" s="438" t="n">
        <v>0.223</v>
      </c>
      <c r="BT21" s="441" t="inlineStr"/>
      <c r="BU21" s="457" t="n"/>
      <c r="BV21" s="457" t="n"/>
      <c r="BW21" s="238" t="n"/>
      <c r="BX21" s="238" t="n"/>
      <c r="BY21" s="238" t="n"/>
      <c r="BZ21" s="238" t="n"/>
      <c r="CA21" s="238" t="n"/>
      <c r="CB21" s="238" t="n"/>
      <c r="CC21" s="238" t="n"/>
      <c r="CD21" s="238" t="n"/>
      <c r="CE21" s="238" t="n"/>
      <c r="CF21" s="238" t="n"/>
      <c r="CG21" s="238" t="n"/>
      <c r="CH21" s="238" t="n"/>
      <c r="CI21" s="238" t="n"/>
      <c r="CJ21" s="238" t="n"/>
      <c r="CK21" s="238" t="n"/>
      <c r="CL21" s="238" t="n"/>
      <c r="CM21" s="238" t="n"/>
      <c r="CN21" s="238" t="n"/>
      <c r="CO21" s="238" t="n"/>
      <c r="CP21" s="238" t="n"/>
      <c r="CQ21" s="238" t="n"/>
      <c r="CR21" s="238" t="n"/>
      <c r="CS21" s="238" t="n"/>
      <c r="CT21" s="238" t="n"/>
      <c r="CU21" s="238" t="n"/>
      <c r="CV21" s="238" t="n"/>
      <c r="CW21" s="238" t="n"/>
      <c r="CX21" s="238" t="n"/>
      <c r="CY21" s="238" t="n"/>
      <c r="CZ21" s="238" t="n"/>
      <c r="DA21" s="238" t="n"/>
      <c r="DB21" s="238" t="n"/>
      <c r="DC21" s="238" t="n"/>
      <c r="DD21" s="238" t="n"/>
      <c r="DE21" s="238" t="n"/>
      <c r="DF21" s="238" t="n"/>
      <c r="DG21" s="238" t="n"/>
      <c r="DH21" s="238" t="n"/>
      <c r="DI21" s="238" t="n"/>
      <c r="DJ21" s="238" t="n"/>
      <c r="DK21" s="238" t="n"/>
      <c r="DL21" s="238" t="n"/>
      <c r="DM21" s="238" t="n"/>
      <c r="DN21" s="238" t="n"/>
      <c r="DO21" s="238" t="n"/>
      <c r="DP21" s="238" t="n"/>
      <c r="DQ21" s="238" t="n"/>
      <c r="DR21" s="238" t="n"/>
      <c r="DS21" s="238" t="n"/>
      <c r="DT21" s="238" t="n"/>
      <c r="DU21" s="238" t="n"/>
      <c r="DV21" s="238" t="n"/>
      <c r="DW21" s="238" t="n"/>
      <c r="DX21" s="238" t="n"/>
      <c r="DY21" s="238" t="n"/>
      <c r="DZ21" s="23" t="n"/>
      <c r="FQ21" s="212" t="n"/>
      <c r="FR21" s="212" t="n"/>
      <c r="FS21" s="212" t="n"/>
      <c r="FT21" s="212" t="n"/>
      <c r="FU21" s="212" t="n"/>
      <c r="FV21" s="212" t="n"/>
      <c r="FW21" s="212" t="n"/>
      <c r="FX21" s="212" t="n"/>
      <c r="FY21" s="212" t="n"/>
      <c r="FZ21" s="212" t="n"/>
    </row>
    <row r="22" ht="39.95" customFormat="1" customHeight="1" s="5">
      <c r="A22" s="10" t="inlineStr">
        <is>
          <t>A</t>
        </is>
      </c>
      <c r="B22" s="6" t="inlineStr">
        <is>
          <t>POSITION 'C'</t>
        </is>
      </c>
      <c r="C22" s="11" t="inlineStr">
        <is>
          <t>L</t>
        </is>
      </c>
      <c r="D22" s="433" t="inlineStr"/>
      <c r="E22" s="436" t="n">
        <v>0.217</v>
      </c>
      <c r="F22" s="436" t="n">
        <v>0.228</v>
      </c>
      <c r="G22" s="436" t="n">
        <v>0.22</v>
      </c>
      <c r="H22" s="439" t="n">
        <v>0.214</v>
      </c>
      <c r="I22" s="442" t="inlineStr"/>
      <c r="J22" s="436" t="inlineStr"/>
      <c r="K22" s="436" t="inlineStr"/>
      <c r="L22" s="436" t="inlineStr"/>
      <c r="M22" s="439" t="inlineStr"/>
      <c r="N22" s="442" t="inlineStr"/>
      <c r="O22" s="436" t="inlineStr"/>
      <c r="P22" s="436" t="inlineStr"/>
      <c r="Q22" s="436" t="inlineStr"/>
      <c r="R22" s="439" t="inlineStr"/>
      <c r="S22" s="442" t="inlineStr"/>
      <c r="T22" s="436" t="inlineStr"/>
      <c r="U22" s="436" t="inlineStr"/>
      <c r="V22" s="436" t="inlineStr"/>
      <c r="W22" s="439" t="inlineStr"/>
      <c r="X22" s="442" t="inlineStr"/>
      <c r="Y22" s="436" t="inlineStr"/>
      <c r="Z22" s="436" t="inlineStr"/>
      <c r="AA22" s="436" t="inlineStr"/>
      <c r="AB22" s="439" t="inlineStr"/>
      <c r="AC22" s="442" t="inlineStr"/>
      <c r="AD22" s="436" t="inlineStr"/>
      <c r="AE22" s="436" t="inlineStr"/>
      <c r="AF22" s="436" t="inlineStr"/>
      <c r="AG22" s="439" t="inlineStr"/>
      <c r="AH22" s="442" t="inlineStr"/>
      <c r="AI22" s="436" t="inlineStr"/>
      <c r="AJ22" s="436" t="inlineStr"/>
      <c r="AK22" s="436" t="inlineStr"/>
      <c r="AL22" s="439" t="inlineStr"/>
      <c r="AM22" s="442" t="inlineStr"/>
      <c r="AN22" s="436" t="inlineStr"/>
      <c r="AO22" s="436" t="inlineStr"/>
      <c r="AP22" s="436" t="inlineStr"/>
      <c r="AQ22" s="439" t="inlineStr"/>
      <c r="AR22" s="442" t="inlineStr"/>
      <c r="AS22" s="436" t="inlineStr"/>
      <c r="AT22" s="436" t="inlineStr"/>
      <c r="AU22" s="436" t="inlineStr"/>
      <c r="AV22" s="439" t="inlineStr"/>
      <c r="AW22" s="442" t="inlineStr"/>
      <c r="AX22" s="436" t="inlineStr"/>
      <c r="AY22" s="436" t="inlineStr"/>
      <c r="AZ22" s="436" t="inlineStr"/>
      <c r="BA22" s="439" t="inlineStr"/>
      <c r="BB22" s="442" t="inlineStr"/>
      <c r="BC22" s="436" t="inlineStr"/>
      <c r="BD22" s="436" t="inlineStr"/>
      <c r="BE22" s="436" t="inlineStr"/>
      <c r="BF22" s="439" t="inlineStr"/>
      <c r="BG22" s="442" t="inlineStr"/>
      <c r="BH22" s="436" t="inlineStr"/>
      <c r="BI22" s="436" t="inlineStr"/>
      <c r="BJ22" s="436" t="inlineStr"/>
      <c r="BK22" s="439" t="inlineStr"/>
      <c r="BL22" s="442" t="inlineStr"/>
      <c r="BM22" s="436" t="inlineStr"/>
      <c r="BN22" s="436" t="inlineStr"/>
      <c r="BO22" s="436" t="inlineStr"/>
      <c r="BP22" s="439" t="n">
        <v>0.22</v>
      </c>
      <c r="BQ22" s="442" t="n">
        <v>0.222</v>
      </c>
      <c r="BR22" s="436" t="n">
        <v>0.221</v>
      </c>
      <c r="BS22" s="436" t="n">
        <v>0.218</v>
      </c>
      <c r="BT22" s="439" t="inlineStr"/>
      <c r="BU22" s="454">
        <f>IFERROR(AVERAGE(D22:BT24),0)</f>
        <v/>
      </c>
      <c r="BV22" s="454">
        <f>MIN(D22:BT24)</f>
        <v/>
      </c>
      <c r="BW22" s="238" t="n"/>
      <c r="BX22" s="238" t="n"/>
      <c r="BY22" s="238" t="n"/>
      <c r="BZ22" s="238" t="n"/>
      <c r="CA22" s="238" t="n"/>
      <c r="CB22" s="238" t="n"/>
      <c r="CC22" s="238" t="n"/>
      <c r="CD22" s="238" t="n"/>
      <c r="CE22" s="238" t="n"/>
      <c r="CF22" s="238" t="n"/>
      <c r="CG22" s="238" t="n"/>
      <c r="CH22" s="238" t="n"/>
      <c r="CI22" s="238" t="n"/>
      <c r="CJ22" s="238" t="n"/>
      <c r="CK22" s="238" t="n"/>
      <c r="CL22" s="238" t="n"/>
      <c r="CM22" s="238" t="n"/>
      <c r="CN22" s="238" t="n"/>
      <c r="CO22" s="238" t="n"/>
      <c r="CP22" s="238" t="n"/>
      <c r="CQ22" s="238" t="n"/>
      <c r="CR22" s="238" t="n"/>
      <c r="CS22" s="238" t="n"/>
      <c r="CT22" s="238" t="n"/>
      <c r="CU22" s="238" t="n"/>
      <c r="CV22" s="238" t="n"/>
      <c r="CW22" s="238" t="n"/>
      <c r="CX22" s="238" t="n"/>
      <c r="CY22" s="238" t="n"/>
      <c r="CZ22" s="238" t="n"/>
      <c r="DA22" s="238" t="n"/>
      <c r="DB22" s="238" t="n"/>
      <c r="DC22" s="238" t="n"/>
      <c r="DD22" s="238" t="n"/>
      <c r="DE22" s="238" t="n"/>
      <c r="DF22" s="238" t="n"/>
      <c r="DG22" s="238" t="n"/>
      <c r="DH22" s="238" t="n"/>
      <c r="DI22" s="238" t="n"/>
      <c r="DJ22" s="238" t="n"/>
      <c r="DK22" s="238" t="n"/>
      <c r="DL22" s="238" t="n"/>
      <c r="DM22" s="238" t="n"/>
      <c r="DN22" s="238" t="n"/>
      <c r="DO22" s="238" t="n"/>
      <c r="DP22" s="238" t="n"/>
      <c r="DQ22" s="238" t="n"/>
      <c r="DR22" s="238" t="n"/>
      <c r="DS22" s="238" t="n"/>
      <c r="DT22" s="238" t="n"/>
      <c r="DU22" s="238" t="n"/>
      <c r="DV22" s="238" t="n"/>
      <c r="DW22" s="238" t="n"/>
      <c r="DX22" s="238" t="n"/>
      <c r="DY22" s="238" t="n"/>
      <c r="DZ22" s="23" t="n"/>
      <c r="FQ22" s="212" t="n"/>
      <c r="FR22" s="212" t="n"/>
      <c r="FS22" s="212" t="n"/>
      <c r="FT22" s="212" t="n"/>
      <c r="FU22" s="212" t="n"/>
      <c r="FV22" s="212" t="n"/>
      <c r="FW22" s="212" t="n"/>
      <c r="FX22" s="212" t="n"/>
      <c r="FY22" s="212" t="n"/>
      <c r="FZ22" s="212" t="n"/>
    </row>
    <row r="23" ht="39.95" customFormat="1" customHeight="1" s="5">
      <c r="A23" s="182" t="n">
        <v>0.083</v>
      </c>
      <c r="B23" s="7" t="inlineStr">
        <is>
          <t>OF THE</t>
        </is>
      </c>
      <c r="C23" s="11" t="inlineStr">
        <is>
          <t>C</t>
        </is>
      </c>
      <c r="D23" s="434" t="inlineStr"/>
      <c r="E23" s="437" t="n">
        <v>0.218</v>
      </c>
      <c r="F23" s="437" t="n">
        <v>0.221</v>
      </c>
      <c r="G23" s="437" t="n">
        <v>0.224</v>
      </c>
      <c r="H23" s="440" t="n">
        <v>0.216</v>
      </c>
      <c r="I23" s="443" t="inlineStr"/>
      <c r="J23" s="437" t="inlineStr"/>
      <c r="K23" s="437" t="inlineStr"/>
      <c r="L23" s="437" t="inlineStr"/>
      <c r="M23" s="440" t="inlineStr"/>
      <c r="N23" s="443" t="inlineStr"/>
      <c r="O23" s="437" t="inlineStr"/>
      <c r="P23" s="437" t="inlineStr"/>
      <c r="Q23" s="437" t="inlineStr"/>
      <c r="R23" s="440" t="inlineStr"/>
      <c r="S23" s="443" t="inlineStr"/>
      <c r="T23" s="437" t="inlineStr"/>
      <c r="U23" s="437" t="inlineStr"/>
      <c r="V23" s="437" t="inlineStr"/>
      <c r="W23" s="440" t="inlineStr"/>
      <c r="X23" s="443" t="inlineStr"/>
      <c r="Y23" s="437" t="inlineStr"/>
      <c r="Z23" s="437" t="inlineStr"/>
      <c r="AA23" s="437" t="inlineStr"/>
      <c r="AB23" s="440" t="inlineStr"/>
      <c r="AC23" s="443" t="inlineStr"/>
      <c r="AD23" s="437" t="inlineStr"/>
      <c r="AE23" s="437" t="inlineStr"/>
      <c r="AF23" s="437" t="inlineStr"/>
      <c r="AG23" s="440" t="inlineStr"/>
      <c r="AH23" s="443" t="inlineStr"/>
      <c r="AI23" s="437" t="inlineStr"/>
      <c r="AJ23" s="437" t="inlineStr"/>
      <c r="AK23" s="437" t="inlineStr"/>
      <c r="AL23" s="440" t="inlineStr"/>
      <c r="AM23" s="443" t="inlineStr"/>
      <c r="AN23" s="437" t="inlineStr"/>
      <c r="AO23" s="437" t="inlineStr"/>
      <c r="AP23" s="437" t="inlineStr"/>
      <c r="AQ23" s="440" t="inlineStr"/>
      <c r="AR23" s="443" t="inlineStr"/>
      <c r="AS23" s="437" t="inlineStr"/>
      <c r="AT23" s="437" t="inlineStr"/>
      <c r="AU23" s="437" t="inlineStr"/>
      <c r="AV23" s="440" t="inlineStr"/>
      <c r="AW23" s="443" t="inlineStr"/>
      <c r="AX23" s="437" t="inlineStr"/>
      <c r="AY23" s="437" t="inlineStr"/>
      <c r="AZ23" s="437" t="inlineStr"/>
      <c r="BA23" s="440" t="inlineStr"/>
      <c r="BB23" s="443" t="inlineStr"/>
      <c r="BC23" s="437" t="inlineStr"/>
      <c r="BD23" s="437" t="inlineStr"/>
      <c r="BE23" s="437" t="inlineStr"/>
      <c r="BF23" s="440" t="inlineStr"/>
      <c r="BG23" s="443" t="inlineStr"/>
      <c r="BH23" s="437" t="inlineStr"/>
      <c r="BI23" s="437" t="inlineStr"/>
      <c r="BJ23" s="437" t="inlineStr"/>
      <c r="BK23" s="440" t="inlineStr"/>
      <c r="BL23" s="443" t="inlineStr"/>
      <c r="BM23" s="437" t="inlineStr"/>
      <c r="BN23" s="437" t="inlineStr"/>
      <c r="BO23" s="437" t="inlineStr"/>
      <c r="BP23" s="440" t="n">
        <v>0.216</v>
      </c>
      <c r="BQ23" s="443" t="n">
        <v>0.22</v>
      </c>
      <c r="BR23" s="437" t="n">
        <v>0.225</v>
      </c>
      <c r="BS23" s="437" t="n">
        <v>0.216</v>
      </c>
      <c r="BT23" s="440" t="inlineStr"/>
      <c r="BU23" s="455" t="n"/>
      <c r="BV23" s="455" t="n"/>
      <c r="BW23" s="238" t="n"/>
      <c r="BX23" s="238" t="n"/>
      <c r="BY23" s="238" t="n"/>
      <c r="BZ23" s="238" t="n"/>
      <c r="CA23" s="238" t="n"/>
      <c r="CB23" s="238" t="n"/>
      <c r="CC23" s="238" t="n"/>
      <c r="CD23" s="238" t="n"/>
      <c r="CE23" s="238" t="n"/>
      <c r="CF23" s="238" t="n"/>
      <c r="CG23" s="238" t="n"/>
      <c r="CH23" s="238" t="n"/>
      <c r="CI23" s="238" t="n"/>
      <c r="CJ23" s="238" t="n"/>
      <c r="CK23" s="238" t="n"/>
      <c r="CL23" s="238" t="n"/>
      <c r="CM23" s="238" t="n"/>
      <c r="CN23" s="238" t="n"/>
      <c r="CO23" s="238" t="n"/>
      <c r="CP23" s="238" t="n"/>
      <c r="CQ23" s="238" t="n"/>
      <c r="CR23" s="238" t="n"/>
      <c r="CS23" s="238" t="n"/>
      <c r="CT23" s="238" t="n"/>
      <c r="CU23" s="238" t="n"/>
      <c r="CV23" s="238" t="n"/>
      <c r="CW23" s="238" t="n"/>
      <c r="CX23" s="238" t="n"/>
      <c r="CY23" s="238" t="n"/>
      <c r="CZ23" s="238" t="n"/>
      <c r="DA23" s="238" t="n"/>
      <c r="DB23" s="238" t="n"/>
      <c r="DC23" s="238" t="n"/>
      <c r="DD23" s="238" t="n"/>
      <c r="DE23" s="238" t="n"/>
      <c r="DF23" s="238" t="n"/>
      <c r="DG23" s="238" t="n"/>
      <c r="DH23" s="238" t="n"/>
      <c r="DI23" s="238" t="n"/>
      <c r="DJ23" s="238" t="n"/>
      <c r="DK23" s="238" t="n"/>
      <c r="DL23" s="238" t="n"/>
      <c r="DM23" s="238" t="n"/>
      <c r="DN23" s="238" t="n"/>
      <c r="DO23" s="238" t="n"/>
      <c r="DP23" s="238" t="n"/>
      <c r="DQ23" s="238" t="n"/>
      <c r="DR23" s="238" t="n"/>
      <c r="DS23" s="238" t="n"/>
      <c r="DT23" s="238" t="n"/>
      <c r="DU23" s="238" t="n"/>
      <c r="DV23" s="238" t="n"/>
      <c r="DW23" s="238" t="n"/>
      <c r="DX23" s="238" t="n"/>
      <c r="DY23" s="238" t="n"/>
      <c r="DZ23" s="23" t="n"/>
      <c r="FQ23" s="212" t="n"/>
      <c r="FR23" s="212" t="n"/>
      <c r="FS23" s="212" t="n"/>
      <c r="FT23" s="212" t="n"/>
      <c r="FU23" s="212" t="n"/>
      <c r="FV23" s="212" t="n"/>
      <c r="FW23" s="212" t="n"/>
      <c r="FX23" s="212" t="n"/>
      <c r="FY23" s="212" t="n"/>
      <c r="FZ23" s="212" t="n"/>
    </row>
    <row r="24" ht="39.95" customFormat="1" customHeight="1" s="5">
      <c r="A24" s="456" t="n"/>
      <c r="B24" s="8" t="inlineStr">
        <is>
          <t>OB PORTS</t>
        </is>
      </c>
      <c r="C24" s="12" t="inlineStr">
        <is>
          <t>R</t>
        </is>
      </c>
      <c r="D24" s="435" t="inlineStr"/>
      <c r="E24" s="438" t="n">
        <v>0.221</v>
      </c>
      <c r="F24" s="438" t="n">
        <v>0.227</v>
      </c>
      <c r="G24" s="438" t="n">
        <v>0.215</v>
      </c>
      <c r="H24" s="441" t="n">
        <v>0.223</v>
      </c>
      <c r="I24" s="444" t="inlineStr"/>
      <c r="J24" s="438" t="inlineStr"/>
      <c r="K24" s="438" t="inlineStr"/>
      <c r="L24" s="438" t="inlineStr"/>
      <c r="M24" s="441" t="inlineStr"/>
      <c r="N24" s="444" t="inlineStr"/>
      <c r="O24" s="438" t="inlineStr"/>
      <c r="P24" s="438" t="inlineStr"/>
      <c r="Q24" s="438" t="inlineStr"/>
      <c r="R24" s="441" t="inlineStr"/>
      <c r="S24" s="444" t="inlineStr"/>
      <c r="T24" s="438" t="inlineStr"/>
      <c r="U24" s="438" t="inlineStr"/>
      <c r="V24" s="438" t="inlineStr"/>
      <c r="W24" s="441" t="inlineStr"/>
      <c r="X24" s="444" t="inlineStr"/>
      <c r="Y24" s="438" t="inlineStr"/>
      <c r="Z24" s="438" t="inlineStr"/>
      <c r="AA24" s="438" t="inlineStr"/>
      <c r="AB24" s="441" t="inlineStr"/>
      <c r="AC24" s="444" t="inlineStr"/>
      <c r="AD24" s="438" t="inlineStr"/>
      <c r="AE24" s="438" t="inlineStr"/>
      <c r="AF24" s="438" t="inlineStr"/>
      <c r="AG24" s="441" t="inlineStr"/>
      <c r="AH24" s="444" t="inlineStr"/>
      <c r="AI24" s="438" t="inlineStr"/>
      <c r="AJ24" s="438" t="inlineStr"/>
      <c r="AK24" s="438" t="inlineStr"/>
      <c r="AL24" s="441" t="inlineStr"/>
      <c r="AM24" s="444" t="inlineStr"/>
      <c r="AN24" s="438" t="inlineStr"/>
      <c r="AO24" s="438" t="inlineStr"/>
      <c r="AP24" s="438" t="inlineStr"/>
      <c r="AQ24" s="441" t="inlineStr"/>
      <c r="AR24" s="444" t="inlineStr"/>
      <c r="AS24" s="438" t="inlineStr"/>
      <c r="AT24" s="438" t="inlineStr"/>
      <c r="AU24" s="438" t="inlineStr"/>
      <c r="AV24" s="441" t="inlineStr"/>
      <c r="AW24" s="444" t="inlineStr"/>
      <c r="AX24" s="438" t="inlineStr"/>
      <c r="AY24" s="438" t="inlineStr"/>
      <c r="AZ24" s="438" t="inlineStr"/>
      <c r="BA24" s="441" t="inlineStr"/>
      <c r="BB24" s="444" t="inlineStr"/>
      <c r="BC24" s="438" t="inlineStr"/>
      <c r="BD24" s="438" t="inlineStr"/>
      <c r="BE24" s="438" t="inlineStr"/>
      <c r="BF24" s="441" t="inlineStr"/>
      <c r="BG24" s="444" t="inlineStr"/>
      <c r="BH24" s="438" t="inlineStr"/>
      <c r="BI24" s="438" t="inlineStr"/>
      <c r="BJ24" s="438" t="inlineStr"/>
      <c r="BK24" s="441" t="inlineStr"/>
      <c r="BL24" s="444" t="inlineStr"/>
      <c r="BM24" s="438" t="inlineStr"/>
      <c r="BN24" s="438" t="inlineStr"/>
      <c r="BO24" s="438" t="inlineStr"/>
      <c r="BP24" s="441" t="n">
        <v>0.213</v>
      </c>
      <c r="BQ24" s="444" t="n">
        <v>0.222</v>
      </c>
      <c r="BR24" s="438" t="n">
        <v>0.222</v>
      </c>
      <c r="BS24" s="438" t="n">
        <v>0.224</v>
      </c>
      <c r="BT24" s="441" t="inlineStr"/>
      <c r="BU24" s="457" t="n"/>
      <c r="BV24" s="457" t="n"/>
      <c r="BW24" s="238" t="n"/>
      <c r="BX24" s="238" t="n"/>
      <c r="BY24" s="238" t="n"/>
      <c r="BZ24" s="238" t="n"/>
      <c r="CA24" s="238" t="n"/>
      <c r="CB24" s="238" t="n"/>
      <c r="CC24" s="238" t="n"/>
      <c r="CD24" s="238" t="n"/>
      <c r="CE24" s="238" t="n"/>
      <c r="CF24" s="238" t="n"/>
      <c r="CG24" s="238" t="n"/>
      <c r="CH24" s="238" t="n"/>
      <c r="CI24" s="238" t="n"/>
      <c r="CJ24" s="238" t="n"/>
      <c r="CK24" s="238" t="n"/>
      <c r="CL24" s="238" t="n"/>
      <c r="CM24" s="238" t="n"/>
      <c r="CN24" s="238" t="n"/>
      <c r="CO24" s="238" t="n"/>
      <c r="CP24" s="238" t="n"/>
      <c r="CQ24" s="238" t="n"/>
      <c r="CR24" s="238" t="n"/>
      <c r="CS24" s="238" t="n"/>
      <c r="CT24" s="238" t="n"/>
      <c r="CU24" s="238" t="n"/>
      <c r="CV24" s="238" t="n"/>
      <c r="CW24" s="238" t="n"/>
      <c r="CX24" s="238" t="n"/>
      <c r="CY24" s="238" t="n"/>
      <c r="CZ24" s="238" t="n"/>
      <c r="DA24" s="238" t="n"/>
      <c r="DB24" s="238" t="n"/>
      <c r="DC24" s="238" t="n"/>
      <c r="DD24" s="238" t="n"/>
      <c r="DE24" s="238" t="n"/>
      <c r="DF24" s="238" t="n"/>
      <c r="DG24" s="238" t="n"/>
      <c r="DH24" s="238" t="n"/>
      <c r="DI24" s="238" t="n"/>
      <c r="DJ24" s="238" t="n"/>
      <c r="DK24" s="238" t="n"/>
      <c r="DL24" s="238" t="n"/>
      <c r="DM24" s="238" t="n"/>
      <c r="DN24" s="238" t="n"/>
      <c r="DO24" s="238" t="n"/>
      <c r="DP24" s="238" t="n"/>
      <c r="DQ24" s="238" t="n"/>
      <c r="DR24" s="238" t="n"/>
      <c r="DS24" s="238" t="n"/>
      <c r="DT24" s="238" t="n"/>
      <c r="DU24" s="238" t="n"/>
      <c r="DV24" s="238" t="n"/>
      <c r="DW24" s="238" t="n"/>
      <c r="DX24" s="238" t="n"/>
      <c r="DY24" s="238" t="n"/>
      <c r="DZ24" s="23" t="n"/>
      <c r="FQ24" s="212" t="n"/>
      <c r="FR24" s="212" t="n"/>
      <c r="FS24" s="212" t="n"/>
      <c r="FT24" s="212" t="n"/>
      <c r="FU24" s="212" t="n"/>
      <c r="FV24" s="212" t="n"/>
      <c r="FW24" s="212" t="n"/>
      <c r="FX24" s="212" t="n"/>
      <c r="FY24" s="212" t="n"/>
      <c r="FZ24" s="212" t="n"/>
    </row>
    <row r="25" ht="39.95" customFormat="1" customHeight="1" s="5">
      <c r="A25" s="10" t="inlineStr">
        <is>
          <t>A</t>
        </is>
      </c>
      <c r="B25" s="6" t="n"/>
      <c r="C25" s="11" t="inlineStr">
        <is>
          <t>L</t>
        </is>
      </c>
      <c r="D25" s="433" t="n">
        <v>0.196</v>
      </c>
      <c r="E25" s="436" t="n">
        <v>0.234</v>
      </c>
      <c r="F25" s="436" t="n">
        <v>0.224</v>
      </c>
      <c r="G25" s="436" t="n">
        <v>0.223</v>
      </c>
      <c r="H25" s="439" t="n">
        <v>0.218</v>
      </c>
      <c r="I25" s="442" t="inlineStr">
        <is>
          <t>RF</t>
        </is>
      </c>
      <c r="J25" s="436" t="n">
        <v>0.27</v>
      </c>
      <c r="K25" s="436" t="n">
        <v>0.279</v>
      </c>
      <c r="L25" s="436" t="n">
        <v>0.286</v>
      </c>
      <c r="M25" s="439" t="n">
        <v>0.257</v>
      </c>
      <c r="N25" s="442" t="n">
        <v>0.251</v>
      </c>
      <c r="O25" s="436" t="n">
        <v>0.23</v>
      </c>
      <c r="P25" s="436" t="n">
        <v>0.229</v>
      </c>
      <c r="Q25" s="436" t="n">
        <v>0.218</v>
      </c>
      <c r="R25" s="439" t="n">
        <v>0.206</v>
      </c>
      <c r="S25" s="442" t="n">
        <v>0.203</v>
      </c>
      <c r="T25" s="436" t="n">
        <v>0.206</v>
      </c>
      <c r="U25" s="436" t="n">
        <v>0.184</v>
      </c>
      <c r="V25" s="436" t="n">
        <v>0.213</v>
      </c>
      <c r="W25" s="439" t="n">
        <v>0.192</v>
      </c>
      <c r="X25" s="442" t="n">
        <v>0.191</v>
      </c>
      <c r="Y25" s="436" t="n">
        <v>0.191</v>
      </c>
      <c r="Z25" s="436" t="n">
        <v>0.185</v>
      </c>
      <c r="AA25" s="436" t="n">
        <v>0.2</v>
      </c>
      <c r="AB25" s="439" t="n">
        <v>0.201</v>
      </c>
      <c r="AC25" s="442" t="n">
        <v>0.192</v>
      </c>
      <c r="AD25" s="436" t="n">
        <v>0.198</v>
      </c>
      <c r="AE25" s="436" t="n">
        <v>0.196</v>
      </c>
      <c r="AF25" s="436" t="n">
        <v>0.198</v>
      </c>
      <c r="AG25" s="439" t="n">
        <v>0.188</v>
      </c>
      <c r="AH25" s="442" t="n">
        <v>0.206</v>
      </c>
      <c r="AI25" s="436" t="n">
        <v>0.222</v>
      </c>
      <c r="AJ25" s="436" t="n">
        <v>0.21</v>
      </c>
      <c r="AK25" s="436" t="n">
        <v>0.212</v>
      </c>
      <c r="AL25" s="439" t="n">
        <v>0.226</v>
      </c>
      <c r="AM25" s="442" t="n">
        <v>0.219</v>
      </c>
      <c r="AN25" s="436" t="n">
        <v>0.183</v>
      </c>
      <c r="AO25" s="436" t="n">
        <v>0.19</v>
      </c>
      <c r="AP25" s="436" t="n">
        <v>0.177</v>
      </c>
      <c r="AQ25" s="439" t="n">
        <v>0.19</v>
      </c>
      <c r="AR25" s="442" t="n">
        <v>0.181</v>
      </c>
      <c r="AS25" s="436" t="n">
        <v>0.197</v>
      </c>
      <c r="AT25" s="436" t="n">
        <v>0.237</v>
      </c>
      <c r="AU25" s="436" t="n">
        <v>0.233</v>
      </c>
      <c r="AV25" s="439" t="n">
        <v>0.193</v>
      </c>
      <c r="AW25" s="442" t="n">
        <v>0.178</v>
      </c>
      <c r="AX25" s="436" t="n">
        <v>0.216</v>
      </c>
      <c r="AY25" s="436" t="n">
        <v>0.22</v>
      </c>
      <c r="AZ25" s="436" t="n">
        <v>0.216</v>
      </c>
      <c r="BA25" s="439" t="n">
        <v>0.191</v>
      </c>
      <c r="BB25" s="442" t="n">
        <v>0.202</v>
      </c>
      <c r="BC25" s="436" t="n">
        <v>0.192</v>
      </c>
      <c r="BD25" s="436" t="n">
        <v>0.217</v>
      </c>
      <c r="BE25" s="436" t="n">
        <v>0.196</v>
      </c>
      <c r="BF25" s="439" t="n">
        <v>0.191</v>
      </c>
      <c r="BG25" s="442" t="n">
        <v>0.216</v>
      </c>
      <c r="BH25" s="436" t="n">
        <v>0.203</v>
      </c>
      <c r="BI25" s="436" t="n">
        <v>0.204</v>
      </c>
      <c r="BJ25" s="436" t="n">
        <v>0.215</v>
      </c>
      <c r="BK25" s="439" t="n">
        <v>0.224</v>
      </c>
      <c r="BL25" s="442" t="n">
        <v>0.209</v>
      </c>
      <c r="BM25" s="436" t="n">
        <v>0.216</v>
      </c>
      <c r="BN25" s="436" t="n">
        <v>0.22</v>
      </c>
      <c r="BO25" s="436" t="n">
        <v>0.224</v>
      </c>
      <c r="BP25" s="439" t="n">
        <v>0.227</v>
      </c>
      <c r="BQ25" s="442" t="n">
        <v>0.228</v>
      </c>
      <c r="BR25" s="436" t="n">
        <v>0.225</v>
      </c>
      <c r="BS25" s="436" t="n">
        <v>0.223</v>
      </c>
      <c r="BT25" s="439" t="inlineStr">
        <is>
          <t>RF</t>
        </is>
      </c>
      <c r="BU25" s="454">
        <f>IFERROR(AVERAGE(D25:BT27),0)</f>
        <v/>
      </c>
      <c r="BV25" s="454">
        <f>MIN(D25:BT27)</f>
        <v/>
      </c>
      <c r="BW25" s="238" t="n"/>
      <c r="BX25" s="238" t="n"/>
      <c r="BY25" s="238" t="n"/>
      <c r="BZ25" s="238" t="n"/>
      <c r="CA25" s="238" t="n"/>
      <c r="CB25" s="238" t="n"/>
      <c r="CC25" s="238" t="n"/>
      <c r="CD25" s="238" t="n"/>
      <c r="CE25" s="238" t="n"/>
      <c r="CF25" s="238" t="n"/>
      <c r="CG25" s="238" t="n"/>
      <c r="CH25" s="238" t="n"/>
      <c r="CI25" s="238" t="n"/>
      <c r="CJ25" s="238" t="n"/>
      <c r="CK25" s="238" t="n"/>
      <c r="CL25" s="238" t="n"/>
      <c r="CM25" s="238" t="n"/>
      <c r="CN25" s="238" t="n"/>
      <c r="CO25" s="238" t="n"/>
      <c r="CP25" s="238" t="n"/>
      <c r="CQ25" s="238" t="n"/>
      <c r="CR25" s="238" t="n"/>
      <c r="CS25" s="238" t="n"/>
      <c r="CT25" s="238" t="n"/>
      <c r="CU25" s="238" t="n"/>
      <c r="CV25" s="238" t="n"/>
      <c r="CW25" s="238" t="n"/>
      <c r="CX25" s="238" t="n"/>
      <c r="CY25" s="238" t="n"/>
      <c r="CZ25" s="238" t="n"/>
      <c r="DA25" s="238" t="n"/>
      <c r="DB25" s="238" t="n"/>
      <c r="DC25" s="238" t="n"/>
      <c r="DD25" s="238" t="n"/>
      <c r="DE25" s="238" t="n"/>
      <c r="DF25" s="238" t="n"/>
      <c r="DG25" s="238" t="n"/>
      <c r="DH25" s="238" t="n"/>
      <c r="DI25" s="238" t="n"/>
      <c r="DJ25" s="238" t="n"/>
      <c r="DK25" s="238" t="n"/>
      <c r="DL25" s="238" t="n"/>
      <c r="DM25" s="238" t="n"/>
      <c r="DN25" s="238" t="n"/>
      <c r="DO25" s="238" t="n"/>
      <c r="DP25" s="238" t="n"/>
      <c r="DQ25" s="238" t="n"/>
      <c r="DR25" s="238" t="n"/>
      <c r="DS25" s="238" t="n"/>
      <c r="DT25" s="238" t="n"/>
      <c r="DU25" s="238" t="n"/>
      <c r="DV25" s="238" t="n"/>
      <c r="DW25" s="238" t="n"/>
      <c r="DX25" s="238" t="n"/>
      <c r="DY25" s="238" t="n"/>
      <c r="DZ25" s="23" t="n"/>
      <c r="FQ25" s="212" t="n"/>
      <c r="FR25" s="212" t="n"/>
      <c r="FS25" s="212" t="n"/>
      <c r="FT25" s="212" t="n"/>
      <c r="FU25" s="212" t="n"/>
      <c r="FV25" s="212" t="n"/>
      <c r="FW25" s="212" t="n"/>
      <c r="FX25" s="212" t="n"/>
      <c r="FY25" s="212" t="n"/>
      <c r="FZ25" s="212" t="n"/>
    </row>
    <row r="26" ht="39.95" customFormat="1" customHeight="1" s="5">
      <c r="A26" s="182" t="n">
        <v>0.083</v>
      </c>
      <c r="B26" s="7" t="inlineStr">
        <is>
          <t>+10 FT 6 IN</t>
        </is>
      </c>
      <c r="C26" s="11" t="inlineStr">
        <is>
          <t>C</t>
        </is>
      </c>
      <c r="D26" s="434" t="n">
        <v>0.202</v>
      </c>
      <c r="E26" s="437" t="n">
        <v>0.232</v>
      </c>
      <c r="F26" s="437" t="n">
        <v>0.224</v>
      </c>
      <c r="G26" s="437" t="n">
        <v>0.221</v>
      </c>
      <c r="H26" s="440" t="n">
        <v>0.22</v>
      </c>
      <c r="I26" s="443" t="inlineStr">
        <is>
          <t>RF</t>
        </is>
      </c>
      <c r="J26" s="437" t="n">
        <v>0.264</v>
      </c>
      <c r="K26" s="437" t="n">
        <v>0.273</v>
      </c>
      <c r="L26" s="437" t="n">
        <v>0.278</v>
      </c>
      <c r="M26" s="440" t="n">
        <v>0.271</v>
      </c>
      <c r="N26" s="443" t="n">
        <v>0.253</v>
      </c>
      <c r="O26" s="437" t="n">
        <v>0.233</v>
      </c>
      <c r="P26" s="437" t="n">
        <v>0.204</v>
      </c>
      <c r="Q26" s="437" t="n">
        <v>0.231</v>
      </c>
      <c r="R26" s="440" t="n">
        <v>0.207</v>
      </c>
      <c r="S26" s="443" t="n">
        <v>0.206</v>
      </c>
      <c r="T26" s="437" t="n">
        <v>0.198</v>
      </c>
      <c r="U26" s="437" t="n">
        <v>0.194</v>
      </c>
      <c r="V26" s="437" t="n">
        <v>0.182</v>
      </c>
      <c r="W26" s="440" t="n">
        <v>0.198</v>
      </c>
      <c r="X26" s="443" t="n">
        <v>0.193</v>
      </c>
      <c r="Y26" s="437" t="n">
        <v>0.19</v>
      </c>
      <c r="Z26" s="437" t="n">
        <v>0.217</v>
      </c>
      <c r="AA26" s="437" t="n">
        <v>0.199</v>
      </c>
      <c r="AB26" s="440" t="n">
        <v>0.225</v>
      </c>
      <c r="AC26" s="443" t="n">
        <v>0.213</v>
      </c>
      <c r="AD26" s="437" t="n">
        <v>0.206</v>
      </c>
      <c r="AE26" s="437" t="n">
        <v>0.204</v>
      </c>
      <c r="AF26" s="437" t="n">
        <v>0.199</v>
      </c>
      <c r="AG26" s="440" t="n">
        <v>0.204</v>
      </c>
      <c r="AH26" s="443" t="n">
        <v>0.2</v>
      </c>
      <c r="AI26" s="437" t="n">
        <v>0.218</v>
      </c>
      <c r="AJ26" s="437" t="n">
        <v>0.223</v>
      </c>
      <c r="AK26" s="437" t="n">
        <v>0.226</v>
      </c>
      <c r="AL26" s="440" t="n">
        <v>0.226</v>
      </c>
      <c r="AM26" s="443" t="n">
        <v>0.2</v>
      </c>
      <c r="AN26" s="437" t="n">
        <v>0.207</v>
      </c>
      <c r="AO26" s="437" t="n">
        <v>0.191</v>
      </c>
      <c r="AP26" s="437" t="n">
        <v>0.182</v>
      </c>
      <c r="AQ26" s="440" t="n">
        <v>0.184</v>
      </c>
      <c r="AR26" s="443" t="n">
        <v>0.207</v>
      </c>
      <c r="AS26" s="437" t="n">
        <v>0.176</v>
      </c>
      <c r="AT26" s="437" t="n">
        <v>0.194</v>
      </c>
      <c r="AU26" s="437" t="n">
        <v>0.19</v>
      </c>
      <c r="AV26" s="440" t="n">
        <v>0.202</v>
      </c>
      <c r="AW26" s="443" t="n">
        <v>0.187</v>
      </c>
      <c r="AX26" s="437" t="n">
        <v>0.212</v>
      </c>
      <c r="AY26" s="437" t="n">
        <v>0.196</v>
      </c>
      <c r="AZ26" s="437" t="n">
        <v>0.196</v>
      </c>
      <c r="BA26" s="440" t="n">
        <v>0.211</v>
      </c>
      <c r="BB26" s="443" t="n">
        <v>0.188</v>
      </c>
      <c r="BC26" s="437" t="n">
        <v>0.21</v>
      </c>
      <c r="BD26" s="437" t="n">
        <v>0.21</v>
      </c>
      <c r="BE26" s="437" t="n">
        <v>0.209</v>
      </c>
      <c r="BF26" s="440" t="n">
        <v>0.201</v>
      </c>
      <c r="BG26" s="443" t="n">
        <v>0.223</v>
      </c>
      <c r="BH26" s="437" t="n">
        <v>0.209</v>
      </c>
      <c r="BI26" s="437" t="n">
        <v>0.201</v>
      </c>
      <c r="BJ26" s="437" t="n">
        <v>0.2</v>
      </c>
      <c r="BK26" s="440" t="n">
        <v>0.209</v>
      </c>
      <c r="BL26" s="443" t="n">
        <v>0.216</v>
      </c>
      <c r="BM26" s="437" t="n">
        <v>0.217</v>
      </c>
      <c r="BN26" s="437" t="n">
        <v>0.217</v>
      </c>
      <c r="BO26" s="437" t="n">
        <v>0.224</v>
      </c>
      <c r="BP26" s="440" t="n">
        <v>0.225</v>
      </c>
      <c r="BQ26" s="443" t="n">
        <v>0.222</v>
      </c>
      <c r="BR26" s="437" t="n">
        <v>0.228</v>
      </c>
      <c r="BS26" s="437" t="n">
        <v>0.235</v>
      </c>
      <c r="BT26" s="440" t="inlineStr">
        <is>
          <t>RF</t>
        </is>
      </c>
      <c r="BU26" s="455" t="n"/>
      <c r="BV26" s="455" t="n"/>
      <c r="BW26" s="238" t="n"/>
      <c r="BX26" s="238" t="n"/>
      <c r="BY26" s="238" t="n"/>
      <c r="BZ26" s="238" t="n"/>
      <c r="CA26" s="238" t="n"/>
      <c r="CB26" s="238" t="n"/>
      <c r="CC26" s="238" t="n"/>
      <c r="CD26" s="238" t="n"/>
      <c r="CE26" s="238" t="n"/>
      <c r="CF26" s="238" t="n"/>
      <c r="CG26" s="238" t="n"/>
      <c r="CH26" s="238" t="n"/>
      <c r="CI26" s="238" t="n"/>
      <c r="CJ26" s="238" t="n"/>
      <c r="CK26" s="238" t="n"/>
      <c r="CL26" s="238" t="n"/>
      <c r="CM26" s="238" t="n"/>
      <c r="CN26" s="238" t="n"/>
      <c r="CO26" s="238" t="n"/>
      <c r="CP26" s="238" t="n"/>
      <c r="CQ26" s="238" t="n"/>
      <c r="CR26" s="238" t="n"/>
      <c r="CS26" s="238" t="n"/>
      <c r="CT26" s="238" t="n"/>
      <c r="CU26" s="238" t="n"/>
      <c r="CV26" s="238" t="n"/>
      <c r="CW26" s="238" t="n"/>
      <c r="CX26" s="238" t="n"/>
      <c r="CY26" s="238" t="n"/>
      <c r="CZ26" s="238" t="n"/>
      <c r="DA26" s="238" t="n"/>
      <c r="DB26" s="238" t="n"/>
      <c r="DC26" s="238" t="n"/>
      <c r="DD26" s="238" t="n"/>
      <c r="DE26" s="238" t="n"/>
      <c r="DF26" s="238" t="n"/>
      <c r="DG26" s="238" t="n"/>
      <c r="DH26" s="238" t="n"/>
      <c r="DI26" s="238" t="n"/>
      <c r="DJ26" s="238" t="n"/>
      <c r="DK26" s="238" t="n"/>
      <c r="DL26" s="238" t="n"/>
      <c r="DM26" s="238" t="n"/>
      <c r="DN26" s="238" t="n"/>
      <c r="DO26" s="238" t="n"/>
      <c r="DP26" s="238" t="n"/>
      <c r="DQ26" s="238" t="n"/>
      <c r="DR26" s="238" t="n"/>
      <c r="DS26" s="238" t="n"/>
      <c r="DT26" s="238" t="n"/>
      <c r="DU26" s="238" t="n"/>
      <c r="DV26" s="238" t="n"/>
      <c r="DW26" s="238" t="n"/>
      <c r="DX26" s="238" t="n"/>
      <c r="DY26" s="238" t="n"/>
      <c r="DZ26" s="23" t="n"/>
      <c r="FQ26" s="212" t="n"/>
      <c r="FR26" s="212" t="n"/>
      <c r="FS26" s="212" t="n"/>
      <c r="FT26" s="212" t="n"/>
      <c r="FU26" s="212" t="n"/>
      <c r="FV26" s="212" t="n"/>
      <c r="FW26" s="212" t="n"/>
      <c r="FX26" s="212" t="n"/>
      <c r="FY26" s="212" t="n"/>
      <c r="FZ26" s="212" t="n"/>
    </row>
    <row r="27" ht="39.95" customFormat="1" customHeight="1" s="5">
      <c r="A27" s="456" t="n"/>
      <c r="B27" s="8" t="n"/>
      <c r="C27" s="12" t="inlineStr">
        <is>
          <t>R</t>
        </is>
      </c>
      <c r="D27" s="435" t="n">
        <v>0.214</v>
      </c>
      <c r="E27" s="438" t="n">
        <v>0.227</v>
      </c>
      <c r="F27" s="438" t="n">
        <v>0.233</v>
      </c>
      <c r="G27" s="438" t="n">
        <v>0.221</v>
      </c>
      <c r="H27" s="441" t="n">
        <v>0.225</v>
      </c>
      <c r="I27" s="444" t="inlineStr">
        <is>
          <t>RF</t>
        </is>
      </c>
      <c r="J27" s="438" t="n">
        <v>0.28</v>
      </c>
      <c r="K27" s="438" t="n">
        <v>0.275</v>
      </c>
      <c r="L27" s="438" t="n">
        <v>0.264</v>
      </c>
      <c r="M27" s="441" t="n">
        <v>0.264</v>
      </c>
      <c r="N27" s="444" t="n">
        <v>0.25</v>
      </c>
      <c r="O27" s="438" t="n">
        <v>0.217</v>
      </c>
      <c r="P27" s="438" t="n">
        <v>0.218</v>
      </c>
      <c r="Q27" s="438" t="n">
        <v>0.232</v>
      </c>
      <c r="R27" s="441" t="n">
        <v>0.209</v>
      </c>
      <c r="S27" s="444" t="n">
        <v>0.206</v>
      </c>
      <c r="T27" s="438" t="n">
        <v>0.196</v>
      </c>
      <c r="U27" s="438" t="n">
        <v>0.199</v>
      </c>
      <c r="V27" s="438" t="n">
        <v>0.207</v>
      </c>
      <c r="W27" s="441" t="n">
        <v>0.202</v>
      </c>
      <c r="X27" s="444" t="n">
        <v>0.209</v>
      </c>
      <c r="Y27" s="438" t="n">
        <v>0.213</v>
      </c>
      <c r="Z27" s="438" t="n">
        <v>0.197</v>
      </c>
      <c r="AA27" s="438" t="n">
        <v>0.195</v>
      </c>
      <c r="AB27" s="441" t="n">
        <v>0.224</v>
      </c>
      <c r="AC27" s="444" t="n">
        <v>0.196</v>
      </c>
      <c r="AD27" s="438" t="n">
        <v>0.199</v>
      </c>
      <c r="AE27" s="438" t="n">
        <v>0.222</v>
      </c>
      <c r="AF27" s="438" t="n">
        <v>0.185</v>
      </c>
      <c r="AG27" s="441" t="n">
        <v>0.204</v>
      </c>
      <c r="AH27" s="444" t="n">
        <v>0.203</v>
      </c>
      <c r="AI27" s="438" t="n">
        <v>0.215</v>
      </c>
      <c r="AJ27" s="438" t="n">
        <v>0.222</v>
      </c>
      <c r="AK27" s="438" t="n">
        <v>0.225</v>
      </c>
      <c r="AL27" s="441" t="n">
        <v>0.225</v>
      </c>
      <c r="AM27" s="444" t="n">
        <v>0.206</v>
      </c>
      <c r="AN27" s="438" t="n">
        <v>0.195</v>
      </c>
      <c r="AO27" s="438" t="n">
        <v>0.183</v>
      </c>
      <c r="AP27" s="438" t="n">
        <v>0.203</v>
      </c>
      <c r="AQ27" s="441" t="n">
        <v>0.221</v>
      </c>
      <c r="AR27" s="444" t="n">
        <v>0.197</v>
      </c>
      <c r="AS27" s="438" t="n">
        <v>0.18</v>
      </c>
      <c r="AT27" s="438" t="n">
        <v>0.189</v>
      </c>
      <c r="AU27" s="438" t="n">
        <v>0.19</v>
      </c>
      <c r="AV27" s="441" t="n">
        <v>0.189</v>
      </c>
      <c r="AW27" s="444" t="n">
        <v>0.194</v>
      </c>
      <c r="AX27" s="438" t="n">
        <v>0.197</v>
      </c>
      <c r="AY27" s="438" t="n">
        <v>0.203</v>
      </c>
      <c r="AZ27" s="438" t="n">
        <v>0.193</v>
      </c>
      <c r="BA27" s="441" t="n">
        <v>0.203</v>
      </c>
      <c r="BB27" s="444" t="n">
        <v>0.197</v>
      </c>
      <c r="BC27" s="438" t="n">
        <v>0.196</v>
      </c>
      <c r="BD27" s="438" t="n">
        <v>0.21</v>
      </c>
      <c r="BE27" s="438" t="n">
        <v>0.206</v>
      </c>
      <c r="BF27" s="441" t="n">
        <v>0.212</v>
      </c>
      <c r="BG27" s="444" t="n">
        <v>0.211</v>
      </c>
      <c r="BH27" s="438" t="n">
        <v>0.216</v>
      </c>
      <c r="BI27" s="438" t="n">
        <v>0.21</v>
      </c>
      <c r="BJ27" s="438" t="n">
        <v>0.208</v>
      </c>
      <c r="BK27" s="441" t="n">
        <v>0.228</v>
      </c>
      <c r="BL27" s="444" t="n">
        <v>0.22</v>
      </c>
      <c r="BM27" s="438" t="n">
        <v>0.217</v>
      </c>
      <c r="BN27" s="438" t="n">
        <v>0.22</v>
      </c>
      <c r="BO27" s="438" t="n">
        <v>0.22</v>
      </c>
      <c r="BP27" s="441" t="n">
        <v>0.227</v>
      </c>
      <c r="BQ27" s="444" t="n">
        <v>0.223</v>
      </c>
      <c r="BR27" s="438" t="n">
        <v>0.227</v>
      </c>
      <c r="BS27" s="438" t="n">
        <v>0.243</v>
      </c>
      <c r="BT27" s="441" t="inlineStr">
        <is>
          <t>RF</t>
        </is>
      </c>
      <c r="BU27" s="457" t="n"/>
      <c r="BV27" s="457" t="n"/>
      <c r="BW27" s="238" t="n"/>
      <c r="BX27" s="238" t="n"/>
      <c r="BY27" s="238" t="n"/>
      <c r="BZ27" s="238" t="n"/>
      <c r="CA27" s="238" t="n"/>
      <c r="CB27" s="238" t="n"/>
      <c r="CC27" s="238" t="n"/>
      <c r="CD27" s="238" t="n"/>
      <c r="CE27" s="238" t="n"/>
      <c r="CF27" s="238" t="n"/>
      <c r="CG27" s="238" t="n"/>
      <c r="CH27" s="238" t="n"/>
      <c r="CI27" s="238" t="n"/>
      <c r="CJ27" s="238" t="n"/>
      <c r="CK27" s="238" t="n"/>
      <c r="CL27" s="238" t="n"/>
      <c r="CM27" s="238" t="n"/>
      <c r="CN27" s="238" t="n"/>
      <c r="CO27" s="238" t="n"/>
      <c r="CP27" s="238" t="n"/>
      <c r="CQ27" s="238" t="n"/>
      <c r="CR27" s="238" t="n"/>
      <c r="CS27" s="238" t="n"/>
      <c r="CT27" s="238" t="n"/>
      <c r="CU27" s="238" t="n"/>
      <c r="CV27" s="238" t="n"/>
      <c r="CW27" s="238" t="n"/>
      <c r="CX27" s="238" t="n"/>
      <c r="CY27" s="238" t="n"/>
      <c r="CZ27" s="238" t="n"/>
      <c r="DA27" s="238" t="n"/>
      <c r="DB27" s="238" t="n"/>
      <c r="DC27" s="238" t="n"/>
      <c r="DD27" s="238" t="n"/>
      <c r="DE27" s="238" t="n"/>
      <c r="DF27" s="238" t="n"/>
      <c r="DG27" s="238" t="n"/>
      <c r="DH27" s="238" t="n"/>
      <c r="DI27" s="238" t="n"/>
      <c r="DJ27" s="238" t="n"/>
      <c r="DK27" s="238" t="n"/>
      <c r="DL27" s="238" t="n"/>
      <c r="DM27" s="238" t="n"/>
      <c r="DN27" s="238" t="n"/>
      <c r="DO27" s="238" t="n"/>
      <c r="DP27" s="238" t="n"/>
      <c r="DQ27" s="238" t="n"/>
      <c r="DR27" s="238" t="n"/>
      <c r="DS27" s="238" t="n"/>
      <c r="DT27" s="238" t="n"/>
      <c r="DU27" s="238" t="n"/>
      <c r="DV27" s="238" t="n"/>
      <c r="DW27" s="238" t="n"/>
      <c r="DX27" s="238" t="n"/>
      <c r="DY27" s="238" t="n"/>
      <c r="DZ27" s="23" t="n"/>
      <c r="FQ27" s="212" t="n"/>
      <c r="FR27" s="212" t="n"/>
      <c r="FS27" s="212" t="n"/>
      <c r="FT27" s="212" t="n"/>
      <c r="FU27" s="212" t="n"/>
      <c r="FV27" s="212" t="n"/>
      <c r="FW27" s="212" t="n"/>
      <c r="FX27" s="212" t="n"/>
      <c r="FY27" s="212" t="n"/>
      <c r="FZ27" s="212" t="n"/>
    </row>
    <row r="28" ht="39.95" customFormat="1" customHeight="1" s="5">
      <c r="A28" s="10" t="inlineStr">
        <is>
          <t>A</t>
        </is>
      </c>
      <c r="B28" s="6" t="inlineStr">
        <is>
          <t>POSITION 'A'</t>
        </is>
      </c>
      <c r="C28" s="11" t="inlineStr">
        <is>
          <t>L</t>
        </is>
      </c>
      <c r="D28" s="433" t="inlineStr"/>
      <c r="E28" s="436" t="inlineStr"/>
      <c r="F28" s="436" t="inlineStr"/>
      <c r="G28" s="436" t="n">
        <v>0.215</v>
      </c>
      <c r="H28" s="439" t="n">
        <v>0.218</v>
      </c>
      <c r="I28" s="442" t="n">
        <v>0.263</v>
      </c>
      <c r="J28" s="436" t="n">
        <v>0.259</v>
      </c>
      <c r="K28" s="436" t="n">
        <v>0.275</v>
      </c>
      <c r="L28" s="436" t="n">
        <v>0.272</v>
      </c>
      <c r="M28" s="439" t="n">
        <v>0.271</v>
      </c>
      <c r="N28" s="442" t="n">
        <v>0.265</v>
      </c>
      <c r="O28" s="436" t="n">
        <v>0.213</v>
      </c>
      <c r="P28" s="436" t="n">
        <v>0.207</v>
      </c>
      <c r="Q28" s="436" t="inlineStr"/>
      <c r="R28" s="439" t="inlineStr"/>
      <c r="S28" s="442" t="inlineStr"/>
      <c r="T28" s="436" t="inlineStr"/>
      <c r="U28" s="436" t="inlineStr"/>
      <c r="V28" s="436" t="inlineStr"/>
      <c r="W28" s="439" t="inlineStr"/>
      <c r="X28" s="442" t="inlineStr"/>
      <c r="Y28" s="436" t="inlineStr"/>
      <c r="Z28" s="436" t="inlineStr"/>
      <c r="AA28" s="436" t="inlineStr"/>
      <c r="AB28" s="439" t="inlineStr"/>
      <c r="AC28" s="442" t="inlineStr"/>
      <c r="AD28" s="436" t="inlineStr"/>
      <c r="AE28" s="436" t="inlineStr"/>
      <c r="AF28" s="436" t="inlineStr"/>
      <c r="AG28" s="439" t="inlineStr"/>
      <c r="AH28" s="442" t="inlineStr"/>
      <c r="AI28" s="436" t="n">
        <v>0.194</v>
      </c>
      <c r="AJ28" s="436" t="n">
        <v>0.215</v>
      </c>
      <c r="AK28" s="436" t="n">
        <v>0.218</v>
      </c>
      <c r="AL28" s="439" t="n">
        <v>0.213</v>
      </c>
      <c r="AM28" s="442" t="n">
        <v>0.214</v>
      </c>
      <c r="AN28" s="436" t="n">
        <v>0.21</v>
      </c>
      <c r="AO28" s="436" t="inlineStr"/>
      <c r="AP28" s="436" t="inlineStr"/>
      <c r="AQ28" s="439" t="inlineStr"/>
      <c r="AR28" s="442" t="inlineStr"/>
      <c r="AS28" s="436" t="inlineStr"/>
      <c r="AT28" s="436" t="inlineStr"/>
      <c r="AU28" s="436" t="inlineStr"/>
      <c r="AV28" s="439" t="inlineStr"/>
      <c r="AW28" s="442" t="inlineStr"/>
      <c r="AX28" s="436" t="inlineStr"/>
      <c r="AY28" s="436" t="inlineStr"/>
      <c r="AZ28" s="436" t="inlineStr"/>
      <c r="BA28" s="439" t="inlineStr"/>
      <c r="BB28" s="442" t="inlineStr"/>
      <c r="BC28" s="436" t="inlineStr"/>
      <c r="BD28" s="436" t="inlineStr"/>
      <c r="BE28" s="436" t="inlineStr"/>
      <c r="BF28" s="439" t="inlineStr"/>
      <c r="BG28" s="442" t="inlineStr"/>
      <c r="BH28" s="436" t="inlineStr"/>
      <c r="BI28" s="436" t="inlineStr"/>
      <c r="BJ28" s="436" t="inlineStr"/>
      <c r="BK28" s="439" t="inlineStr"/>
      <c r="BL28" s="442" t="inlineStr"/>
      <c r="BM28" s="436" t="inlineStr"/>
      <c r="BN28" s="436" t="inlineStr"/>
      <c r="BO28" s="436" t="inlineStr"/>
      <c r="BP28" s="439" t="inlineStr"/>
      <c r="BQ28" s="442" t="inlineStr"/>
      <c r="BR28" s="436" t="inlineStr"/>
      <c r="BS28" s="436" t="inlineStr"/>
      <c r="BT28" s="439" t="inlineStr"/>
      <c r="BU28" s="454">
        <f>IFERROR(AVERAGE(D28:BT30),0)</f>
        <v/>
      </c>
      <c r="BV28" s="454">
        <f>MIN(D28:BT30)</f>
        <v/>
      </c>
      <c r="BW28" s="238" t="n"/>
      <c r="BX28" s="238" t="n"/>
      <c r="BY28" s="238" t="n"/>
      <c r="BZ28" s="238" t="n"/>
      <c r="CA28" s="238" t="n"/>
      <c r="CB28" s="238" t="n"/>
      <c r="CC28" s="238" t="n"/>
      <c r="CD28" s="238" t="n"/>
      <c r="CE28" s="238" t="n"/>
      <c r="CF28" s="238" t="n"/>
      <c r="CG28" s="238" t="n"/>
      <c r="CH28" s="238" t="n"/>
      <c r="CI28" s="238" t="n"/>
      <c r="CJ28" s="238" t="n"/>
      <c r="CK28" s="238" t="n"/>
      <c r="CL28" s="238" t="n"/>
      <c r="CM28" s="238" t="n"/>
      <c r="CN28" s="238" t="n"/>
      <c r="CO28" s="238" t="n"/>
      <c r="CP28" s="238" t="n"/>
      <c r="CQ28" s="238" t="n"/>
      <c r="CR28" s="238" t="n"/>
      <c r="CS28" s="238" t="n"/>
      <c r="CT28" s="238" t="n"/>
      <c r="CU28" s="238" t="n"/>
      <c r="CV28" s="238" t="n"/>
      <c r="CW28" s="238" t="n"/>
      <c r="CX28" s="238" t="n"/>
      <c r="CY28" s="238" t="n"/>
      <c r="CZ28" s="238" t="n"/>
      <c r="DA28" s="238" t="n"/>
      <c r="DB28" s="238" t="n"/>
      <c r="DC28" s="238" t="n"/>
      <c r="DD28" s="238" t="n"/>
      <c r="DE28" s="238" t="n"/>
      <c r="DF28" s="238" t="n"/>
      <c r="DG28" s="238" t="n"/>
      <c r="DH28" s="238" t="n"/>
      <c r="DI28" s="238" t="n"/>
      <c r="DJ28" s="238" t="n"/>
      <c r="DK28" s="238" t="n"/>
      <c r="DL28" s="238" t="n"/>
      <c r="DM28" s="238" t="n"/>
      <c r="DN28" s="238" t="n"/>
      <c r="DO28" s="238" t="n"/>
      <c r="DP28" s="238" t="n"/>
      <c r="DQ28" s="238" t="n"/>
      <c r="DR28" s="238" t="n"/>
      <c r="DS28" s="238" t="n"/>
      <c r="DT28" s="238" t="n"/>
      <c r="DU28" s="238" t="n"/>
      <c r="DV28" s="238" t="n"/>
      <c r="DW28" s="238" t="n"/>
      <c r="DX28" s="238" t="n"/>
      <c r="DY28" s="238" t="n"/>
      <c r="DZ28" s="23" t="n"/>
    </row>
    <row r="29" ht="39.95" customFormat="1" customHeight="1" s="5">
      <c r="A29" s="182" t="n">
        <v>0.083</v>
      </c>
      <c r="B29" s="7" t="inlineStr">
        <is>
          <t>OF THE MANWAY</t>
        </is>
      </c>
      <c r="C29" s="11" t="inlineStr">
        <is>
          <t>C</t>
        </is>
      </c>
      <c r="D29" s="434" t="inlineStr"/>
      <c r="E29" s="437" t="inlineStr"/>
      <c r="F29" s="437" t="inlineStr"/>
      <c r="G29" s="437" t="n">
        <v>0.215</v>
      </c>
      <c r="H29" s="440" t="n">
        <v>0.206</v>
      </c>
      <c r="I29" s="443" t="n">
        <v>0.265</v>
      </c>
      <c r="J29" s="437" t="n">
        <v>0.279</v>
      </c>
      <c r="K29" s="437" t="n">
        <v>0.261</v>
      </c>
      <c r="L29" s="437" t="n">
        <v>0.26</v>
      </c>
      <c r="M29" s="440" t="n">
        <v>0.272</v>
      </c>
      <c r="N29" s="443" t="n">
        <v>0.279</v>
      </c>
      <c r="O29" s="437" t="n">
        <v>0.205</v>
      </c>
      <c r="P29" s="437" t="n">
        <v>0.207</v>
      </c>
      <c r="Q29" s="437" t="inlineStr"/>
      <c r="R29" s="440" t="inlineStr"/>
      <c r="S29" s="443" t="inlineStr"/>
      <c r="T29" s="437" t="inlineStr"/>
      <c r="U29" s="437" t="inlineStr"/>
      <c r="V29" s="437" t="inlineStr"/>
      <c r="W29" s="440" t="inlineStr"/>
      <c r="X29" s="443" t="inlineStr"/>
      <c r="Y29" s="437" t="inlineStr"/>
      <c r="Z29" s="437" t="inlineStr"/>
      <c r="AA29" s="437" t="inlineStr"/>
      <c r="AB29" s="440" t="inlineStr"/>
      <c r="AC29" s="443" t="inlineStr"/>
      <c r="AD29" s="437" t="inlineStr"/>
      <c r="AE29" s="437" t="inlineStr"/>
      <c r="AF29" s="437" t="inlineStr"/>
      <c r="AG29" s="440" t="inlineStr"/>
      <c r="AH29" s="443" t="inlineStr"/>
      <c r="AI29" s="437" t="n">
        <v>0.203</v>
      </c>
      <c r="AJ29" s="437" t="n">
        <v>0.216</v>
      </c>
      <c r="AK29" s="437" t="n">
        <v>0.223</v>
      </c>
      <c r="AL29" s="440" t="n">
        <v>0.22</v>
      </c>
      <c r="AM29" s="443" t="n">
        <v>0.236</v>
      </c>
      <c r="AN29" s="437" t="n">
        <v>0.185</v>
      </c>
      <c r="AO29" s="437" t="inlineStr"/>
      <c r="AP29" s="437" t="inlineStr"/>
      <c r="AQ29" s="440" t="inlineStr"/>
      <c r="AR29" s="443" t="inlineStr"/>
      <c r="AS29" s="437" t="inlineStr"/>
      <c r="AT29" s="437" t="inlineStr"/>
      <c r="AU29" s="437" t="inlineStr"/>
      <c r="AV29" s="440" t="inlineStr"/>
      <c r="AW29" s="443" t="inlineStr"/>
      <c r="AX29" s="437" t="inlineStr"/>
      <c r="AY29" s="437" t="inlineStr"/>
      <c r="AZ29" s="437" t="inlineStr"/>
      <c r="BA29" s="440" t="inlineStr"/>
      <c r="BB29" s="443" t="inlineStr"/>
      <c r="BC29" s="437" t="inlineStr"/>
      <c r="BD29" s="437" t="inlineStr"/>
      <c r="BE29" s="437" t="inlineStr"/>
      <c r="BF29" s="440" t="inlineStr"/>
      <c r="BG29" s="443" t="inlineStr"/>
      <c r="BH29" s="437" t="inlineStr"/>
      <c r="BI29" s="437" t="inlineStr"/>
      <c r="BJ29" s="437" t="inlineStr"/>
      <c r="BK29" s="440" t="inlineStr"/>
      <c r="BL29" s="443" t="inlineStr"/>
      <c r="BM29" s="437" t="inlineStr"/>
      <c r="BN29" s="437" t="inlineStr"/>
      <c r="BO29" s="437" t="inlineStr"/>
      <c r="BP29" s="440" t="inlineStr"/>
      <c r="BQ29" s="443" t="inlineStr"/>
      <c r="BR29" s="437" t="inlineStr"/>
      <c r="BS29" s="437" t="inlineStr"/>
      <c r="BT29" s="440" t="inlineStr"/>
      <c r="BU29" s="455" t="n"/>
      <c r="BV29" s="455" t="n"/>
      <c r="BW29" s="238" t="n"/>
      <c r="BX29" s="238" t="n"/>
      <c r="BY29" s="238" t="n"/>
      <c r="BZ29" s="238" t="n"/>
      <c r="CA29" s="238" t="n"/>
      <c r="CB29" s="238" t="n"/>
      <c r="CC29" s="238" t="n"/>
      <c r="CD29" s="238" t="n"/>
      <c r="CE29" s="238" t="n"/>
      <c r="CF29" s="238" t="n"/>
      <c r="CG29" s="238" t="n"/>
      <c r="CH29" s="238" t="n"/>
      <c r="CI29" s="238" t="n"/>
      <c r="CJ29" s="238" t="n"/>
      <c r="CK29" s="238" t="n"/>
      <c r="CL29" s="238" t="n"/>
      <c r="CM29" s="238" t="n"/>
      <c r="CN29" s="238" t="n"/>
      <c r="CO29" s="238" t="n"/>
      <c r="CP29" s="238" t="n"/>
      <c r="CQ29" s="238" t="n"/>
      <c r="CR29" s="238" t="n"/>
      <c r="CS29" s="238" t="n"/>
      <c r="CT29" s="238" t="n"/>
      <c r="CU29" s="238" t="n"/>
      <c r="CV29" s="238" t="n"/>
      <c r="CW29" s="238" t="n"/>
      <c r="CX29" s="238" t="n"/>
      <c r="CY29" s="238" t="n"/>
      <c r="CZ29" s="238" t="n"/>
      <c r="DA29" s="238" t="n"/>
      <c r="DB29" s="238" t="n"/>
      <c r="DC29" s="238" t="n"/>
      <c r="DD29" s="238" t="n"/>
      <c r="DE29" s="238" t="n"/>
      <c r="DF29" s="238" t="n"/>
      <c r="DG29" s="238" t="n"/>
      <c r="DH29" s="238" t="n"/>
      <c r="DI29" s="238" t="n"/>
      <c r="DJ29" s="238" t="n"/>
      <c r="DK29" s="238" t="n"/>
      <c r="DL29" s="238" t="n"/>
      <c r="DM29" s="238" t="n"/>
      <c r="DN29" s="238" t="n"/>
      <c r="DO29" s="238" t="n"/>
      <c r="DP29" s="238" t="n"/>
      <c r="DQ29" s="238" t="n"/>
      <c r="DR29" s="238" t="n"/>
      <c r="DS29" s="238" t="n"/>
      <c r="DT29" s="238" t="n"/>
      <c r="DU29" s="238" t="n"/>
      <c r="DV29" s="238" t="n"/>
      <c r="DW29" s="238" t="n"/>
      <c r="DX29" s="238" t="n"/>
      <c r="DY29" s="238" t="n"/>
      <c r="DZ29" s="23" t="n"/>
      <c r="FQ29" s="212" t="n"/>
      <c r="FR29" s="212" t="n"/>
      <c r="FS29" s="212" t="n"/>
      <c r="FT29" s="212" t="n"/>
      <c r="FU29" s="212" t="n"/>
      <c r="FV29" s="212" t="n"/>
      <c r="FW29" s="212" t="n"/>
      <c r="FX29" s="212" t="n"/>
      <c r="FY29" s="212" t="n"/>
      <c r="FZ29" s="212" t="n"/>
    </row>
    <row r="30" ht="39.95" customFormat="1" customHeight="1" s="5">
      <c r="A30" s="456" t="n"/>
      <c r="B30" s="8" t="inlineStr">
        <is>
          <t>&amp; OSCILLATOR</t>
        </is>
      </c>
      <c r="C30" s="12" t="inlineStr">
        <is>
          <t>R</t>
        </is>
      </c>
      <c r="D30" s="435" t="inlineStr"/>
      <c r="E30" s="438" t="inlineStr"/>
      <c r="F30" s="438" t="inlineStr"/>
      <c r="G30" s="438" t="n">
        <v>0.223</v>
      </c>
      <c r="H30" s="441" t="n">
        <v>0.216</v>
      </c>
      <c r="I30" s="444" t="n">
        <v>0.268</v>
      </c>
      <c r="J30" s="438" t="n">
        <v>0.263</v>
      </c>
      <c r="K30" s="438" t="n">
        <v>0.267</v>
      </c>
      <c r="L30" s="438" t="n">
        <v>0.276</v>
      </c>
      <c r="M30" s="441" t="n">
        <v>0.26</v>
      </c>
      <c r="N30" s="444" t="n">
        <v>0.279</v>
      </c>
      <c r="O30" s="438" t="n">
        <v>0.203</v>
      </c>
      <c r="P30" s="438" t="n">
        <v>0.211</v>
      </c>
      <c r="Q30" s="438" t="inlineStr"/>
      <c r="R30" s="441" t="inlineStr"/>
      <c r="S30" s="444" t="inlineStr"/>
      <c r="T30" s="438" t="inlineStr"/>
      <c r="U30" s="438" t="inlineStr"/>
      <c r="V30" s="438" t="inlineStr"/>
      <c r="W30" s="441" t="inlineStr"/>
      <c r="X30" s="444" t="inlineStr"/>
      <c r="Y30" s="438" t="inlineStr"/>
      <c r="Z30" s="438" t="inlineStr"/>
      <c r="AA30" s="438" t="inlineStr"/>
      <c r="AB30" s="441" t="inlineStr"/>
      <c r="AC30" s="444" t="inlineStr"/>
      <c r="AD30" s="438" t="inlineStr"/>
      <c r="AE30" s="438" t="inlineStr"/>
      <c r="AF30" s="438" t="inlineStr"/>
      <c r="AG30" s="441" t="inlineStr"/>
      <c r="AH30" s="444" t="inlineStr"/>
      <c r="AI30" s="438" t="n">
        <v>0.222</v>
      </c>
      <c r="AJ30" s="438" t="n">
        <v>0.21</v>
      </c>
      <c r="AK30" s="438" t="n">
        <v>0.219</v>
      </c>
      <c r="AL30" s="441" t="n">
        <v>0.216</v>
      </c>
      <c r="AM30" s="444" t="n">
        <v>0.229</v>
      </c>
      <c r="AN30" s="438" t="n">
        <v>0.179</v>
      </c>
      <c r="AO30" s="438" t="inlineStr"/>
      <c r="AP30" s="438" t="inlineStr"/>
      <c r="AQ30" s="441" t="inlineStr"/>
      <c r="AR30" s="444" t="inlineStr"/>
      <c r="AS30" s="438" t="inlineStr"/>
      <c r="AT30" s="438" t="inlineStr"/>
      <c r="AU30" s="438" t="inlineStr"/>
      <c r="AV30" s="441" t="inlineStr"/>
      <c r="AW30" s="444" t="inlineStr"/>
      <c r="AX30" s="438" t="inlineStr"/>
      <c r="AY30" s="438" t="inlineStr"/>
      <c r="AZ30" s="438" t="inlineStr"/>
      <c r="BA30" s="441" t="inlineStr"/>
      <c r="BB30" s="444" t="inlineStr"/>
      <c r="BC30" s="438" t="inlineStr"/>
      <c r="BD30" s="438" t="inlineStr"/>
      <c r="BE30" s="438" t="inlineStr"/>
      <c r="BF30" s="441" t="inlineStr"/>
      <c r="BG30" s="444" t="inlineStr"/>
      <c r="BH30" s="438" t="inlineStr"/>
      <c r="BI30" s="438" t="inlineStr"/>
      <c r="BJ30" s="438" t="inlineStr"/>
      <c r="BK30" s="441" t="inlineStr"/>
      <c r="BL30" s="444" t="inlineStr"/>
      <c r="BM30" s="438" t="inlineStr"/>
      <c r="BN30" s="438" t="inlineStr"/>
      <c r="BO30" s="438" t="inlineStr"/>
      <c r="BP30" s="441" t="inlineStr"/>
      <c r="BQ30" s="444" t="inlineStr"/>
      <c r="BR30" s="438" t="inlineStr"/>
      <c r="BS30" s="438" t="inlineStr"/>
      <c r="BT30" s="441" t="inlineStr"/>
      <c r="BU30" s="457" t="n"/>
      <c r="BV30" s="457" t="n"/>
      <c r="BW30" s="238" t="n"/>
      <c r="BX30" s="238" t="n"/>
      <c r="BY30" s="238" t="n"/>
      <c r="BZ30" s="238" t="n"/>
      <c r="CA30" s="238" t="n"/>
      <c r="CB30" s="238" t="n"/>
      <c r="CC30" s="238" t="n"/>
      <c r="CD30" s="238" t="n"/>
      <c r="CE30" s="238" t="n"/>
      <c r="CF30" s="238" t="n"/>
      <c r="CG30" s="238" t="n"/>
      <c r="CH30" s="238" t="n"/>
      <c r="CI30" s="238" t="n"/>
      <c r="CJ30" s="238" t="n"/>
      <c r="CK30" s="238" t="n"/>
      <c r="CL30" s="238" t="n"/>
      <c r="CM30" s="238" t="n"/>
      <c r="CN30" s="238" t="n"/>
      <c r="CO30" s="238" t="n"/>
      <c r="CP30" s="238" t="n"/>
      <c r="CQ30" s="238" t="n"/>
      <c r="CR30" s="238" t="n"/>
      <c r="CS30" s="238" t="n"/>
      <c r="CT30" s="238" t="n"/>
      <c r="CU30" s="238" t="n"/>
      <c r="CV30" s="238" t="n"/>
      <c r="CW30" s="238" t="n"/>
      <c r="CX30" s="238" t="n"/>
      <c r="CY30" s="238" t="n"/>
      <c r="CZ30" s="238" t="n"/>
      <c r="DA30" s="238" t="n"/>
      <c r="DB30" s="238" t="n"/>
      <c r="DC30" s="238" t="n"/>
      <c r="DD30" s="238" t="n"/>
      <c r="DE30" s="238" t="n"/>
      <c r="DF30" s="238" t="n"/>
      <c r="DG30" s="238" t="n"/>
      <c r="DH30" s="238" t="n"/>
      <c r="DI30" s="238" t="n"/>
      <c r="DJ30" s="238" t="n"/>
      <c r="DK30" s="238" t="n"/>
      <c r="DL30" s="238" t="n"/>
      <c r="DM30" s="238" t="n"/>
      <c r="DN30" s="238" t="n"/>
      <c r="DO30" s="238" t="n"/>
      <c r="DP30" s="238" t="n"/>
      <c r="DQ30" s="238" t="n"/>
      <c r="DR30" s="238" t="n"/>
      <c r="DS30" s="238" t="n"/>
      <c r="DT30" s="238" t="n"/>
      <c r="DU30" s="238" t="n"/>
      <c r="DV30" s="238" t="n"/>
      <c r="DW30" s="238" t="n"/>
      <c r="DX30" s="238" t="n"/>
      <c r="DY30" s="238" t="n"/>
      <c r="DZ30" s="23" t="n"/>
      <c r="FQ30" s="212" t="n"/>
      <c r="FR30" s="212" t="n"/>
      <c r="FS30" s="212" t="n"/>
      <c r="FT30" s="212" t="n"/>
      <c r="FU30" s="212" t="n"/>
      <c r="FV30" s="212" t="n"/>
      <c r="FW30" s="212" t="n"/>
      <c r="FX30" s="212" t="n"/>
      <c r="FY30" s="212" t="n"/>
      <c r="FZ30" s="212" t="n"/>
    </row>
    <row r="31" ht="39.95" customFormat="1" customHeight="1" s="5">
      <c r="A31" s="10" t="inlineStr">
        <is>
          <t>A</t>
        </is>
      </c>
      <c r="B31" s="6" t="inlineStr">
        <is>
          <t>POSITION 'B'</t>
        </is>
      </c>
      <c r="C31" s="11" t="inlineStr">
        <is>
          <t>L</t>
        </is>
      </c>
      <c r="D31" s="433" t="inlineStr"/>
      <c r="E31" s="436" t="inlineStr"/>
      <c r="F31" s="436" t="inlineStr"/>
      <c r="G31" s="436" t="n">
        <v>0.22</v>
      </c>
      <c r="H31" s="439" t="n">
        <v>0.209</v>
      </c>
      <c r="I31" s="442" t="inlineStr">
        <is>
          <t>RT</t>
        </is>
      </c>
      <c r="J31" s="436" t="n">
        <v>0.283</v>
      </c>
      <c r="K31" s="436" t="n">
        <v>0.268</v>
      </c>
      <c r="L31" s="436" t="n">
        <v>0.293</v>
      </c>
      <c r="M31" s="439" t="n">
        <v>0.266</v>
      </c>
      <c r="N31" s="442" t="inlineStr">
        <is>
          <t>RT</t>
        </is>
      </c>
      <c r="O31" s="436" t="n">
        <v>0.225</v>
      </c>
      <c r="P31" s="436" t="n">
        <v>0.224</v>
      </c>
      <c r="Q31" s="436" t="inlineStr"/>
      <c r="R31" s="439" t="inlineStr"/>
      <c r="S31" s="442" t="inlineStr"/>
      <c r="T31" s="436" t="inlineStr"/>
      <c r="U31" s="436" t="inlineStr"/>
      <c r="V31" s="436" t="inlineStr"/>
      <c r="W31" s="439" t="inlineStr"/>
      <c r="X31" s="442" t="inlineStr"/>
      <c r="Y31" s="436" t="inlineStr"/>
      <c r="Z31" s="436" t="inlineStr"/>
      <c r="AA31" s="436" t="inlineStr"/>
      <c r="AB31" s="439" t="inlineStr"/>
      <c r="AC31" s="442" t="inlineStr"/>
      <c r="AD31" s="436" t="inlineStr"/>
      <c r="AE31" s="436" t="inlineStr"/>
      <c r="AF31" s="436" t="inlineStr"/>
      <c r="AG31" s="439" t="inlineStr"/>
      <c r="AH31" s="442" t="inlineStr"/>
      <c r="AI31" s="436" t="n">
        <v>0.23</v>
      </c>
      <c r="AJ31" s="436" t="n">
        <v>0.22</v>
      </c>
      <c r="AK31" s="436" t="n">
        <v>0.229</v>
      </c>
      <c r="AL31" s="439" t="n">
        <v>0.219</v>
      </c>
      <c r="AM31" s="442" t="n">
        <v>0.217</v>
      </c>
      <c r="AN31" s="436" t="n">
        <v>0.203</v>
      </c>
      <c r="AO31" s="436" t="inlineStr"/>
      <c r="AP31" s="436" t="inlineStr"/>
      <c r="AQ31" s="439" t="inlineStr"/>
      <c r="AR31" s="442" t="inlineStr"/>
      <c r="AS31" s="436" t="inlineStr"/>
      <c r="AT31" s="436" t="inlineStr"/>
      <c r="AU31" s="436" t="inlineStr"/>
      <c r="AV31" s="439" t="inlineStr"/>
      <c r="AW31" s="442" t="inlineStr"/>
      <c r="AX31" s="436" t="inlineStr"/>
      <c r="AY31" s="436" t="inlineStr"/>
      <c r="AZ31" s="436" t="inlineStr"/>
      <c r="BA31" s="439" t="inlineStr"/>
      <c r="BB31" s="442" t="inlineStr"/>
      <c r="BC31" s="436" t="inlineStr"/>
      <c r="BD31" s="436" t="inlineStr"/>
      <c r="BE31" s="436" t="inlineStr"/>
      <c r="BF31" s="439" t="inlineStr"/>
      <c r="BG31" s="442" t="inlineStr"/>
      <c r="BH31" s="436" t="inlineStr"/>
      <c r="BI31" s="436" t="inlineStr"/>
      <c r="BJ31" s="436" t="inlineStr"/>
      <c r="BK31" s="439" t="inlineStr"/>
      <c r="BL31" s="442" t="inlineStr"/>
      <c r="BM31" s="436" t="inlineStr"/>
      <c r="BN31" s="436" t="inlineStr"/>
      <c r="BO31" s="436" t="inlineStr"/>
      <c r="BP31" s="439" t="inlineStr"/>
      <c r="BQ31" s="442" t="inlineStr"/>
      <c r="BR31" s="436" t="inlineStr"/>
      <c r="BS31" s="436" t="inlineStr"/>
      <c r="BT31" s="439" t="inlineStr"/>
      <c r="BU31" s="454">
        <f>IFERROR(AVERAGE(D31:BT33),0)</f>
        <v/>
      </c>
      <c r="BV31" s="454">
        <f>MIN(D31:BT33)</f>
        <v/>
      </c>
      <c r="BW31" s="238" t="n"/>
      <c r="BX31" s="238" t="n"/>
      <c r="BY31" s="238" t="n"/>
      <c r="BZ31" s="238" t="n"/>
      <c r="CA31" s="238" t="n"/>
      <c r="CB31" s="238" t="n"/>
      <c r="CC31" s="238" t="n"/>
      <c r="CD31" s="238" t="n"/>
      <c r="CE31" s="238" t="n"/>
      <c r="CF31" s="238" t="n"/>
      <c r="CG31" s="238" t="n"/>
      <c r="CH31" s="238" t="n"/>
      <c r="CI31" s="238" t="n"/>
      <c r="CJ31" s="238" t="n"/>
      <c r="CK31" s="238" t="n"/>
      <c r="CL31" s="238" t="n"/>
      <c r="CM31" s="238" t="n"/>
      <c r="CN31" s="238" t="n"/>
      <c r="CO31" s="238" t="n"/>
      <c r="CP31" s="238" t="n"/>
      <c r="CQ31" s="238" t="n"/>
      <c r="CR31" s="238" t="n"/>
      <c r="CS31" s="238" t="n"/>
      <c r="CT31" s="238" t="n"/>
      <c r="CU31" s="238" t="n"/>
      <c r="CV31" s="238" t="n"/>
      <c r="CW31" s="238" t="n"/>
      <c r="CX31" s="238" t="n"/>
      <c r="CY31" s="238" t="n"/>
      <c r="CZ31" s="238" t="n"/>
      <c r="DA31" s="238" t="n"/>
      <c r="DB31" s="238" t="n"/>
      <c r="DC31" s="238" t="n"/>
      <c r="DD31" s="238" t="n"/>
      <c r="DE31" s="238" t="n"/>
      <c r="DF31" s="238" t="n"/>
      <c r="DG31" s="238" t="n"/>
      <c r="DH31" s="238" t="n"/>
      <c r="DI31" s="238" t="n"/>
      <c r="DJ31" s="238" t="n"/>
      <c r="DK31" s="238" t="n"/>
      <c r="DL31" s="238" t="n"/>
      <c r="DM31" s="238" t="n"/>
      <c r="DN31" s="238" t="n"/>
      <c r="DO31" s="238" t="n"/>
      <c r="DP31" s="238" t="n"/>
      <c r="DQ31" s="238" t="n"/>
      <c r="DR31" s="238" t="n"/>
      <c r="DS31" s="238" t="n"/>
      <c r="DT31" s="238" t="n"/>
      <c r="DU31" s="238" t="n"/>
      <c r="DV31" s="238" t="n"/>
      <c r="DW31" s="238" t="n"/>
      <c r="DX31" s="238" t="n"/>
      <c r="DY31" s="238" t="n"/>
      <c r="DZ31" s="23" t="n"/>
      <c r="FQ31" s="212" t="n"/>
      <c r="FR31" s="212" t="n"/>
      <c r="FS31" s="212" t="n"/>
      <c r="FT31" s="212" t="n"/>
      <c r="FU31" s="212" t="n"/>
      <c r="FV31" s="212" t="n"/>
      <c r="FW31" s="212" t="n"/>
      <c r="FX31" s="212" t="n"/>
      <c r="FY31" s="212" t="n"/>
      <c r="FZ31" s="212" t="n"/>
    </row>
    <row r="32" ht="39.95" customFormat="1" customHeight="1" s="5">
      <c r="A32" s="182" t="n">
        <v>0.083</v>
      </c>
      <c r="B32" s="7" t="inlineStr">
        <is>
          <t>OF THE MANWAY</t>
        </is>
      </c>
      <c r="C32" s="11" t="inlineStr">
        <is>
          <t>C</t>
        </is>
      </c>
      <c r="D32" s="434" t="inlineStr"/>
      <c r="E32" s="437" t="inlineStr"/>
      <c r="F32" s="437" t="inlineStr"/>
      <c r="G32" s="437" t="n">
        <v>0.219</v>
      </c>
      <c r="H32" s="440" t="n">
        <v>0.207</v>
      </c>
      <c r="I32" s="443" t="inlineStr">
        <is>
          <t>RT</t>
        </is>
      </c>
      <c r="J32" s="437" t="n">
        <v>0.256</v>
      </c>
      <c r="K32" s="437" t="n">
        <v>0.25</v>
      </c>
      <c r="L32" s="437" t="n">
        <v>0.261</v>
      </c>
      <c r="M32" s="440" t="n">
        <v>0.252</v>
      </c>
      <c r="N32" s="443" t="inlineStr">
        <is>
          <t>RT</t>
        </is>
      </c>
      <c r="O32" s="437" t="n">
        <v>0.213</v>
      </c>
      <c r="P32" s="437" t="n">
        <v>0.228</v>
      </c>
      <c r="Q32" s="437" t="inlineStr"/>
      <c r="R32" s="440" t="inlineStr"/>
      <c r="S32" s="443" t="inlineStr"/>
      <c r="T32" s="437" t="inlineStr"/>
      <c r="U32" s="437" t="inlineStr"/>
      <c r="V32" s="437" t="inlineStr"/>
      <c r="W32" s="440" t="inlineStr"/>
      <c r="X32" s="443" t="inlineStr"/>
      <c r="Y32" s="437" t="inlineStr"/>
      <c r="Z32" s="437" t="inlineStr"/>
      <c r="AA32" s="437" t="inlineStr"/>
      <c r="AB32" s="440" t="inlineStr"/>
      <c r="AC32" s="443" t="inlineStr"/>
      <c r="AD32" s="437" t="inlineStr"/>
      <c r="AE32" s="437" t="inlineStr"/>
      <c r="AF32" s="437" t="inlineStr"/>
      <c r="AG32" s="440" t="inlineStr"/>
      <c r="AH32" s="443" t="inlineStr"/>
      <c r="AI32" s="437" t="n">
        <v>0.217</v>
      </c>
      <c r="AJ32" s="437" t="n">
        <v>0.22</v>
      </c>
      <c r="AK32" s="437" t="n">
        <v>0.226</v>
      </c>
      <c r="AL32" s="440" t="n">
        <v>0.222</v>
      </c>
      <c r="AM32" s="443" t="n">
        <v>0.214</v>
      </c>
      <c r="AN32" s="437" t="n">
        <v>0.197</v>
      </c>
      <c r="AO32" s="437" t="inlineStr"/>
      <c r="AP32" s="437" t="inlineStr"/>
      <c r="AQ32" s="440" t="inlineStr"/>
      <c r="AR32" s="443" t="inlineStr"/>
      <c r="AS32" s="437" t="inlineStr"/>
      <c r="AT32" s="437" t="inlineStr"/>
      <c r="AU32" s="437" t="inlineStr"/>
      <c r="AV32" s="440" t="inlineStr"/>
      <c r="AW32" s="443" t="inlineStr"/>
      <c r="AX32" s="437" t="inlineStr"/>
      <c r="AY32" s="437" t="inlineStr"/>
      <c r="AZ32" s="437" t="inlineStr"/>
      <c r="BA32" s="440" t="inlineStr"/>
      <c r="BB32" s="443" t="inlineStr"/>
      <c r="BC32" s="437" t="inlineStr"/>
      <c r="BD32" s="437" t="inlineStr"/>
      <c r="BE32" s="437" t="inlineStr"/>
      <c r="BF32" s="440" t="inlineStr"/>
      <c r="BG32" s="443" t="inlineStr"/>
      <c r="BH32" s="437" t="inlineStr"/>
      <c r="BI32" s="437" t="inlineStr"/>
      <c r="BJ32" s="437" t="inlineStr"/>
      <c r="BK32" s="440" t="inlineStr"/>
      <c r="BL32" s="443" t="inlineStr"/>
      <c r="BM32" s="437" t="inlineStr"/>
      <c r="BN32" s="437" t="inlineStr"/>
      <c r="BO32" s="437" t="inlineStr"/>
      <c r="BP32" s="440" t="inlineStr"/>
      <c r="BQ32" s="443" t="inlineStr"/>
      <c r="BR32" s="437" t="inlineStr"/>
      <c r="BS32" s="437" t="inlineStr"/>
      <c r="BT32" s="440" t="inlineStr"/>
      <c r="BU32" s="455" t="n"/>
      <c r="BV32" s="455" t="n"/>
      <c r="BW32" s="238" t="n"/>
      <c r="BX32" s="238" t="n"/>
      <c r="BY32" s="238" t="n"/>
      <c r="BZ32" s="238" t="n"/>
      <c r="CA32" s="238" t="n"/>
      <c r="CB32" s="238" t="n"/>
      <c r="CC32" s="238" t="n"/>
      <c r="CD32" s="238" t="n"/>
      <c r="CE32" s="238" t="n"/>
      <c r="CF32" s="238" t="n"/>
      <c r="CG32" s="238" t="n"/>
      <c r="CH32" s="238" t="n"/>
      <c r="CI32" s="238" t="n"/>
      <c r="CJ32" s="238" t="n"/>
      <c r="CK32" s="238" t="n"/>
      <c r="CL32" s="238" t="n"/>
      <c r="CM32" s="238" t="n"/>
      <c r="CN32" s="238" t="n"/>
      <c r="CO32" s="238" t="n"/>
      <c r="CP32" s="238" t="n"/>
      <c r="CQ32" s="238" t="n"/>
      <c r="CR32" s="238" t="n"/>
      <c r="CS32" s="238" t="n"/>
      <c r="CT32" s="238" t="n"/>
      <c r="CU32" s="238" t="n"/>
      <c r="CV32" s="238" t="n"/>
      <c r="CW32" s="238" t="n"/>
      <c r="CX32" s="238" t="n"/>
      <c r="CY32" s="238" t="n"/>
      <c r="CZ32" s="238" t="n"/>
      <c r="DA32" s="238" t="n"/>
      <c r="DB32" s="238" t="n"/>
      <c r="DC32" s="238" t="n"/>
      <c r="DD32" s="238" t="n"/>
      <c r="DE32" s="238" t="n"/>
      <c r="DF32" s="238" t="n"/>
      <c r="DG32" s="238" t="n"/>
      <c r="DH32" s="238" t="n"/>
      <c r="DI32" s="238" t="n"/>
      <c r="DJ32" s="238" t="n"/>
      <c r="DK32" s="238" t="n"/>
      <c r="DL32" s="238" t="n"/>
      <c r="DM32" s="238" t="n"/>
      <c r="DN32" s="238" t="n"/>
      <c r="DO32" s="238" t="n"/>
      <c r="DP32" s="238" t="n"/>
      <c r="DQ32" s="238" t="n"/>
      <c r="DR32" s="238" t="n"/>
      <c r="DS32" s="238" t="n"/>
      <c r="DT32" s="238" t="n"/>
      <c r="DU32" s="238" t="n"/>
      <c r="DV32" s="238" t="n"/>
      <c r="DW32" s="238" t="n"/>
      <c r="DX32" s="238" t="n"/>
      <c r="DY32" s="238" t="n"/>
      <c r="DZ32" s="23" t="n"/>
      <c r="FQ32" s="212" t="n"/>
      <c r="FR32" s="212" t="n"/>
      <c r="FS32" s="212" t="n"/>
      <c r="FT32" s="212" t="n"/>
      <c r="FU32" s="212" t="n"/>
      <c r="FV32" s="212" t="n"/>
      <c r="FW32" s="212" t="n"/>
      <c r="FX32" s="212" t="n"/>
      <c r="FY32" s="212" t="n"/>
      <c r="FZ32" s="212" t="n"/>
    </row>
    <row r="33" ht="39.95" customFormat="1" customHeight="1" s="5">
      <c r="A33" s="456" t="n"/>
      <c r="B33" s="8" t="inlineStr">
        <is>
          <t>&amp; OSCILLATOR</t>
        </is>
      </c>
      <c r="C33" s="12" t="inlineStr">
        <is>
          <t>R</t>
        </is>
      </c>
      <c r="D33" s="435" t="inlineStr"/>
      <c r="E33" s="438" t="inlineStr"/>
      <c r="F33" s="438" t="inlineStr"/>
      <c r="G33" s="438" t="n">
        <v>0.219</v>
      </c>
      <c r="H33" s="441" t="n">
        <v>0.209</v>
      </c>
      <c r="I33" s="444" t="inlineStr">
        <is>
          <t>RT</t>
        </is>
      </c>
      <c r="J33" s="438" t="n">
        <v>0.239</v>
      </c>
      <c r="K33" s="438" t="n">
        <v>0.245</v>
      </c>
      <c r="L33" s="438" t="n">
        <v>0.275</v>
      </c>
      <c r="M33" s="441" t="n">
        <v>0.277</v>
      </c>
      <c r="N33" s="444" t="inlineStr">
        <is>
          <t>RT</t>
        </is>
      </c>
      <c r="O33" s="438" t="n">
        <v>0.216</v>
      </c>
      <c r="P33" s="438" t="n">
        <v>0.221</v>
      </c>
      <c r="Q33" s="438" t="inlineStr"/>
      <c r="R33" s="441" t="inlineStr"/>
      <c r="S33" s="444" t="inlineStr"/>
      <c r="T33" s="438" t="inlineStr"/>
      <c r="U33" s="438" t="inlineStr"/>
      <c r="V33" s="438" t="inlineStr"/>
      <c r="W33" s="441" t="inlineStr"/>
      <c r="X33" s="444" t="inlineStr"/>
      <c r="Y33" s="438" t="inlineStr"/>
      <c r="Z33" s="438" t="inlineStr"/>
      <c r="AA33" s="438" t="inlineStr"/>
      <c r="AB33" s="441" t="inlineStr"/>
      <c r="AC33" s="444" t="inlineStr"/>
      <c r="AD33" s="438" t="inlineStr"/>
      <c r="AE33" s="438" t="inlineStr"/>
      <c r="AF33" s="438" t="inlineStr"/>
      <c r="AG33" s="441" t="inlineStr"/>
      <c r="AH33" s="444" t="inlineStr"/>
      <c r="AI33" s="438" t="n">
        <v>0.209</v>
      </c>
      <c r="AJ33" s="438" t="n">
        <v>0.211</v>
      </c>
      <c r="AK33" s="438" t="n">
        <v>0.214</v>
      </c>
      <c r="AL33" s="441" t="n">
        <v>0.217</v>
      </c>
      <c r="AM33" s="444" t="n">
        <v>0.196</v>
      </c>
      <c r="AN33" s="438" t="n">
        <v>0.209</v>
      </c>
      <c r="AO33" s="438" t="inlineStr"/>
      <c r="AP33" s="438" t="inlineStr"/>
      <c r="AQ33" s="441" t="inlineStr"/>
      <c r="AR33" s="444" t="inlineStr"/>
      <c r="AS33" s="438" t="inlineStr"/>
      <c r="AT33" s="438" t="inlineStr"/>
      <c r="AU33" s="438" t="inlineStr"/>
      <c r="AV33" s="441" t="inlineStr"/>
      <c r="AW33" s="444" t="inlineStr"/>
      <c r="AX33" s="438" t="inlineStr"/>
      <c r="AY33" s="438" t="inlineStr"/>
      <c r="AZ33" s="438" t="inlineStr"/>
      <c r="BA33" s="441" t="inlineStr"/>
      <c r="BB33" s="444" t="inlineStr"/>
      <c r="BC33" s="438" t="inlineStr"/>
      <c r="BD33" s="438" t="inlineStr"/>
      <c r="BE33" s="438" t="inlineStr"/>
      <c r="BF33" s="441" t="inlineStr"/>
      <c r="BG33" s="444" t="inlineStr"/>
      <c r="BH33" s="438" t="inlineStr"/>
      <c r="BI33" s="438" t="inlineStr"/>
      <c r="BJ33" s="438" t="inlineStr"/>
      <c r="BK33" s="441" t="inlineStr"/>
      <c r="BL33" s="444" t="inlineStr"/>
      <c r="BM33" s="438" t="inlineStr"/>
      <c r="BN33" s="438" t="inlineStr"/>
      <c r="BO33" s="438" t="inlineStr"/>
      <c r="BP33" s="441" t="inlineStr"/>
      <c r="BQ33" s="444" t="inlineStr"/>
      <c r="BR33" s="438" t="inlineStr"/>
      <c r="BS33" s="438" t="inlineStr"/>
      <c r="BT33" s="441" t="inlineStr"/>
      <c r="BU33" s="457" t="n"/>
      <c r="BV33" s="457" t="n"/>
      <c r="BW33" s="238" t="n"/>
      <c r="BX33" s="238" t="n"/>
      <c r="BY33" s="238" t="n"/>
      <c r="BZ33" s="238" t="n"/>
      <c r="CA33" s="238" t="n"/>
      <c r="CB33" s="238" t="n"/>
      <c r="CC33" s="238" t="n"/>
      <c r="CD33" s="238" t="n"/>
      <c r="CE33" s="238" t="n"/>
      <c r="CF33" s="238" t="n"/>
      <c r="CG33" s="238" t="n"/>
      <c r="CH33" s="238" t="n"/>
      <c r="CI33" s="238" t="n"/>
      <c r="CJ33" s="238" t="n"/>
      <c r="CK33" s="238" t="n"/>
      <c r="CL33" s="238" t="n"/>
      <c r="CM33" s="238" t="n"/>
      <c r="CN33" s="238" t="n"/>
      <c r="CO33" s="238" t="n"/>
      <c r="CP33" s="238" t="n"/>
      <c r="CQ33" s="238" t="n"/>
      <c r="CR33" s="238" t="n"/>
      <c r="CS33" s="238" t="n"/>
      <c r="CT33" s="238" t="n"/>
      <c r="CU33" s="238" t="n"/>
      <c r="CV33" s="238" t="n"/>
      <c r="CW33" s="238" t="n"/>
      <c r="CX33" s="238" t="n"/>
      <c r="CY33" s="238" t="n"/>
      <c r="CZ33" s="238" t="n"/>
      <c r="DA33" s="238" t="n"/>
      <c r="DB33" s="238" t="n"/>
      <c r="DC33" s="238" t="n"/>
      <c r="DD33" s="238" t="n"/>
      <c r="DE33" s="238" t="n"/>
      <c r="DF33" s="238" t="n"/>
      <c r="DG33" s="238" t="n"/>
      <c r="DH33" s="238" t="n"/>
      <c r="DI33" s="238" t="n"/>
      <c r="DJ33" s="238" t="n"/>
      <c r="DK33" s="238" t="n"/>
      <c r="DL33" s="238" t="n"/>
      <c r="DM33" s="238" t="n"/>
      <c r="DN33" s="238" t="n"/>
      <c r="DO33" s="238" t="n"/>
      <c r="DP33" s="238" t="n"/>
      <c r="DQ33" s="238" t="n"/>
      <c r="DR33" s="238" t="n"/>
      <c r="DS33" s="238" t="n"/>
      <c r="DT33" s="238" t="n"/>
      <c r="DU33" s="238" t="n"/>
      <c r="DV33" s="238" t="n"/>
      <c r="DW33" s="238" t="n"/>
      <c r="DX33" s="238" t="n"/>
      <c r="DY33" s="238" t="n"/>
      <c r="DZ33" s="23" t="n"/>
      <c r="FQ33" s="212" t="n"/>
      <c r="FR33" s="212" t="n"/>
      <c r="FS33" s="212" t="n"/>
      <c r="FT33" s="212" t="n"/>
      <c r="FU33" s="212" t="n"/>
      <c r="FV33" s="212" t="n"/>
      <c r="FW33" s="212" t="n"/>
      <c r="FX33" s="212" t="n"/>
      <c r="FY33" s="212" t="n"/>
      <c r="FZ33" s="212" t="n"/>
    </row>
    <row r="34" ht="39.95" customFormat="1" customHeight="1" s="5">
      <c r="A34" s="10" t="inlineStr">
        <is>
          <t>A</t>
        </is>
      </c>
      <c r="B34" s="6" t="inlineStr">
        <is>
          <t>POSITION 'C'</t>
        </is>
      </c>
      <c r="C34" s="11" t="inlineStr">
        <is>
          <t>L</t>
        </is>
      </c>
      <c r="D34" s="433" t="inlineStr"/>
      <c r="E34" s="436" t="inlineStr"/>
      <c r="F34" s="436" t="inlineStr"/>
      <c r="G34" s="436" t="n">
        <v>0.213</v>
      </c>
      <c r="H34" s="439" t="n">
        <v>0.213</v>
      </c>
      <c r="I34" s="442" t="inlineStr">
        <is>
          <t>RT</t>
        </is>
      </c>
      <c r="J34" s="436" t="inlineStr">
        <is>
          <t>RT</t>
        </is>
      </c>
      <c r="K34" s="436" t="n">
        <v>0.278</v>
      </c>
      <c r="L34" s="436" t="n">
        <v>0.27</v>
      </c>
      <c r="M34" s="439" t="inlineStr">
        <is>
          <t>RT</t>
        </is>
      </c>
      <c r="N34" s="442" t="inlineStr">
        <is>
          <t>RT</t>
        </is>
      </c>
      <c r="O34" s="436" t="n">
        <v>0.223</v>
      </c>
      <c r="P34" s="436" t="n">
        <v>0.22</v>
      </c>
      <c r="Q34" s="436" t="inlineStr"/>
      <c r="R34" s="439" t="inlineStr"/>
      <c r="S34" s="442" t="inlineStr"/>
      <c r="T34" s="436" t="inlineStr"/>
      <c r="U34" s="436" t="inlineStr"/>
      <c r="V34" s="436" t="inlineStr"/>
      <c r="W34" s="439" t="inlineStr"/>
      <c r="X34" s="442" t="inlineStr"/>
      <c r="Y34" s="436" t="inlineStr"/>
      <c r="Z34" s="436" t="inlineStr"/>
      <c r="AA34" s="436" t="inlineStr"/>
      <c r="AB34" s="439" t="inlineStr"/>
      <c r="AC34" s="442" t="inlineStr"/>
      <c r="AD34" s="436" t="inlineStr"/>
      <c r="AE34" s="436" t="inlineStr"/>
      <c r="AF34" s="436" t="inlineStr"/>
      <c r="AG34" s="439" t="inlineStr"/>
      <c r="AH34" s="442" t="inlineStr"/>
      <c r="AI34" s="436" t="n">
        <v>0.206</v>
      </c>
      <c r="AJ34" s="436" t="n">
        <v>0.213</v>
      </c>
      <c r="AK34" s="436" t="n">
        <v>0.233</v>
      </c>
      <c r="AL34" s="439" t="n">
        <v>0.23</v>
      </c>
      <c r="AM34" s="442" t="n">
        <v>0.198</v>
      </c>
      <c r="AN34" s="436" t="n">
        <v>0.192</v>
      </c>
      <c r="AO34" s="436" t="inlineStr"/>
      <c r="AP34" s="436" t="inlineStr"/>
      <c r="AQ34" s="439" t="inlineStr"/>
      <c r="AR34" s="442" t="inlineStr"/>
      <c r="AS34" s="436" t="inlineStr"/>
      <c r="AT34" s="436" t="inlineStr"/>
      <c r="AU34" s="436" t="inlineStr"/>
      <c r="AV34" s="439" t="inlineStr"/>
      <c r="AW34" s="442" t="inlineStr"/>
      <c r="AX34" s="436" t="inlineStr"/>
      <c r="AY34" s="436" t="inlineStr"/>
      <c r="AZ34" s="436" t="inlineStr"/>
      <c r="BA34" s="439" t="inlineStr"/>
      <c r="BB34" s="442" t="inlineStr"/>
      <c r="BC34" s="436" t="inlineStr"/>
      <c r="BD34" s="436" t="inlineStr"/>
      <c r="BE34" s="436" t="inlineStr"/>
      <c r="BF34" s="439" t="inlineStr"/>
      <c r="BG34" s="442" t="inlineStr"/>
      <c r="BH34" s="436" t="inlineStr"/>
      <c r="BI34" s="436" t="inlineStr"/>
      <c r="BJ34" s="436" t="inlineStr"/>
      <c r="BK34" s="439" t="inlineStr"/>
      <c r="BL34" s="442" t="inlineStr"/>
      <c r="BM34" s="436" t="inlineStr"/>
      <c r="BN34" s="436" t="inlineStr"/>
      <c r="BO34" s="436" t="inlineStr"/>
      <c r="BP34" s="439" t="inlineStr"/>
      <c r="BQ34" s="442" t="inlineStr"/>
      <c r="BR34" s="436" t="inlineStr"/>
      <c r="BS34" s="436" t="inlineStr"/>
      <c r="BT34" s="439" t="inlineStr"/>
      <c r="BU34" s="454">
        <f>IFERROR(AVERAGE(D34:BT36),0)</f>
        <v/>
      </c>
      <c r="BV34" s="454">
        <f>MIN(D34:BT36)</f>
        <v/>
      </c>
      <c r="BW34" s="238" t="n"/>
      <c r="BX34" s="238" t="n"/>
      <c r="BY34" s="238" t="n"/>
      <c r="BZ34" s="238" t="n"/>
      <c r="CA34" s="238" t="n"/>
      <c r="CB34" s="238" t="n"/>
      <c r="CC34" s="238" t="n"/>
      <c r="CD34" s="238" t="n"/>
      <c r="CE34" s="238" t="n"/>
      <c r="CF34" s="238" t="n"/>
      <c r="CG34" s="238" t="n"/>
      <c r="CH34" s="238" t="n"/>
      <c r="CI34" s="238" t="n"/>
      <c r="CJ34" s="238" t="n"/>
      <c r="CK34" s="238" t="n"/>
      <c r="CL34" s="238" t="n"/>
      <c r="CM34" s="238" t="n"/>
      <c r="CN34" s="238" t="n"/>
      <c r="CO34" s="238" t="n"/>
      <c r="CP34" s="238" t="n"/>
      <c r="CQ34" s="238" t="n"/>
      <c r="CR34" s="238" t="n"/>
      <c r="CS34" s="238" t="n"/>
      <c r="CT34" s="238" t="n"/>
      <c r="CU34" s="238" t="n"/>
      <c r="CV34" s="238" t="n"/>
      <c r="CW34" s="238" t="n"/>
      <c r="CX34" s="238" t="n"/>
      <c r="CY34" s="238" t="n"/>
      <c r="CZ34" s="238" t="n"/>
      <c r="DA34" s="238" t="n"/>
      <c r="DB34" s="238" t="n"/>
      <c r="DC34" s="238" t="n"/>
      <c r="DD34" s="238" t="n"/>
      <c r="DE34" s="238" t="n"/>
      <c r="DF34" s="238" t="n"/>
      <c r="DG34" s="238" t="n"/>
      <c r="DH34" s="238" t="n"/>
      <c r="DI34" s="238" t="n"/>
      <c r="DJ34" s="238" t="n"/>
      <c r="DK34" s="238" t="n"/>
      <c r="DL34" s="238" t="n"/>
      <c r="DM34" s="238" t="n"/>
      <c r="DN34" s="238" t="n"/>
      <c r="DO34" s="238" t="n"/>
      <c r="DP34" s="238" t="n"/>
      <c r="DQ34" s="238" t="n"/>
      <c r="DR34" s="238" t="n"/>
      <c r="DS34" s="238" t="n"/>
      <c r="DT34" s="238" t="n"/>
      <c r="DU34" s="238" t="n"/>
      <c r="DV34" s="238" t="n"/>
      <c r="DW34" s="238" t="n"/>
      <c r="DX34" s="238" t="n"/>
      <c r="DY34" s="238" t="n"/>
      <c r="DZ34" s="23" t="n"/>
      <c r="FQ34" s="212" t="n"/>
      <c r="FR34" s="212" t="n"/>
      <c r="FS34" s="212" t="n"/>
      <c r="FT34" s="212" t="n"/>
      <c r="FU34" s="212" t="n"/>
      <c r="FV34" s="212" t="n"/>
      <c r="FW34" s="212" t="n"/>
      <c r="FX34" s="212" t="n"/>
      <c r="FY34" s="212" t="n"/>
      <c r="FZ34" s="212" t="n"/>
    </row>
    <row r="35" ht="39.95" customFormat="1" customHeight="1" s="5">
      <c r="A35" s="182" t="n">
        <v>0.083</v>
      </c>
      <c r="B35" s="7" t="inlineStr">
        <is>
          <t>OF THE MANWAY</t>
        </is>
      </c>
      <c r="C35" s="11" t="inlineStr">
        <is>
          <t>C</t>
        </is>
      </c>
      <c r="D35" s="434" t="inlineStr"/>
      <c r="E35" s="437" t="inlineStr"/>
      <c r="F35" s="437" t="inlineStr"/>
      <c r="G35" s="437" t="n">
        <v>0.213</v>
      </c>
      <c r="H35" s="440" t="n">
        <v>0.221</v>
      </c>
      <c r="I35" s="443" t="inlineStr">
        <is>
          <t>RT</t>
        </is>
      </c>
      <c r="J35" s="437" t="inlineStr">
        <is>
          <t>RT</t>
        </is>
      </c>
      <c r="K35" s="437" t="n">
        <v>0.278</v>
      </c>
      <c r="L35" s="437" t="n">
        <v>0.275</v>
      </c>
      <c r="M35" s="440" t="inlineStr">
        <is>
          <t>RT</t>
        </is>
      </c>
      <c r="N35" s="443" t="inlineStr">
        <is>
          <t>RT</t>
        </is>
      </c>
      <c r="O35" s="437" t="n">
        <v>0.209</v>
      </c>
      <c r="P35" s="437" t="n">
        <v>0.226</v>
      </c>
      <c r="Q35" s="437" t="inlineStr"/>
      <c r="R35" s="440" t="inlineStr"/>
      <c r="S35" s="443" t="inlineStr"/>
      <c r="T35" s="437" t="inlineStr"/>
      <c r="U35" s="437" t="inlineStr"/>
      <c r="V35" s="437" t="inlineStr"/>
      <c r="W35" s="440" t="inlineStr"/>
      <c r="X35" s="443" t="inlineStr"/>
      <c r="Y35" s="437" t="inlineStr"/>
      <c r="Z35" s="437" t="inlineStr"/>
      <c r="AA35" s="437" t="inlineStr"/>
      <c r="AB35" s="440" t="inlineStr"/>
      <c r="AC35" s="443" t="inlineStr"/>
      <c r="AD35" s="437" t="inlineStr"/>
      <c r="AE35" s="437" t="inlineStr"/>
      <c r="AF35" s="437" t="inlineStr"/>
      <c r="AG35" s="440" t="inlineStr"/>
      <c r="AH35" s="443" t="inlineStr"/>
      <c r="AI35" s="437" t="n">
        <v>0.22</v>
      </c>
      <c r="AJ35" s="437" t="n">
        <v>0.218</v>
      </c>
      <c r="AK35" s="437" t="n">
        <v>0.231</v>
      </c>
      <c r="AL35" s="440" t="n">
        <v>0.22</v>
      </c>
      <c r="AM35" s="443" t="n">
        <v>0.237</v>
      </c>
      <c r="AN35" s="437" t="n">
        <v>0.192</v>
      </c>
      <c r="AO35" s="437" t="inlineStr"/>
      <c r="AP35" s="437" t="inlineStr"/>
      <c r="AQ35" s="440" t="inlineStr"/>
      <c r="AR35" s="443" t="inlineStr"/>
      <c r="AS35" s="437" t="inlineStr"/>
      <c r="AT35" s="437" t="inlineStr"/>
      <c r="AU35" s="437" t="inlineStr"/>
      <c r="AV35" s="440" t="inlineStr"/>
      <c r="AW35" s="443" t="inlineStr"/>
      <c r="AX35" s="437" t="inlineStr"/>
      <c r="AY35" s="437" t="inlineStr"/>
      <c r="AZ35" s="437" t="inlineStr"/>
      <c r="BA35" s="440" t="inlineStr"/>
      <c r="BB35" s="443" t="inlineStr"/>
      <c r="BC35" s="437" t="inlineStr"/>
      <c r="BD35" s="437" t="inlineStr"/>
      <c r="BE35" s="437" t="inlineStr"/>
      <c r="BF35" s="440" t="inlineStr"/>
      <c r="BG35" s="443" t="inlineStr"/>
      <c r="BH35" s="437" t="inlineStr"/>
      <c r="BI35" s="437" t="inlineStr"/>
      <c r="BJ35" s="437" t="inlineStr"/>
      <c r="BK35" s="440" t="inlineStr"/>
      <c r="BL35" s="443" t="inlineStr"/>
      <c r="BM35" s="437" t="inlineStr"/>
      <c r="BN35" s="437" t="inlineStr"/>
      <c r="BO35" s="437" t="inlineStr"/>
      <c r="BP35" s="440" t="inlineStr"/>
      <c r="BQ35" s="443" t="inlineStr"/>
      <c r="BR35" s="437" t="inlineStr"/>
      <c r="BS35" s="437" t="inlineStr"/>
      <c r="BT35" s="440" t="inlineStr"/>
      <c r="BU35" s="455" t="n"/>
      <c r="BV35" s="455" t="n"/>
      <c r="BW35" s="238" t="n"/>
      <c r="BX35" s="238" t="n"/>
      <c r="BY35" s="238" t="n"/>
      <c r="BZ35" s="238" t="n"/>
      <c r="CA35" s="238" t="n"/>
      <c r="CB35" s="238" t="n"/>
      <c r="CC35" s="238" t="n"/>
      <c r="CD35" s="238" t="n"/>
      <c r="CE35" s="238" t="n"/>
      <c r="CF35" s="238" t="n"/>
      <c r="CG35" s="238" t="n"/>
      <c r="CH35" s="238" t="n"/>
      <c r="CI35" s="238" t="n"/>
      <c r="CJ35" s="238" t="n"/>
      <c r="CK35" s="238" t="n"/>
      <c r="CL35" s="238" t="n"/>
      <c r="CM35" s="238" t="n"/>
      <c r="CN35" s="238" t="n"/>
      <c r="CO35" s="238" t="n"/>
      <c r="CP35" s="238" t="n"/>
      <c r="CQ35" s="238" t="n"/>
      <c r="CR35" s="238" t="n"/>
      <c r="CS35" s="238" t="n"/>
      <c r="CT35" s="238" t="n"/>
      <c r="CU35" s="238" t="n"/>
      <c r="CV35" s="238" t="n"/>
      <c r="CW35" s="238" t="n"/>
      <c r="CX35" s="238" t="n"/>
      <c r="CY35" s="238" t="n"/>
      <c r="CZ35" s="238" t="n"/>
      <c r="DA35" s="238" t="n"/>
      <c r="DB35" s="238" t="n"/>
      <c r="DC35" s="238" t="n"/>
      <c r="DD35" s="238" t="n"/>
      <c r="DE35" s="238" t="n"/>
      <c r="DF35" s="238" t="n"/>
      <c r="DG35" s="238" t="n"/>
      <c r="DH35" s="238" t="n"/>
      <c r="DI35" s="238" t="n"/>
      <c r="DJ35" s="238" t="n"/>
      <c r="DK35" s="238" t="n"/>
      <c r="DL35" s="238" t="n"/>
      <c r="DM35" s="238" t="n"/>
      <c r="DN35" s="238" t="n"/>
      <c r="DO35" s="238" t="n"/>
      <c r="DP35" s="238" t="n"/>
      <c r="DQ35" s="238" t="n"/>
      <c r="DR35" s="238" t="n"/>
      <c r="DS35" s="238" t="n"/>
      <c r="DT35" s="238" t="n"/>
      <c r="DU35" s="238" t="n"/>
      <c r="DV35" s="238" t="n"/>
      <c r="DW35" s="238" t="n"/>
      <c r="DX35" s="238" t="n"/>
      <c r="DY35" s="238" t="n"/>
      <c r="DZ35" s="23" t="n"/>
      <c r="FQ35" s="212" t="n"/>
      <c r="FR35" s="212" t="n"/>
      <c r="FS35" s="212" t="n"/>
      <c r="FT35" s="212" t="n"/>
      <c r="FU35" s="212" t="n"/>
      <c r="FV35" s="212" t="n"/>
      <c r="FW35" s="212" t="n"/>
      <c r="FX35" s="212" t="n"/>
      <c r="FY35" s="212" t="n"/>
      <c r="FZ35" s="212" t="n"/>
    </row>
    <row r="36" ht="39.95" customFormat="1" customHeight="1" s="5">
      <c r="A36" s="456" t="n"/>
      <c r="B36" s="8" t="inlineStr">
        <is>
          <t>&amp; OSCILLATOR</t>
        </is>
      </c>
      <c r="C36" s="12" t="inlineStr">
        <is>
          <t>R</t>
        </is>
      </c>
      <c r="D36" s="435" t="inlineStr"/>
      <c r="E36" s="438" t="inlineStr"/>
      <c r="F36" s="438" t="inlineStr"/>
      <c r="G36" s="438" t="n">
        <v>0.214</v>
      </c>
      <c r="H36" s="441" t="n">
        <v>0.213</v>
      </c>
      <c r="I36" s="444" t="inlineStr">
        <is>
          <t>RT</t>
        </is>
      </c>
      <c r="J36" s="438" t="inlineStr">
        <is>
          <t>RT</t>
        </is>
      </c>
      <c r="K36" s="438" t="n">
        <v>0.284</v>
      </c>
      <c r="L36" s="438" t="n">
        <v>0.282</v>
      </c>
      <c r="M36" s="441" t="inlineStr">
        <is>
          <t>RT</t>
        </is>
      </c>
      <c r="N36" s="444" t="inlineStr">
        <is>
          <t>RT</t>
        </is>
      </c>
      <c r="O36" s="438" t="n">
        <v>0.213</v>
      </c>
      <c r="P36" s="438" t="n">
        <v>0.216</v>
      </c>
      <c r="Q36" s="438" t="inlineStr"/>
      <c r="R36" s="441" t="inlineStr"/>
      <c r="S36" s="444" t="inlineStr"/>
      <c r="T36" s="438" t="inlineStr"/>
      <c r="U36" s="438" t="inlineStr"/>
      <c r="V36" s="438" t="inlineStr"/>
      <c r="W36" s="441" t="inlineStr"/>
      <c r="X36" s="444" t="inlineStr"/>
      <c r="Y36" s="438" t="inlineStr"/>
      <c r="Z36" s="438" t="inlineStr"/>
      <c r="AA36" s="438" t="inlineStr"/>
      <c r="AB36" s="441" t="inlineStr"/>
      <c r="AC36" s="444" t="inlineStr"/>
      <c r="AD36" s="438" t="inlineStr"/>
      <c r="AE36" s="438" t="inlineStr"/>
      <c r="AF36" s="438" t="inlineStr"/>
      <c r="AG36" s="441" t="inlineStr"/>
      <c r="AH36" s="444" t="inlineStr"/>
      <c r="AI36" s="438" t="n">
        <v>0.207</v>
      </c>
      <c r="AJ36" s="438" t="n">
        <v>0.223</v>
      </c>
      <c r="AK36" s="438" t="n">
        <v>0.219</v>
      </c>
      <c r="AL36" s="441" t="n">
        <v>0.222</v>
      </c>
      <c r="AM36" s="444" t="n">
        <v>0.188</v>
      </c>
      <c r="AN36" s="438" t="n">
        <v>0.237</v>
      </c>
      <c r="AO36" s="438" t="inlineStr"/>
      <c r="AP36" s="438" t="inlineStr"/>
      <c r="AQ36" s="441" t="inlineStr"/>
      <c r="AR36" s="444" t="inlineStr"/>
      <c r="AS36" s="438" t="inlineStr"/>
      <c r="AT36" s="438" t="inlineStr"/>
      <c r="AU36" s="438" t="inlineStr"/>
      <c r="AV36" s="441" t="inlineStr"/>
      <c r="AW36" s="444" t="inlineStr"/>
      <c r="AX36" s="438" t="inlineStr"/>
      <c r="AY36" s="438" t="inlineStr"/>
      <c r="AZ36" s="438" t="inlineStr"/>
      <c r="BA36" s="441" t="inlineStr"/>
      <c r="BB36" s="444" t="inlineStr"/>
      <c r="BC36" s="438" t="inlineStr"/>
      <c r="BD36" s="438" t="inlineStr"/>
      <c r="BE36" s="438" t="inlineStr"/>
      <c r="BF36" s="441" t="inlineStr"/>
      <c r="BG36" s="444" t="inlineStr"/>
      <c r="BH36" s="438" t="inlineStr"/>
      <c r="BI36" s="438" t="inlineStr"/>
      <c r="BJ36" s="438" t="inlineStr"/>
      <c r="BK36" s="441" t="inlineStr"/>
      <c r="BL36" s="444" t="inlineStr"/>
      <c r="BM36" s="438" t="inlineStr"/>
      <c r="BN36" s="438" t="inlineStr"/>
      <c r="BO36" s="438" t="inlineStr"/>
      <c r="BP36" s="441" t="inlineStr"/>
      <c r="BQ36" s="444" t="inlineStr"/>
      <c r="BR36" s="438" t="inlineStr"/>
      <c r="BS36" s="438" t="inlineStr"/>
      <c r="BT36" s="441" t="inlineStr"/>
      <c r="BU36" s="457" t="n"/>
      <c r="BV36" s="457" t="n"/>
      <c r="BW36" s="238" t="n"/>
      <c r="BX36" s="238" t="n"/>
      <c r="BY36" s="238" t="n"/>
      <c r="BZ36" s="238" t="n"/>
      <c r="CA36" s="238" t="n"/>
      <c r="CB36" s="238" t="n"/>
      <c r="CC36" s="238" t="n"/>
      <c r="CD36" s="238" t="n"/>
      <c r="CE36" s="238" t="n"/>
      <c r="CF36" s="238" t="n"/>
      <c r="CG36" s="238" t="n"/>
      <c r="CH36" s="238" t="n"/>
      <c r="CI36" s="238" t="n"/>
      <c r="CJ36" s="238" t="n"/>
      <c r="CK36" s="238" t="n"/>
      <c r="CL36" s="238" t="n"/>
      <c r="CM36" s="238" t="n"/>
      <c r="CN36" s="238" t="n"/>
      <c r="CO36" s="238" t="n"/>
      <c r="CP36" s="238" t="n"/>
      <c r="CQ36" s="238" t="n"/>
      <c r="CR36" s="238" t="n"/>
      <c r="CS36" s="238" t="n"/>
      <c r="CT36" s="238" t="n"/>
      <c r="CU36" s="238" t="n"/>
      <c r="CV36" s="238" t="n"/>
      <c r="CW36" s="238" t="n"/>
      <c r="CX36" s="238" t="n"/>
      <c r="CY36" s="238" t="n"/>
      <c r="CZ36" s="238" t="n"/>
      <c r="DA36" s="238" t="n"/>
      <c r="DB36" s="238" t="n"/>
      <c r="DC36" s="238" t="n"/>
      <c r="DD36" s="238" t="n"/>
      <c r="DE36" s="238" t="n"/>
      <c r="DF36" s="238" t="n"/>
      <c r="DG36" s="238" t="n"/>
      <c r="DH36" s="238" t="n"/>
      <c r="DI36" s="238" t="n"/>
      <c r="DJ36" s="238" t="n"/>
      <c r="DK36" s="238" t="n"/>
      <c r="DL36" s="238" t="n"/>
      <c r="DM36" s="238" t="n"/>
      <c r="DN36" s="238" t="n"/>
      <c r="DO36" s="238" t="n"/>
      <c r="DP36" s="238" t="n"/>
      <c r="DQ36" s="238" t="n"/>
      <c r="DR36" s="238" t="n"/>
      <c r="DS36" s="238" t="n"/>
      <c r="DT36" s="238" t="n"/>
      <c r="DU36" s="238" t="n"/>
      <c r="DV36" s="238" t="n"/>
      <c r="DW36" s="238" t="n"/>
      <c r="DX36" s="238" t="n"/>
      <c r="DY36" s="238" t="n"/>
      <c r="DZ36" s="23" t="n"/>
      <c r="FQ36" s="212" t="n"/>
      <c r="FR36" s="212" t="n"/>
      <c r="FS36" s="212" t="n"/>
      <c r="FT36" s="212" t="n"/>
      <c r="FU36" s="212" t="n"/>
      <c r="FV36" s="212" t="n"/>
      <c r="FW36" s="212" t="n"/>
      <c r="FX36" s="212" t="n"/>
      <c r="FY36" s="212" t="n"/>
      <c r="FZ36" s="212" t="n"/>
    </row>
    <row r="37" ht="39.95" customFormat="1" customHeight="1" s="5">
      <c r="A37" s="10" t="inlineStr">
        <is>
          <t>A</t>
        </is>
      </c>
      <c r="B37" s="6" t="inlineStr">
        <is>
          <t>POSITION 'D'</t>
        </is>
      </c>
      <c r="C37" s="11" t="inlineStr">
        <is>
          <t>L</t>
        </is>
      </c>
      <c r="D37" s="433" t="inlineStr"/>
      <c r="E37" s="436" t="inlineStr"/>
      <c r="F37" s="436" t="inlineStr"/>
      <c r="G37" s="436" t="n">
        <v>0.225</v>
      </c>
      <c r="H37" s="439" t="n">
        <v>0.21</v>
      </c>
      <c r="I37" s="442" t="inlineStr">
        <is>
          <t>RT</t>
        </is>
      </c>
      <c r="J37" s="436" t="n">
        <v>0.255</v>
      </c>
      <c r="K37" s="436" t="n">
        <v>0.235</v>
      </c>
      <c r="L37" s="436" t="n">
        <v>0.268</v>
      </c>
      <c r="M37" s="439" t="inlineStr">
        <is>
          <t>RT</t>
        </is>
      </c>
      <c r="N37" s="442" t="inlineStr">
        <is>
          <t>RT</t>
        </is>
      </c>
      <c r="O37" s="436" t="n">
        <v>0.218</v>
      </c>
      <c r="P37" s="436" t="n">
        <v>0.21</v>
      </c>
      <c r="Q37" s="436" t="inlineStr"/>
      <c r="R37" s="439" t="inlineStr"/>
      <c r="S37" s="442" t="inlineStr"/>
      <c r="T37" s="436" t="inlineStr"/>
      <c r="U37" s="436" t="inlineStr"/>
      <c r="V37" s="436" t="inlineStr"/>
      <c r="W37" s="439" t="inlineStr"/>
      <c r="X37" s="442" t="inlineStr"/>
      <c r="Y37" s="436" t="inlineStr"/>
      <c r="Z37" s="436" t="inlineStr"/>
      <c r="AA37" s="436" t="inlineStr"/>
      <c r="AB37" s="439" t="inlineStr"/>
      <c r="AC37" s="442" t="inlineStr"/>
      <c r="AD37" s="436" t="inlineStr"/>
      <c r="AE37" s="436" t="inlineStr"/>
      <c r="AF37" s="436" t="inlineStr"/>
      <c r="AG37" s="439" t="inlineStr"/>
      <c r="AH37" s="442" t="inlineStr"/>
      <c r="AI37" s="436" t="n">
        <v>0.217</v>
      </c>
      <c r="AJ37" s="436" t="n">
        <v>0.21</v>
      </c>
      <c r="AK37" s="436" t="n">
        <v>0.216</v>
      </c>
      <c r="AL37" s="439" t="n">
        <v>0.224</v>
      </c>
      <c r="AM37" s="442" t="n">
        <v>0.196</v>
      </c>
      <c r="AN37" s="436" t="n">
        <v>0.169</v>
      </c>
      <c r="AO37" s="436" t="inlineStr"/>
      <c r="AP37" s="436" t="inlineStr"/>
      <c r="AQ37" s="439" t="inlineStr"/>
      <c r="AR37" s="442" t="inlineStr"/>
      <c r="AS37" s="436" t="inlineStr"/>
      <c r="AT37" s="436" t="inlineStr"/>
      <c r="AU37" s="436" t="inlineStr"/>
      <c r="AV37" s="439" t="inlineStr"/>
      <c r="AW37" s="442" t="inlineStr"/>
      <c r="AX37" s="436" t="inlineStr"/>
      <c r="AY37" s="436" t="inlineStr"/>
      <c r="AZ37" s="436" t="inlineStr"/>
      <c r="BA37" s="439" t="inlineStr"/>
      <c r="BB37" s="442" t="inlineStr"/>
      <c r="BC37" s="436" t="inlineStr"/>
      <c r="BD37" s="436" t="inlineStr"/>
      <c r="BE37" s="436" t="inlineStr"/>
      <c r="BF37" s="439" t="inlineStr"/>
      <c r="BG37" s="442" t="inlineStr"/>
      <c r="BH37" s="436" t="inlineStr"/>
      <c r="BI37" s="436" t="inlineStr"/>
      <c r="BJ37" s="436" t="inlineStr"/>
      <c r="BK37" s="439" t="inlineStr"/>
      <c r="BL37" s="442" t="inlineStr"/>
      <c r="BM37" s="436" t="inlineStr"/>
      <c r="BN37" s="436" t="inlineStr"/>
      <c r="BO37" s="436" t="inlineStr"/>
      <c r="BP37" s="439" t="inlineStr"/>
      <c r="BQ37" s="442" t="inlineStr"/>
      <c r="BR37" s="436" t="inlineStr"/>
      <c r="BS37" s="436" t="inlineStr"/>
      <c r="BT37" s="439" t="inlineStr"/>
      <c r="BU37" s="454">
        <f>IFERROR(AVERAGE(D37:BT39),0)</f>
        <v/>
      </c>
      <c r="BV37" s="454">
        <f>MIN(D37:BT39)</f>
        <v/>
      </c>
      <c r="BW37" s="238" t="n"/>
      <c r="BX37" s="238" t="n"/>
      <c r="BY37" s="238" t="n"/>
      <c r="BZ37" s="238" t="n"/>
      <c r="CA37" s="238" t="n"/>
      <c r="CB37" s="238" t="n"/>
      <c r="CC37" s="238" t="n"/>
      <c r="CD37" s="238" t="n"/>
      <c r="CE37" s="238" t="n"/>
      <c r="CF37" s="238" t="n"/>
      <c r="CG37" s="238" t="n"/>
      <c r="CH37" s="238" t="n"/>
      <c r="CI37" s="238" t="n"/>
      <c r="CJ37" s="238" t="n"/>
      <c r="CK37" s="238" t="n"/>
      <c r="CL37" s="238" t="n"/>
      <c r="CM37" s="238" t="n"/>
      <c r="CN37" s="238" t="n"/>
      <c r="CO37" s="238" t="n"/>
      <c r="CP37" s="238" t="n"/>
      <c r="CQ37" s="238" t="n"/>
      <c r="CR37" s="238" t="n"/>
      <c r="CS37" s="238" t="n"/>
      <c r="CT37" s="238" t="n"/>
      <c r="CU37" s="238" t="n"/>
      <c r="CV37" s="238" t="n"/>
      <c r="CW37" s="238" t="n"/>
      <c r="CX37" s="238" t="n"/>
      <c r="CY37" s="238" t="n"/>
      <c r="CZ37" s="238" t="n"/>
      <c r="DA37" s="238" t="n"/>
      <c r="DB37" s="238" t="n"/>
      <c r="DC37" s="238" t="n"/>
      <c r="DD37" s="238" t="n"/>
      <c r="DE37" s="238" t="n"/>
      <c r="DF37" s="238" t="n"/>
      <c r="DG37" s="238" t="n"/>
      <c r="DH37" s="238" t="n"/>
      <c r="DI37" s="238" t="n"/>
      <c r="DJ37" s="238" t="n"/>
      <c r="DK37" s="238" t="n"/>
      <c r="DL37" s="238" t="n"/>
      <c r="DM37" s="238" t="n"/>
      <c r="DN37" s="238" t="n"/>
      <c r="DO37" s="238" t="n"/>
      <c r="DP37" s="238" t="n"/>
      <c r="DQ37" s="238" t="n"/>
      <c r="DR37" s="238" t="n"/>
      <c r="DS37" s="238" t="n"/>
      <c r="DT37" s="238" t="n"/>
      <c r="DU37" s="238" t="n"/>
      <c r="DV37" s="238" t="n"/>
      <c r="DW37" s="238" t="n"/>
      <c r="DX37" s="238" t="n"/>
      <c r="DY37" s="238" t="n"/>
      <c r="DZ37" s="23" t="n"/>
      <c r="FQ37" s="212" t="n"/>
      <c r="FR37" s="212" t="n"/>
      <c r="FS37" s="212" t="n"/>
      <c r="FT37" s="212" t="n"/>
      <c r="FU37" s="212" t="n"/>
      <c r="FV37" s="212" t="n"/>
      <c r="FW37" s="212" t="n"/>
      <c r="FX37" s="212" t="n"/>
      <c r="FY37" s="212" t="n"/>
      <c r="FZ37" s="212" t="n"/>
    </row>
    <row r="38" ht="39.95" customFormat="1" customHeight="1" s="5">
      <c r="A38" s="182" t="n">
        <v>0.083</v>
      </c>
      <c r="B38" s="7" t="inlineStr">
        <is>
          <t>OF THE MANWAY</t>
        </is>
      </c>
      <c r="C38" s="11" t="inlineStr">
        <is>
          <t>C</t>
        </is>
      </c>
      <c r="D38" s="434" t="inlineStr"/>
      <c r="E38" s="437" t="inlineStr"/>
      <c r="F38" s="437" t="inlineStr"/>
      <c r="G38" s="437" t="n">
        <v>0.219</v>
      </c>
      <c r="H38" s="440" t="n">
        <v>0.207</v>
      </c>
      <c r="I38" s="443" t="inlineStr">
        <is>
          <t>RT</t>
        </is>
      </c>
      <c r="J38" s="437" t="n">
        <v>0.273</v>
      </c>
      <c r="K38" s="437" t="n">
        <v>0.233</v>
      </c>
      <c r="L38" s="437" t="n">
        <v>0.266</v>
      </c>
      <c r="M38" s="440" t="inlineStr">
        <is>
          <t>RT</t>
        </is>
      </c>
      <c r="N38" s="443" t="inlineStr">
        <is>
          <t>RT</t>
        </is>
      </c>
      <c r="O38" s="437" t="n">
        <v>0.218</v>
      </c>
      <c r="P38" s="437" t="n">
        <v>0.198</v>
      </c>
      <c r="Q38" s="437" t="inlineStr"/>
      <c r="R38" s="440" t="inlineStr"/>
      <c r="S38" s="443" t="inlineStr"/>
      <c r="T38" s="437" t="inlineStr"/>
      <c r="U38" s="437" t="inlineStr"/>
      <c r="V38" s="437" t="inlineStr"/>
      <c r="W38" s="440" t="inlineStr"/>
      <c r="X38" s="443" t="inlineStr"/>
      <c r="Y38" s="437" t="inlineStr"/>
      <c r="Z38" s="437" t="inlineStr"/>
      <c r="AA38" s="437" t="inlineStr"/>
      <c r="AB38" s="440" t="inlineStr"/>
      <c r="AC38" s="443" t="inlineStr"/>
      <c r="AD38" s="437" t="inlineStr"/>
      <c r="AE38" s="437" t="inlineStr"/>
      <c r="AF38" s="437" t="inlineStr"/>
      <c r="AG38" s="440" t="inlineStr"/>
      <c r="AH38" s="443" t="inlineStr"/>
      <c r="AI38" s="437" t="n">
        <v>0.211</v>
      </c>
      <c r="AJ38" s="437" t="n">
        <v>0.204</v>
      </c>
      <c r="AK38" s="437" t="n">
        <v>0.227</v>
      </c>
      <c r="AL38" s="440" t="n">
        <v>0.227</v>
      </c>
      <c r="AM38" s="443" t="n">
        <v>0.215</v>
      </c>
      <c r="AN38" s="437" t="n">
        <v>0.17</v>
      </c>
      <c r="AO38" s="437" t="inlineStr"/>
      <c r="AP38" s="437" t="inlineStr"/>
      <c r="AQ38" s="440" t="inlineStr"/>
      <c r="AR38" s="443" t="inlineStr"/>
      <c r="AS38" s="437" t="inlineStr"/>
      <c r="AT38" s="437" t="inlineStr"/>
      <c r="AU38" s="437" t="inlineStr"/>
      <c r="AV38" s="440" t="inlineStr"/>
      <c r="AW38" s="443" t="inlineStr"/>
      <c r="AX38" s="437" t="inlineStr"/>
      <c r="AY38" s="437" t="inlineStr"/>
      <c r="AZ38" s="437" t="inlineStr"/>
      <c r="BA38" s="440" t="inlineStr"/>
      <c r="BB38" s="443" t="inlineStr"/>
      <c r="BC38" s="437" t="inlineStr"/>
      <c r="BD38" s="437" t="inlineStr"/>
      <c r="BE38" s="437" t="inlineStr"/>
      <c r="BF38" s="440" t="inlineStr"/>
      <c r="BG38" s="443" t="inlineStr"/>
      <c r="BH38" s="437" t="inlineStr"/>
      <c r="BI38" s="437" t="inlineStr"/>
      <c r="BJ38" s="437" t="inlineStr"/>
      <c r="BK38" s="440" t="inlineStr"/>
      <c r="BL38" s="443" t="inlineStr"/>
      <c r="BM38" s="437" t="inlineStr"/>
      <c r="BN38" s="437" t="inlineStr"/>
      <c r="BO38" s="437" t="inlineStr"/>
      <c r="BP38" s="440" t="inlineStr"/>
      <c r="BQ38" s="443" t="inlineStr"/>
      <c r="BR38" s="437" t="inlineStr"/>
      <c r="BS38" s="437" t="inlineStr"/>
      <c r="BT38" s="440" t="inlineStr"/>
      <c r="BU38" s="455" t="n"/>
      <c r="BV38" s="455" t="n"/>
      <c r="BW38" s="238" t="n"/>
      <c r="BX38" s="238" t="n"/>
      <c r="BY38" s="238" t="n"/>
      <c r="BZ38" s="238" t="n"/>
      <c r="CA38" s="238" t="n"/>
      <c r="CB38" s="238" t="n"/>
      <c r="CC38" s="238" t="n"/>
      <c r="CD38" s="238" t="n"/>
      <c r="CE38" s="238" t="n"/>
      <c r="CF38" s="238" t="n"/>
      <c r="CG38" s="238" t="n"/>
      <c r="CH38" s="238" t="n"/>
      <c r="CI38" s="238" t="n"/>
      <c r="CJ38" s="238" t="n"/>
      <c r="CK38" s="238" t="n"/>
      <c r="CL38" s="238" t="n"/>
      <c r="CM38" s="238" t="n"/>
      <c r="CN38" s="238" t="n"/>
      <c r="CO38" s="238" t="n"/>
      <c r="CP38" s="238" t="n"/>
      <c r="CQ38" s="238" t="n"/>
      <c r="CR38" s="238" t="n"/>
      <c r="CS38" s="238" t="n"/>
      <c r="CT38" s="238" t="n"/>
      <c r="CU38" s="238" t="n"/>
      <c r="CV38" s="238" t="n"/>
      <c r="CW38" s="238" t="n"/>
      <c r="CX38" s="238" t="n"/>
      <c r="CY38" s="238" t="n"/>
      <c r="CZ38" s="238" t="n"/>
      <c r="DA38" s="238" t="n"/>
      <c r="DB38" s="238" t="n"/>
      <c r="DC38" s="238" t="n"/>
      <c r="DD38" s="238" t="n"/>
      <c r="DE38" s="238" t="n"/>
      <c r="DF38" s="238" t="n"/>
      <c r="DG38" s="238" t="n"/>
      <c r="DH38" s="238" t="n"/>
      <c r="DI38" s="238" t="n"/>
      <c r="DJ38" s="238" t="n"/>
      <c r="DK38" s="238" t="n"/>
      <c r="DL38" s="238" t="n"/>
      <c r="DM38" s="238" t="n"/>
      <c r="DN38" s="238" t="n"/>
      <c r="DO38" s="238" t="n"/>
      <c r="DP38" s="238" t="n"/>
      <c r="DQ38" s="238" t="n"/>
      <c r="DR38" s="238" t="n"/>
      <c r="DS38" s="238" t="n"/>
      <c r="DT38" s="238" t="n"/>
      <c r="DU38" s="238" t="n"/>
      <c r="DV38" s="238" t="n"/>
      <c r="DW38" s="238" t="n"/>
      <c r="DX38" s="238" t="n"/>
      <c r="DY38" s="238" t="n"/>
      <c r="DZ38" s="23" t="n"/>
      <c r="FQ38" s="212" t="n"/>
      <c r="FR38" s="212" t="n"/>
      <c r="FS38" s="212" t="n"/>
      <c r="FT38" s="212" t="n"/>
      <c r="FU38" s="212" t="n"/>
      <c r="FV38" s="212" t="n"/>
      <c r="FW38" s="212" t="n"/>
      <c r="FX38" s="212" t="n"/>
      <c r="FY38" s="212" t="n"/>
      <c r="FZ38" s="212" t="n"/>
    </row>
    <row r="39" ht="39.95" customFormat="1" customHeight="1" s="5">
      <c r="A39" s="456" t="n"/>
      <c r="B39" s="8" t="inlineStr">
        <is>
          <t>&amp; OSCILLATOR</t>
        </is>
      </c>
      <c r="C39" s="12" t="inlineStr">
        <is>
          <t>R</t>
        </is>
      </c>
      <c r="D39" s="435" t="inlineStr"/>
      <c r="E39" s="438" t="inlineStr"/>
      <c r="F39" s="438" t="inlineStr"/>
      <c r="G39" s="438" t="n">
        <v>0.222</v>
      </c>
      <c r="H39" s="441" t="n">
        <v>0.205</v>
      </c>
      <c r="I39" s="444" t="inlineStr">
        <is>
          <t>RT</t>
        </is>
      </c>
      <c r="J39" s="438" t="n">
        <v>0.247</v>
      </c>
      <c r="K39" s="438" t="n">
        <v>0.235</v>
      </c>
      <c r="L39" s="438" t="n">
        <v>0.269</v>
      </c>
      <c r="M39" s="441" t="inlineStr">
        <is>
          <t>RT</t>
        </is>
      </c>
      <c r="N39" s="444" t="inlineStr">
        <is>
          <t>RT</t>
        </is>
      </c>
      <c r="O39" s="438" t="n">
        <v>0.219</v>
      </c>
      <c r="P39" s="438" t="n">
        <v>0.204</v>
      </c>
      <c r="Q39" s="438" t="inlineStr"/>
      <c r="R39" s="441" t="inlineStr"/>
      <c r="S39" s="444" t="inlineStr"/>
      <c r="T39" s="438" t="inlineStr"/>
      <c r="U39" s="438" t="inlineStr"/>
      <c r="V39" s="438" t="inlineStr"/>
      <c r="W39" s="441" t="inlineStr"/>
      <c r="X39" s="444" t="inlineStr"/>
      <c r="Y39" s="438" t="inlineStr"/>
      <c r="Z39" s="438" t="inlineStr"/>
      <c r="AA39" s="438" t="inlineStr"/>
      <c r="AB39" s="441" t="inlineStr"/>
      <c r="AC39" s="444" t="inlineStr"/>
      <c r="AD39" s="438" t="inlineStr"/>
      <c r="AE39" s="438" t="inlineStr"/>
      <c r="AF39" s="438" t="inlineStr"/>
      <c r="AG39" s="441" t="inlineStr"/>
      <c r="AH39" s="444" t="inlineStr"/>
      <c r="AI39" s="438" t="n">
        <v>0.211</v>
      </c>
      <c r="AJ39" s="438" t="n">
        <v>0.205</v>
      </c>
      <c r="AK39" s="438" t="n">
        <v>0.23</v>
      </c>
      <c r="AL39" s="441" t="n">
        <v>0.206</v>
      </c>
      <c r="AM39" s="444" t="n">
        <v>0.208</v>
      </c>
      <c r="AN39" s="438" t="n">
        <v>0.213</v>
      </c>
      <c r="AO39" s="438" t="inlineStr"/>
      <c r="AP39" s="438" t="inlineStr"/>
      <c r="AQ39" s="441" t="inlineStr"/>
      <c r="AR39" s="444" t="inlineStr"/>
      <c r="AS39" s="438" t="inlineStr"/>
      <c r="AT39" s="438" t="inlineStr"/>
      <c r="AU39" s="438" t="inlineStr"/>
      <c r="AV39" s="441" t="inlineStr"/>
      <c r="AW39" s="444" t="inlineStr"/>
      <c r="AX39" s="438" t="inlineStr"/>
      <c r="AY39" s="438" t="inlineStr"/>
      <c r="AZ39" s="438" t="inlineStr"/>
      <c r="BA39" s="441" t="inlineStr"/>
      <c r="BB39" s="444" t="inlineStr"/>
      <c r="BC39" s="438" t="inlineStr"/>
      <c r="BD39" s="438" t="inlineStr"/>
      <c r="BE39" s="438" t="inlineStr"/>
      <c r="BF39" s="441" t="inlineStr"/>
      <c r="BG39" s="444" t="inlineStr"/>
      <c r="BH39" s="438" t="inlineStr"/>
      <c r="BI39" s="438" t="inlineStr"/>
      <c r="BJ39" s="438" t="inlineStr"/>
      <c r="BK39" s="441" t="inlineStr"/>
      <c r="BL39" s="444" t="inlineStr"/>
      <c r="BM39" s="438" t="inlineStr"/>
      <c r="BN39" s="438" t="inlineStr"/>
      <c r="BO39" s="438" t="inlineStr"/>
      <c r="BP39" s="441" t="inlineStr"/>
      <c r="BQ39" s="444" t="inlineStr"/>
      <c r="BR39" s="438" t="inlineStr"/>
      <c r="BS39" s="438" t="inlineStr"/>
      <c r="BT39" s="441" t="inlineStr"/>
      <c r="BU39" s="457" t="n"/>
      <c r="BV39" s="457" t="n"/>
      <c r="BW39" s="238" t="n"/>
      <c r="BX39" s="238" t="n"/>
      <c r="BY39" s="238" t="n"/>
      <c r="BZ39" s="238" t="n"/>
      <c r="CA39" s="238" t="n"/>
      <c r="CB39" s="238" t="n"/>
      <c r="CC39" s="238" t="n"/>
      <c r="CD39" s="238" t="n"/>
      <c r="CE39" s="238" t="n"/>
      <c r="CF39" s="238" t="n"/>
      <c r="CG39" s="238" t="n"/>
      <c r="CH39" s="238" t="n"/>
      <c r="CI39" s="238" t="n"/>
      <c r="CJ39" s="238" t="n"/>
      <c r="CK39" s="238" t="n"/>
      <c r="CL39" s="238" t="n"/>
      <c r="CM39" s="238" t="n"/>
      <c r="CN39" s="238" t="n"/>
      <c r="CO39" s="238" t="n"/>
      <c r="CP39" s="238" t="n"/>
      <c r="CQ39" s="238" t="n"/>
      <c r="CR39" s="238" t="n"/>
      <c r="CS39" s="238" t="n"/>
      <c r="CT39" s="238" t="n"/>
      <c r="CU39" s="238" t="n"/>
      <c r="CV39" s="238" t="n"/>
      <c r="CW39" s="238" t="n"/>
      <c r="CX39" s="238" t="n"/>
      <c r="CY39" s="238" t="n"/>
      <c r="CZ39" s="238" t="n"/>
      <c r="DA39" s="238" t="n"/>
      <c r="DB39" s="238" t="n"/>
      <c r="DC39" s="238" t="n"/>
      <c r="DD39" s="238" t="n"/>
      <c r="DE39" s="238" t="n"/>
      <c r="DF39" s="238" t="n"/>
      <c r="DG39" s="238" t="n"/>
      <c r="DH39" s="238" t="n"/>
      <c r="DI39" s="238" t="n"/>
      <c r="DJ39" s="238" t="n"/>
      <c r="DK39" s="238" t="n"/>
      <c r="DL39" s="238" t="n"/>
      <c r="DM39" s="238" t="n"/>
      <c r="DN39" s="238" t="n"/>
      <c r="DO39" s="238" t="n"/>
      <c r="DP39" s="238" t="n"/>
      <c r="DQ39" s="238" t="n"/>
      <c r="DR39" s="238" t="n"/>
      <c r="DS39" s="238" t="n"/>
      <c r="DT39" s="238" t="n"/>
      <c r="DU39" s="238" t="n"/>
      <c r="DV39" s="238" t="n"/>
      <c r="DW39" s="238" t="n"/>
      <c r="DX39" s="238" t="n"/>
      <c r="DY39" s="238" t="n"/>
      <c r="DZ39" s="23" t="n"/>
      <c r="FQ39" s="212" t="n"/>
      <c r="FR39" s="212" t="n"/>
      <c r="FS39" s="212" t="n"/>
      <c r="FT39" s="212" t="n"/>
      <c r="FU39" s="212" t="n"/>
      <c r="FV39" s="212" t="n"/>
      <c r="FW39" s="212" t="n"/>
      <c r="FX39" s="212" t="n"/>
      <c r="FY39" s="212" t="n"/>
      <c r="FZ39" s="212" t="n"/>
    </row>
    <row r="40" ht="39.95" customFormat="1" customHeight="1" s="5">
      <c r="A40" s="10" t="inlineStr">
        <is>
          <t>A</t>
        </is>
      </c>
      <c r="B40" s="6" t="inlineStr">
        <is>
          <t>POSITION 'E'</t>
        </is>
      </c>
      <c r="C40" s="11" t="inlineStr">
        <is>
          <t>L</t>
        </is>
      </c>
      <c r="D40" s="433" t="inlineStr"/>
      <c r="E40" s="436" t="inlineStr"/>
      <c r="F40" s="436" t="inlineStr"/>
      <c r="G40" s="436" t="n">
        <v>0.229</v>
      </c>
      <c r="H40" s="439" t="n">
        <v>0.21</v>
      </c>
      <c r="I40" s="442" t="n">
        <v>0.222</v>
      </c>
      <c r="J40" s="436" t="n">
        <v>0.249</v>
      </c>
      <c r="K40" s="436" t="n">
        <v>0.269</v>
      </c>
      <c r="L40" s="436" t="n">
        <v>0.267</v>
      </c>
      <c r="M40" s="439" t="n">
        <v>0.26</v>
      </c>
      <c r="N40" s="442" t="n">
        <v>0.27</v>
      </c>
      <c r="O40" s="436" t="n">
        <v>0.222</v>
      </c>
      <c r="P40" s="436" t="n">
        <v>0.213</v>
      </c>
      <c r="Q40" s="436" t="inlineStr"/>
      <c r="R40" s="439" t="inlineStr"/>
      <c r="S40" s="442" t="inlineStr"/>
      <c r="T40" s="436" t="inlineStr"/>
      <c r="U40" s="436" t="inlineStr"/>
      <c r="V40" s="436" t="inlineStr"/>
      <c r="W40" s="439" t="inlineStr"/>
      <c r="X40" s="442" t="inlineStr"/>
      <c r="Y40" s="436" t="inlineStr"/>
      <c r="Z40" s="436" t="inlineStr"/>
      <c r="AA40" s="436" t="inlineStr"/>
      <c r="AB40" s="439" t="inlineStr"/>
      <c r="AC40" s="442" t="inlineStr"/>
      <c r="AD40" s="436" t="inlineStr"/>
      <c r="AE40" s="436" t="inlineStr"/>
      <c r="AF40" s="436" t="inlineStr"/>
      <c r="AG40" s="439" t="inlineStr"/>
      <c r="AH40" s="442" t="inlineStr"/>
      <c r="AI40" s="436" t="n">
        <v>0.209</v>
      </c>
      <c r="AJ40" s="436" t="n">
        <v>0.202</v>
      </c>
      <c r="AK40" s="436" t="n">
        <v>0.229</v>
      </c>
      <c r="AL40" s="439" t="n">
        <v>0.23</v>
      </c>
      <c r="AM40" s="442" t="n">
        <v>0.186</v>
      </c>
      <c r="AN40" s="436" t="n">
        <v>0.189</v>
      </c>
      <c r="AO40" s="436" t="inlineStr"/>
      <c r="AP40" s="436" t="inlineStr"/>
      <c r="AQ40" s="439" t="inlineStr"/>
      <c r="AR40" s="442" t="inlineStr"/>
      <c r="AS40" s="436" t="inlineStr"/>
      <c r="AT40" s="436" t="inlineStr"/>
      <c r="AU40" s="436" t="inlineStr"/>
      <c r="AV40" s="439" t="inlineStr"/>
      <c r="AW40" s="442" t="inlineStr"/>
      <c r="AX40" s="436" t="inlineStr"/>
      <c r="AY40" s="436" t="inlineStr"/>
      <c r="AZ40" s="436" t="inlineStr"/>
      <c r="BA40" s="439" t="inlineStr"/>
      <c r="BB40" s="442" t="inlineStr"/>
      <c r="BC40" s="436" t="inlineStr"/>
      <c r="BD40" s="436" t="inlineStr"/>
      <c r="BE40" s="436" t="inlineStr"/>
      <c r="BF40" s="439" t="inlineStr"/>
      <c r="BG40" s="442" t="inlineStr"/>
      <c r="BH40" s="436" t="inlineStr"/>
      <c r="BI40" s="436" t="inlineStr"/>
      <c r="BJ40" s="436" t="inlineStr"/>
      <c r="BK40" s="439" t="inlineStr"/>
      <c r="BL40" s="442" t="inlineStr"/>
      <c r="BM40" s="436" t="inlineStr"/>
      <c r="BN40" s="436" t="inlineStr"/>
      <c r="BO40" s="436" t="inlineStr"/>
      <c r="BP40" s="439" t="inlineStr"/>
      <c r="BQ40" s="442" t="inlineStr"/>
      <c r="BR40" s="436" t="inlineStr"/>
      <c r="BS40" s="436" t="inlineStr"/>
      <c r="BT40" s="439" t="inlineStr"/>
      <c r="BU40" s="454">
        <f>IFERROR(AVERAGE(D40:BT42),0)</f>
        <v/>
      </c>
      <c r="BV40" s="454">
        <f>MIN(D40:BT42)</f>
        <v/>
      </c>
      <c r="BW40" s="238" t="n"/>
      <c r="BX40" s="238" t="n"/>
      <c r="BY40" s="238" t="n"/>
      <c r="BZ40" s="238" t="n"/>
      <c r="CA40" s="238" t="n"/>
      <c r="CB40" s="238" t="n"/>
      <c r="CC40" s="238" t="n"/>
      <c r="CD40" s="238" t="n"/>
      <c r="CE40" s="238" t="n"/>
      <c r="CF40" s="238" t="n"/>
      <c r="CG40" s="238" t="n"/>
      <c r="CH40" s="238" t="n"/>
      <c r="CI40" s="238" t="n"/>
      <c r="CJ40" s="238" t="n"/>
      <c r="CK40" s="238" t="n"/>
      <c r="CL40" s="238" t="n"/>
      <c r="CM40" s="238" t="n"/>
      <c r="CN40" s="238" t="n"/>
      <c r="CO40" s="238" t="n"/>
      <c r="CP40" s="238" t="n"/>
      <c r="CQ40" s="238" t="n"/>
      <c r="CR40" s="238" t="n"/>
      <c r="CS40" s="238" t="n"/>
      <c r="CT40" s="238" t="n"/>
      <c r="CU40" s="238" t="n"/>
      <c r="CV40" s="238" t="n"/>
      <c r="CW40" s="238" t="n"/>
      <c r="CX40" s="238" t="n"/>
      <c r="CY40" s="238" t="n"/>
      <c r="CZ40" s="238" t="n"/>
      <c r="DA40" s="238" t="n"/>
      <c r="DB40" s="238" t="n"/>
      <c r="DC40" s="238" t="n"/>
      <c r="DD40" s="238" t="n"/>
      <c r="DE40" s="238" t="n"/>
      <c r="DF40" s="238" t="n"/>
      <c r="DG40" s="238" t="n"/>
      <c r="DH40" s="238" t="n"/>
      <c r="DI40" s="238" t="n"/>
      <c r="DJ40" s="238" t="n"/>
      <c r="DK40" s="238" t="n"/>
      <c r="DL40" s="238" t="n"/>
      <c r="DM40" s="238" t="n"/>
      <c r="DN40" s="238" t="n"/>
      <c r="DO40" s="238" t="n"/>
      <c r="DP40" s="238" t="n"/>
      <c r="DQ40" s="238" t="n"/>
      <c r="DR40" s="238" t="n"/>
      <c r="DS40" s="238" t="n"/>
      <c r="DT40" s="238" t="n"/>
      <c r="DU40" s="238" t="n"/>
      <c r="DV40" s="238" t="n"/>
      <c r="DW40" s="238" t="n"/>
      <c r="DX40" s="238" t="n"/>
      <c r="DY40" s="238" t="n"/>
      <c r="DZ40" s="23" t="n"/>
      <c r="FQ40" s="212" t="n"/>
      <c r="FR40" s="212" t="n"/>
      <c r="FS40" s="212" t="n"/>
      <c r="FT40" s="212" t="n"/>
      <c r="FU40" s="212" t="n"/>
      <c r="FV40" s="212" t="n"/>
      <c r="FW40" s="212" t="n"/>
      <c r="FX40" s="212" t="n"/>
      <c r="FY40" s="212" t="n"/>
      <c r="FZ40" s="212" t="n"/>
    </row>
    <row r="41" ht="39.95" customFormat="1" customHeight="1" s="5">
      <c r="A41" s="182" t="n">
        <v>0.083</v>
      </c>
      <c r="B41" s="7" t="inlineStr">
        <is>
          <t>OF THE MANWAY</t>
        </is>
      </c>
      <c r="C41" s="11" t="inlineStr">
        <is>
          <t>C</t>
        </is>
      </c>
      <c r="D41" s="434" t="inlineStr"/>
      <c r="E41" s="437" t="inlineStr"/>
      <c r="F41" s="437" t="inlineStr"/>
      <c r="G41" s="437" t="n">
        <v>0.213</v>
      </c>
      <c r="H41" s="440" t="n">
        <v>0.23</v>
      </c>
      <c r="I41" s="443" t="n">
        <v>0.214</v>
      </c>
      <c r="J41" s="437" t="n">
        <v>0.246</v>
      </c>
      <c r="K41" s="437" t="n">
        <v>0.253</v>
      </c>
      <c r="L41" s="437" t="n">
        <v>0.245</v>
      </c>
      <c r="M41" s="440" t="n">
        <v>0.257</v>
      </c>
      <c r="N41" s="443" t="n">
        <v>0.251</v>
      </c>
      <c r="O41" s="437" t="n">
        <v>0.23</v>
      </c>
      <c r="P41" s="437" t="n">
        <v>0.23</v>
      </c>
      <c r="Q41" s="437" t="inlineStr"/>
      <c r="R41" s="440" t="inlineStr"/>
      <c r="S41" s="443" t="inlineStr"/>
      <c r="T41" s="437" t="inlineStr"/>
      <c r="U41" s="437" t="inlineStr"/>
      <c r="V41" s="437" t="inlineStr"/>
      <c r="W41" s="440" t="inlineStr"/>
      <c r="X41" s="443" t="inlineStr"/>
      <c r="Y41" s="437" t="inlineStr"/>
      <c r="Z41" s="437" t="inlineStr"/>
      <c r="AA41" s="437" t="inlineStr"/>
      <c r="AB41" s="440" t="inlineStr"/>
      <c r="AC41" s="443" t="inlineStr"/>
      <c r="AD41" s="437" t="inlineStr"/>
      <c r="AE41" s="437" t="inlineStr"/>
      <c r="AF41" s="437" t="inlineStr"/>
      <c r="AG41" s="440" t="inlineStr"/>
      <c r="AH41" s="443" t="inlineStr"/>
      <c r="AI41" s="437" t="n">
        <v>0.22</v>
      </c>
      <c r="AJ41" s="437" t="n">
        <v>0.197</v>
      </c>
      <c r="AK41" s="437" t="n">
        <v>0.217</v>
      </c>
      <c r="AL41" s="440" t="n">
        <v>0.222</v>
      </c>
      <c r="AM41" s="443" t="n">
        <v>0.198</v>
      </c>
      <c r="AN41" s="437" t="n">
        <v>0.183</v>
      </c>
      <c r="AO41" s="437" t="inlineStr"/>
      <c r="AP41" s="437" t="inlineStr"/>
      <c r="AQ41" s="440" t="inlineStr"/>
      <c r="AR41" s="443" t="inlineStr"/>
      <c r="AS41" s="437" t="inlineStr"/>
      <c r="AT41" s="437" t="inlineStr"/>
      <c r="AU41" s="437" t="inlineStr"/>
      <c r="AV41" s="440" t="inlineStr"/>
      <c r="AW41" s="443" t="inlineStr"/>
      <c r="AX41" s="437" t="inlineStr"/>
      <c r="AY41" s="437" t="inlineStr"/>
      <c r="AZ41" s="437" t="inlineStr"/>
      <c r="BA41" s="440" t="inlineStr"/>
      <c r="BB41" s="443" t="inlineStr"/>
      <c r="BC41" s="437" t="inlineStr"/>
      <c r="BD41" s="437" t="inlineStr"/>
      <c r="BE41" s="437" t="inlineStr"/>
      <c r="BF41" s="440" t="inlineStr"/>
      <c r="BG41" s="443" t="inlineStr"/>
      <c r="BH41" s="437" t="inlineStr"/>
      <c r="BI41" s="437" t="inlineStr"/>
      <c r="BJ41" s="437" t="inlineStr"/>
      <c r="BK41" s="440" t="inlineStr"/>
      <c r="BL41" s="443" t="inlineStr"/>
      <c r="BM41" s="437" t="inlineStr"/>
      <c r="BN41" s="437" t="inlineStr"/>
      <c r="BO41" s="437" t="inlineStr"/>
      <c r="BP41" s="440" t="inlineStr"/>
      <c r="BQ41" s="443" t="inlineStr"/>
      <c r="BR41" s="437" t="inlineStr"/>
      <c r="BS41" s="437" t="inlineStr"/>
      <c r="BT41" s="440" t="inlineStr"/>
      <c r="BU41" s="455" t="n"/>
      <c r="BV41" s="455" t="n"/>
      <c r="BW41" s="238" t="n"/>
      <c r="BX41" s="238" t="n"/>
      <c r="BY41" s="238" t="n"/>
      <c r="BZ41" s="238" t="n"/>
      <c r="CA41" s="238" t="n"/>
      <c r="CB41" s="238" t="n"/>
      <c r="CC41" s="238" t="n"/>
      <c r="CD41" s="238" t="n"/>
      <c r="CE41" s="238" t="n"/>
      <c r="CF41" s="238" t="n"/>
      <c r="CG41" s="238" t="n"/>
      <c r="CH41" s="238" t="n"/>
      <c r="CI41" s="238" t="n"/>
      <c r="CJ41" s="238" t="n"/>
      <c r="CK41" s="238" t="n"/>
      <c r="CL41" s="238" t="n"/>
      <c r="CM41" s="238" t="n"/>
      <c r="CN41" s="238" t="n"/>
      <c r="CO41" s="238" t="n"/>
      <c r="CP41" s="238" t="n"/>
      <c r="CQ41" s="238" t="n"/>
      <c r="CR41" s="238" t="n"/>
      <c r="CS41" s="238" t="n"/>
      <c r="CT41" s="238" t="n"/>
      <c r="CU41" s="238" t="n"/>
      <c r="CV41" s="238" t="n"/>
      <c r="CW41" s="238" t="n"/>
      <c r="CX41" s="238" t="n"/>
      <c r="CY41" s="238" t="n"/>
      <c r="CZ41" s="238" t="n"/>
      <c r="DA41" s="238" t="n"/>
      <c r="DB41" s="238" t="n"/>
      <c r="DC41" s="238" t="n"/>
      <c r="DD41" s="238" t="n"/>
      <c r="DE41" s="238" t="n"/>
      <c r="DF41" s="238" t="n"/>
      <c r="DG41" s="238" t="n"/>
      <c r="DH41" s="238" t="n"/>
      <c r="DI41" s="238" t="n"/>
      <c r="DJ41" s="238" t="n"/>
      <c r="DK41" s="238" t="n"/>
      <c r="DL41" s="238" t="n"/>
      <c r="DM41" s="238" t="n"/>
      <c r="DN41" s="238" t="n"/>
      <c r="DO41" s="238" t="n"/>
      <c r="DP41" s="238" t="n"/>
      <c r="DQ41" s="238" t="n"/>
      <c r="DR41" s="238" t="n"/>
      <c r="DS41" s="238" t="n"/>
      <c r="DT41" s="238" t="n"/>
      <c r="DU41" s="238" t="n"/>
      <c r="DV41" s="238" t="n"/>
      <c r="DW41" s="238" t="n"/>
      <c r="DX41" s="238" t="n"/>
      <c r="DY41" s="238" t="n"/>
      <c r="DZ41" s="23" t="n"/>
      <c r="FQ41" s="212" t="n"/>
      <c r="FR41" s="212" t="n"/>
      <c r="FS41" s="212" t="n"/>
      <c r="FT41" s="212" t="n"/>
      <c r="FU41" s="212" t="n"/>
      <c r="FV41" s="212" t="n"/>
      <c r="FW41" s="212" t="n"/>
      <c r="FX41" s="212" t="n"/>
      <c r="FY41" s="212" t="n"/>
      <c r="FZ41" s="212" t="n"/>
    </row>
    <row r="42" ht="39.95" customFormat="1" customHeight="1" s="5">
      <c r="A42" s="456" t="n"/>
      <c r="B42" s="8" t="inlineStr">
        <is>
          <t>&amp; OSCILLATOR</t>
        </is>
      </c>
      <c r="C42" s="12" t="inlineStr">
        <is>
          <t>R</t>
        </is>
      </c>
      <c r="D42" s="435" t="inlineStr"/>
      <c r="E42" s="438" t="inlineStr"/>
      <c r="F42" s="438" t="inlineStr"/>
      <c r="G42" s="438" t="n">
        <v>0.214</v>
      </c>
      <c r="H42" s="441" t="n">
        <v>0.216</v>
      </c>
      <c r="I42" s="444" t="n">
        <v>0.238</v>
      </c>
      <c r="J42" s="438" t="n">
        <v>0.249</v>
      </c>
      <c r="K42" s="438" t="n">
        <v>0.28</v>
      </c>
      <c r="L42" s="438" t="n">
        <v>0.27</v>
      </c>
      <c r="M42" s="441" t="n">
        <v>0.25</v>
      </c>
      <c r="N42" s="444" t="n">
        <v>0.265</v>
      </c>
      <c r="O42" s="438" t="n">
        <v>0.235</v>
      </c>
      <c r="P42" s="438" t="n">
        <v>0.223</v>
      </c>
      <c r="Q42" s="438" t="inlineStr"/>
      <c r="R42" s="441" t="inlineStr"/>
      <c r="S42" s="444" t="inlineStr"/>
      <c r="T42" s="438" t="inlineStr"/>
      <c r="U42" s="438" t="inlineStr"/>
      <c r="V42" s="438" t="inlineStr"/>
      <c r="W42" s="441" t="inlineStr"/>
      <c r="X42" s="444" t="inlineStr"/>
      <c r="Y42" s="438" t="inlineStr"/>
      <c r="Z42" s="438" t="inlineStr"/>
      <c r="AA42" s="438" t="inlineStr"/>
      <c r="AB42" s="441" t="inlineStr"/>
      <c r="AC42" s="444" t="inlineStr"/>
      <c r="AD42" s="438" t="inlineStr"/>
      <c r="AE42" s="438" t="inlineStr"/>
      <c r="AF42" s="438" t="inlineStr"/>
      <c r="AG42" s="441" t="inlineStr"/>
      <c r="AH42" s="444" t="inlineStr"/>
      <c r="AI42" s="438" t="n">
        <v>0.221</v>
      </c>
      <c r="AJ42" s="438" t="n">
        <v>0.193</v>
      </c>
      <c r="AK42" s="438" t="n">
        <v>0.215</v>
      </c>
      <c r="AL42" s="441" t="n">
        <v>0.237</v>
      </c>
      <c r="AM42" s="444" t="n">
        <v>0.211</v>
      </c>
      <c r="AN42" s="438" t="n">
        <v>0.197</v>
      </c>
      <c r="AO42" s="438" t="inlineStr"/>
      <c r="AP42" s="438" t="inlineStr"/>
      <c r="AQ42" s="441" t="inlineStr"/>
      <c r="AR42" s="444" t="inlineStr"/>
      <c r="AS42" s="438" t="inlineStr"/>
      <c r="AT42" s="438" t="inlineStr"/>
      <c r="AU42" s="438" t="inlineStr"/>
      <c r="AV42" s="441" t="inlineStr"/>
      <c r="AW42" s="444" t="inlineStr"/>
      <c r="AX42" s="438" t="inlineStr"/>
      <c r="AY42" s="438" t="inlineStr"/>
      <c r="AZ42" s="438" t="inlineStr"/>
      <c r="BA42" s="441" t="inlineStr"/>
      <c r="BB42" s="444" t="inlineStr"/>
      <c r="BC42" s="438" t="inlineStr"/>
      <c r="BD42" s="438" t="inlineStr"/>
      <c r="BE42" s="438" t="inlineStr"/>
      <c r="BF42" s="441" t="inlineStr"/>
      <c r="BG42" s="444" t="inlineStr"/>
      <c r="BH42" s="438" t="inlineStr"/>
      <c r="BI42" s="438" t="inlineStr"/>
      <c r="BJ42" s="438" t="inlineStr"/>
      <c r="BK42" s="441" t="inlineStr"/>
      <c r="BL42" s="444" t="inlineStr"/>
      <c r="BM42" s="438" t="inlineStr"/>
      <c r="BN42" s="438" t="inlineStr"/>
      <c r="BO42" s="438" t="inlineStr"/>
      <c r="BP42" s="441" t="inlineStr"/>
      <c r="BQ42" s="444" t="inlineStr"/>
      <c r="BR42" s="438" t="inlineStr"/>
      <c r="BS42" s="438" t="inlineStr"/>
      <c r="BT42" s="441" t="inlineStr"/>
      <c r="BU42" s="457" t="n"/>
      <c r="BV42" s="457" t="n"/>
      <c r="BW42" s="238" t="n"/>
      <c r="BX42" s="238" t="n"/>
      <c r="BY42" s="238" t="n"/>
      <c r="BZ42" s="238" t="n"/>
      <c r="CA42" s="238" t="n"/>
      <c r="CB42" s="238" t="n"/>
      <c r="CC42" s="238" t="n"/>
      <c r="CD42" s="238" t="n"/>
      <c r="CE42" s="238" t="n"/>
      <c r="CF42" s="238" t="n"/>
      <c r="CG42" s="238" t="n"/>
      <c r="CH42" s="238" t="n"/>
      <c r="CI42" s="238" t="n"/>
      <c r="CJ42" s="238" t="n"/>
      <c r="CK42" s="238" t="n"/>
      <c r="CL42" s="238" t="n"/>
      <c r="CM42" s="238" t="n"/>
      <c r="CN42" s="238" t="n"/>
      <c r="CO42" s="238" t="n"/>
      <c r="CP42" s="238" t="n"/>
      <c r="CQ42" s="238" t="n"/>
      <c r="CR42" s="238" t="n"/>
      <c r="CS42" s="238" t="n"/>
      <c r="CT42" s="238" t="n"/>
      <c r="CU42" s="238" t="n"/>
      <c r="CV42" s="238" t="n"/>
      <c r="CW42" s="238" t="n"/>
      <c r="CX42" s="238" t="n"/>
      <c r="CY42" s="238" t="n"/>
      <c r="CZ42" s="238" t="n"/>
      <c r="DA42" s="238" t="n"/>
      <c r="DB42" s="238" t="n"/>
      <c r="DC42" s="238" t="n"/>
      <c r="DD42" s="238" t="n"/>
      <c r="DE42" s="238" t="n"/>
      <c r="DF42" s="238" t="n"/>
      <c r="DG42" s="238" t="n"/>
      <c r="DH42" s="238" t="n"/>
      <c r="DI42" s="238" t="n"/>
      <c r="DJ42" s="238" t="n"/>
      <c r="DK42" s="238" t="n"/>
      <c r="DL42" s="238" t="n"/>
      <c r="DM42" s="238" t="n"/>
      <c r="DN42" s="238" t="n"/>
      <c r="DO42" s="238" t="n"/>
      <c r="DP42" s="238" t="n"/>
      <c r="DQ42" s="238" t="n"/>
      <c r="DR42" s="238" t="n"/>
      <c r="DS42" s="238" t="n"/>
      <c r="DT42" s="238" t="n"/>
      <c r="DU42" s="238" t="n"/>
      <c r="DV42" s="238" t="n"/>
      <c r="DW42" s="238" t="n"/>
      <c r="DX42" s="238" t="n"/>
      <c r="DY42" s="238" t="n"/>
      <c r="DZ42" s="23" t="n"/>
      <c r="FQ42" s="212" t="n"/>
      <c r="FR42" s="212" t="n"/>
      <c r="FS42" s="212" t="n"/>
      <c r="FT42" s="212" t="n"/>
      <c r="FU42" s="212" t="n"/>
      <c r="FV42" s="212" t="n"/>
      <c r="FW42" s="212" t="n"/>
      <c r="FX42" s="212" t="n"/>
      <c r="FY42" s="212" t="n"/>
      <c r="FZ42" s="212" t="n"/>
    </row>
    <row r="43" ht="39.95" customFormat="1" customHeight="1" s="5">
      <c r="A43" s="10" t="inlineStr">
        <is>
          <t>A</t>
        </is>
      </c>
      <c r="B43" s="6" t="n"/>
      <c r="C43" s="11" t="inlineStr">
        <is>
          <t>L</t>
        </is>
      </c>
      <c r="D43" s="433" t="n">
        <v>0.21</v>
      </c>
      <c r="E43" s="436" t="n">
        <v>0.228</v>
      </c>
      <c r="F43" s="436" t="n">
        <v>0.225</v>
      </c>
      <c r="G43" s="436" t="n">
        <v>0.226</v>
      </c>
      <c r="H43" s="439" t="n">
        <v>0.213</v>
      </c>
      <c r="I43" s="442" t="inlineStr">
        <is>
          <t>RT</t>
        </is>
      </c>
      <c r="J43" s="436" t="inlineStr">
        <is>
          <t>RT</t>
        </is>
      </c>
      <c r="K43" s="436" t="n">
        <v>0.264</v>
      </c>
      <c r="L43" s="436" t="n">
        <v>0.247</v>
      </c>
      <c r="M43" s="439" t="inlineStr">
        <is>
          <t>RT</t>
        </is>
      </c>
      <c r="N43" s="442" t="inlineStr">
        <is>
          <t>RT</t>
        </is>
      </c>
      <c r="O43" s="436" t="n">
        <v>0.227</v>
      </c>
      <c r="P43" s="436" t="n">
        <v>0.212</v>
      </c>
      <c r="Q43" s="436" t="n">
        <v>0.216</v>
      </c>
      <c r="R43" s="439" t="n">
        <v>0.214</v>
      </c>
      <c r="S43" s="442" t="n">
        <v>0.198</v>
      </c>
      <c r="T43" s="436" t="n">
        <v>0.222</v>
      </c>
      <c r="U43" s="436" t="n">
        <v>0.192</v>
      </c>
      <c r="V43" s="436" t="n">
        <v>0.194</v>
      </c>
      <c r="W43" s="439" t="n">
        <v>0.181</v>
      </c>
      <c r="X43" s="442" t="n">
        <v>0.182</v>
      </c>
      <c r="Y43" s="436" t="n">
        <v>0.191</v>
      </c>
      <c r="Z43" s="436" t="n">
        <v>0.184</v>
      </c>
      <c r="AA43" s="436" t="n">
        <v>0.194</v>
      </c>
      <c r="AB43" s="439" t="n">
        <v>0.205</v>
      </c>
      <c r="AC43" s="442" t="n">
        <v>0.202</v>
      </c>
      <c r="AD43" s="436" t="n">
        <v>0.185</v>
      </c>
      <c r="AE43" s="436" t="n">
        <v>0.183</v>
      </c>
      <c r="AF43" s="436" t="n">
        <v>0.193</v>
      </c>
      <c r="AG43" s="439" t="n">
        <v>0.182</v>
      </c>
      <c r="AH43" s="442" t="n">
        <v>0.215</v>
      </c>
      <c r="AI43" s="436" t="n">
        <v>0.196</v>
      </c>
      <c r="AJ43" s="436" t="n">
        <v>0.209</v>
      </c>
      <c r="AK43" s="436" t="n">
        <v>0.229</v>
      </c>
      <c r="AL43" s="439" t="n">
        <v>0.232</v>
      </c>
      <c r="AM43" s="442" t="n">
        <v>0.196</v>
      </c>
      <c r="AN43" s="436" t="n">
        <v>0.177</v>
      </c>
      <c r="AO43" s="436" t="n">
        <v>0.175</v>
      </c>
      <c r="AP43" s="436" t="n">
        <v>0.186</v>
      </c>
      <c r="AQ43" s="439" t="n">
        <v>0.185</v>
      </c>
      <c r="AR43" s="442" t="n">
        <v>0.188</v>
      </c>
      <c r="AS43" s="436" t="n">
        <v>0.191</v>
      </c>
      <c r="AT43" s="436" t="n">
        <v>0.19</v>
      </c>
      <c r="AU43" s="436" t="n">
        <v>0.19</v>
      </c>
      <c r="AV43" s="439" t="n">
        <v>0.198</v>
      </c>
      <c r="AW43" s="442" t="n">
        <v>0.2</v>
      </c>
      <c r="AX43" s="436" t="n">
        <v>0.2</v>
      </c>
      <c r="AY43" s="436" t="n">
        <v>0.195</v>
      </c>
      <c r="AZ43" s="436" t="n">
        <v>0.199</v>
      </c>
      <c r="BA43" s="439" t="n">
        <v>0.204</v>
      </c>
      <c r="BB43" s="442" t="n">
        <v>0.19</v>
      </c>
      <c r="BC43" s="436" t="n">
        <v>0.204</v>
      </c>
      <c r="BD43" s="436" t="n">
        <v>0.194</v>
      </c>
      <c r="BE43" s="436" t="n">
        <v>0.203</v>
      </c>
      <c r="BF43" s="439" t="n">
        <v>0.205</v>
      </c>
      <c r="BG43" s="442" t="n">
        <v>0.198</v>
      </c>
      <c r="BH43" s="436" t="n">
        <v>0.202</v>
      </c>
      <c r="BI43" s="436" t="n">
        <v>0.2</v>
      </c>
      <c r="BJ43" s="436" t="n">
        <v>0.206</v>
      </c>
      <c r="BK43" s="439" t="n">
        <v>0.203</v>
      </c>
      <c r="BL43" s="442" t="n">
        <v>0.203</v>
      </c>
      <c r="BM43" s="436" t="n">
        <v>0.208</v>
      </c>
      <c r="BN43" s="436" t="n">
        <v>0.212</v>
      </c>
      <c r="BO43" s="436" t="n">
        <v>0.215</v>
      </c>
      <c r="BP43" s="439" t="n">
        <v>0.22</v>
      </c>
      <c r="BQ43" s="442" t="n">
        <v>0.22</v>
      </c>
      <c r="BR43" s="436" t="n">
        <v>0.222</v>
      </c>
      <c r="BS43" s="436" t="n">
        <v>0.214</v>
      </c>
      <c r="BT43" s="439" t="inlineStr">
        <is>
          <t>RF</t>
        </is>
      </c>
      <c r="BU43" s="454">
        <f>IFERROR(AVERAGE(D43:BT45),0)</f>
        <v/>
      </c>
      <c r="BV43" s="454">
        <f>MIN(D43:BT45)</f>
        <v/>
      </c>
      <c r="BW43" s="238" t="n"/>
      <c r="BX43" s="238" t="n"/>
      <c r="BY43" s="238" t="n"/>
      <c r="BZ43" s="238" t="n"/>
      <c r="CA43" s="238" t="n"/>
      <c r="CB43" s="238" t="n"/>
      <c r="CC43" s="238" t="n"/>
      <c r="CD43" s="238" t="n"/>
      <c r="CE43" s="238" t="n"/>
      <c r="CF43" s="238" t="n"/>
      <c r="CG43" s="238" t="n"/>
      <c r="CH43" s="238" t="n"/>
      <c r="CI43" s="238" t="n"/>
      <c r="CJ43" s="238" t="n"/>
      <c r="CK43" s="238" t="n"/>
      <c r="CL43" s="238" t="n"/>
      <c r="CM43" s="238" t="n"/>
      <c r="CN43" s="238" t="n"/>
      <c r="CO43" s="238" t="n"/>
      <c r="CP43" s="238" t="n"/>
      <c r="CQ43" s="238" t="n"/>
      <c r="CR43" s="238" t="n"/>
      <c r="CS43" s="238" t="n"/>
      <c r="CT43" s="238" t="n"/>
      <c r="CU43" s="238" t="n"/>
      <c r="CV43" s="238" t="n"/>
      <c r="CW43" s="238" t="n"/>
      <c r="CX43" s="238" t="n"/>
      <c r="CY43" s="238" t="n"/>
      <c r="CZ43" s="238" t="n"/>
      <c r="DA43" s="238" t="n"/>
      <c r="DB43" s="238" t="n"/>
      <c r="DC43" s="238" t="n"/>
      <c r="DD43" s="238" t="n"/>
      <c r="DE43" s="238" t="n"/>
      <c r="DF43" s="238" t="n"/>
      <c r="DG43" s="238" t="n"/>
      <c r="DH43" s="238" t="n"/>
      <c r="DI43" s="238" t="n"/>
      <c r="DJ43" s="238" t="n"/>
      <c r="DK43" s="238" t="n"/>
      <c r="DL43" s="238" t="n"/>
      <c r="DM43" s="238" t="n"/>
      <c r="DN43" s="238" t="n"/>
      <c r="DO43" s="238" t="n"/>
      <c r="DP43" s="238" t="n"/>
      <c r="DQ43" s="238" t="n"/>
      <c r="DR43" s="238" t="n"/>
      <c r="DS43" s="238" t="n"/>
      <c r="DT43" s="238" t="n"/>
      <c r="DU43" s="238" t="n"/>
      <c r="DV43" s="238" t="n"/>
      <c r="DW43" s="238" t="n"/>
      <c r="DX43" s="238" t="n"/>
      <c r="DY43" s="238" t="n"/>
      <c r="DZ43" s="23" t="n"/>
      <c r="FQ43" s="212" t="n"/>
      <c r="FR43" s="212" t="n"/>
      <c r="FS43" s="212" t="n"/>
      <c r="FT43" s="212" t="n"/>
      <c r="FU43" s="212" t="n"/>
      <c r="FV43" s="212" t="n"/>
      <c r="FW43" s="212" t="n"/>
      <c r="FX43" s="212" t="n"/>
      <c r="FY43" s="212" t="n"/>
      <c r="FZ43" s="212" t="n"/>
    </row>
    <row r="44" ht="39.95" customFormat="1" customHeight="1" s="5">
      <c r="A44" s="182" t="n">
        <v>0.083</v>
      </c>
      <c r="B44" s="7" t="inlineStr">
        <is>
          <t>+9 FT</t>
        </is>
      </c>
      <c r="C44" s="11" t="inlineStr">
        <is>
          <t>C</t>
        </is>
      </c>
      <c r="D44" s="434" t="n">
        <v>0.225</v>
      </c>
      <c r="E44" s="437" t="n">
        <v>0.219</v>
      </c>
      <c r="F44" s="437" t="n">
        <v>0.219</v>
      </c>
      <c r="G44" s="437" t="n">
        <v>0.234</v>
      </c>
      <c r="H44" s="440" t="n">
        <v>0.211</v>
      </c>
      <c r="I44" s="443" t="inlineStr">
        <is>
          <t>RT</t>
        </is>
      </c>
      <c r="J44" s="437" t="inlineStr">
        <is>
          <t>RT</t>
        </is>
      </c>
      <c r="K44" s="437" t="n">
        <v>0.254</v>
      </c>
      <c r="L44" s="437" t="n">
        <v>0.257</v>
      </c>
      <c r="M44" s="440" t="inlineStr">
        <is>
          <t>RT</t>
        </is>
      </c>
      <c r="N44" s="443" t="inlineStr">
        <is>
          <t>RT</t>
        </is>
      </c>
      <c r="O44" s="437" t="n">
        <v>0.225</v>
      </c>
      <c r="P44" s="437" t="n">
        <v>0.212</v>
      </c>
      <c r="Q44" s="437" t="n">
        <v>0.211</v>
      </c>
      <c r="R44" s="440" t="n">
        <v>0.226</v>
      </c>
      <c r="S44" s="443" t="n">
        <v>0.192</v>
      </c>
      <c r="T44" s="437" t="n">
        <v>0.209</v>
      </c>
      <c r="U44" s="437" t="n">
        <v>0.2</v>
      </c>
      <c r="V44" s="437" t="n">
        <v>0.189</v>
      </c>
      <c r="W44" s="440" t="n">
        <v>0.188</v>
      </c>
      <c r="X44" s="443" t="n">
        <v>0.209</v>
      </c>
      <c r="Y44" s="437" t="n">
        <v>0.189</v>
      </c>
      <c r="Z44" s="437" t="n">
        <v>0.193</v>
      </c>
      <c r="AA44" s="437" t="n">
        <v>0.187</v>
      </c>
      <c r="AB44" s="440" t="n">
        <v>0.195</v>
      </c>
      <c r="AC44" s="443" t="n">
        <v>0.188</v>
      </c>
      <c r="AD44" s="437" t="n">
        <v>0.186</v>
      </c>
      <c r="AE44" s="437" t="n">
        <v>0.185</v>
      </c>
      <c r="AF44" s="437" t="n">
        <v>0.178</v>
      </c>
      <c r="AG44" s="440" t="n">
        <v>0.182</v>
      </c>
      <c r="AH44" s="443" t="n">
        <v>0.195</v>
      </c>
      <c r="AI44" s="437" t="n">
        <v>0.215</v>
      </c>
      <c r="AJ44" s="437" t="n">
        <v>0.21</v>
      </c>
      <c r="AK44" s="437" t="n">
        <v>0.226</v>
      </c>
      <c r="AL44" s="440" t="n">
        <v>0.227</v>
      </c>
      <c r="AM44" s="443" t="n">
        <v>0.201</v>
      </c>
      <c r="AN44" s="437" t="n">
        <v>0.178</v>
      </c>
      <c r="AO44" s="437" t="n">
        <v>0.194</v>
      </c>
      <c r="AP44" s="437" t="n">
        <v>0.202</v>
      </c>
      <c r="AQ44" s="440" t="n">
        <v>0.193</v>
      </c>
      <c r="AR44" s="443" t="n">
        <v>0.189</v>
      </c>
      <c r="AS44" s="437" t="n">
        <v>0.191</v>
      </c>
      <c r="AT44" s="437" t="n">
        <v>0.196</v>
      </c>
      <c r="AU44" s="437" t="n">
        <v>0.187</v>
      </c>
      <c r="AV44" s="440" t="n">
        <v>0.185</v>
      </c>
      <c r="AW44" s="443" t="n">
        <v>0.203</v>
      </c>
      <c r="AX44" s="437" t="n">
        <v>0.196</v>
      </c>
      <c r="AY44" s="437" t="n">
        <v>0.216</v>
      </c>
      <c r="AZ44" s="437" t="n">
        <v>0.197</v>
      </c>
      <c r="BA44" s="440" t="n">
        <v>0.199</v>
      </c>
      <c r="BB44" s="443" t="n">
        <v>0.188</v>
      </c>
      <c r="BC44" s="437" t="n">
        <v>0.194</v>
      </c>
      <c r="BD44" s="437" t="n">
        <v>0.195</v>
      </c>
      <c r="BE44" s="437" t="n">
        <v>0.2</v>
      </c>
      <c r="BF44" s="440" t="n">
        <v>0.214</v>
      </c>
      <c r="BG44" s="443" t="n">
        <v>0.2</v>
      </c>
      <c r="BH44" s="437" t="n">
        <v>0.201</v>
      </c>
      <c r="BI44" s="437" t="n">
        <v>0.203</v>
      </c>
      <c r="BJ44" s="437" t="n">
        <v>0.206</v>
      </c>
      <c r="BK44" s="440" t="n">
        <v>0.211</v>
      </c>
      <c r="BL44" s="443" t="n">
        <v>0.214</v>
      </c>
      <c r="BM44" s="437" t="n">
        <v>0.213</v>
      </c>
      <c r="BN44" s="437" t="n">
        <v>0.217</v>
      </c>
      <c r="BO44" s="437" t="n">
        <v>0.216</v>
      </c>
      <c r="BP44" s="440" t="n">
        <v>0.223</v>
      </c>
      <c r="BQ44" s="443" t="n">
        <v>0.22</v>
      </c>
      <c r="BR44" s="437" t="n">
        <v>0.221</v>
      </c>
      <c r="BS44" s="437" t="n">
        <v>0.217</v>
      </c>
      <c r="BT44" s="440" t="inlineStr">
        <is>
          <t>RF</t>
        </is>
      </c>
      <c r="BU44" s="455" t="n"/>
      <c r="BV44" s="455" t="n"/>
      <c r="BW44" s="238" t="n"/>
      <c r="BX44" s="238" t="n"/>
      <c r="BY44" s="238" t="n"/>
      <c r="BZ44" s="238" t="n"/>
      <c r="CA44" s="238" t="n"/>
      <c r="CB44" s="238" t="n"/>
      <c r="CC44" s="238" t="n"/>
      <c r="CD44" s="238" t="n"/>
      <c r="CE44" s="238" t="n"/>
      <c r="CF44" s="238" t="n"/>
      <c r="CG44" s="238" t="n"/>
      <c r="CH44" s="238" t="n"/>
      <c r="CI44" s="238" t="n"/>
      <c r="CJ44" s="238" t="n"/>
      <c r="CK44" s="238" t="n"/>
      <c r="CL44" s="238" t="n"/>
      <c r="CM44" s="238" t="n"/>
      <c r="CN44" s="238" t="n"/>
      <c r="CO44" s="238" t="n"/>
      <c r="CP44" s="238" t="n"/>
      <c r="CQ44" s="238" t="n"/>
      <c r="CR44" s="238" t="n"/>
      <c r="CS44" s="238" t="n"/>
      <c r="CT44" s="238" t="n"/>
      <c r="CU44" s="238" t="n"/>
      <c r="CV44" s="238" t="n"/>
      <c r="CW44" s="238" t="n"/>
      <c r="CX44" s="238" t="n"/>
      <c r="CY44" s="238" t="n"/>
      <c r="CZ44" s="238" t="n"/>
      <c r="DA44" s="238" t="n"/>
      <c r="DB44" s="238" t="n"/>
      <c r="DC44" s="238" t="n"/>
      <c r="DD44" s="238" t="n"/>
      <c r="DE44" s="238" t="n"/>
      <c r="DF44" s="238" t="n"/>
      <c r="DG44" s="238" t="n"/>
      <c r="DH44" s="238" t="n"/>
      <c r="DI44" s="238" t="n"/>
      <c r="DJ44" s="238" t="n"/>
      <c r="DK44" s="238" t="n"/>
      <c r="DL44" s="238" t="n"/>
      <c r="DM44" s="238" t="n"/>
      <c r="DN44" s="238" t="n"/>
      <c r="DO44" s="238" t="n"/>
      <c r="DP44" s="238" t="n"/>
      <c r="DQ44" s="238" t="n"/>
      <c r="DR44" s="238" t="n"/>
      <c r="DS44" s="238" t="n"/>
      <c r="DT44" s="238" t="n"/>
      <c r="DU44" s="238" t="n"/>
      <c r="DV44" s="238" t="n"/>
      <c r="DW44" s="238" t="n"/>
      <c r="DX44" s="238" t="n"/>
      <c r="DY44" s="238" t="n"/>
      <c r="DZ44" s="23" t="n"/>
      <c r="FQ44" s="212" t="n"/>
      <c r="FR44" s="212" t="n"/>
      <c r="FS44" s="212" t="n"/>
      <c r="FT44" s="212" t="n"/>
      <c r="FU44" s="212" t="n"/>
      <c r="FV44" s="212" t="n"/>
      <c r="FW44" s="212" t="n"/>
      <c r="FX44" s="212" t="n"/>
      <c r="FY44" s="212" t="n"/>
      <c r="FZ44" s="212" t="n"/>
    </row>
    <row r="45" ht="39.95" customFormat="1" customHeight="1" s="5">
      <c r="A45" s="456" t="n"/>
      <c r="B45" s="8" t="n"/>
      <c r="C45" s="12" t="inlineStr">
        <is>
          <t>R</t>
        </is>
      </c>
      <c r="D45" s="435" t="n">
        <v>0.223</v>
      </c>
      <c r="E45" s="438" t="n">
        <v>0.22</v>
      </c>
      <c r="F45" s="438" t="n">
        <v>0.226</v>
      </c>
      <c r="G45" s="438" t="n">
        <v>0.223</v>
      </c>
      <c r="H45" s="441" t="n">
        <v>0.213</v>
      </c>
      <c r="I45" s="444" t="inlineStr">
        <is>
          <t>RT</t>
        </is>
      </c>
      <c r="J45" s="438" t="inlineStr">
        <is>
          <t>RT</t>
        </is>
      </c>
      <c r="K45" s="438" t="n">
        <v>0.256</v>
      </c>
      <c r="L45" s="438" t="n">
        <v>0.266</v>
      </c>
      <c r="M45" s="441" t="inlineStr">
        <is>
          <t>RT</t>
        </is>
      </c>
      <c r="N45" s="444" t="inlineStr">
        <is>
          <t>RT</t>
        </is>
      </c>
      <c r="O45" s="438" t="n">
        <v>0.221</v>
      </c>
      <c r="P45" s="438" t="n">
        <v>0.22</v>
      </c>
      <c r="Q45" s="438" t="n">
        <v>0.215</v>
      </c>
      <c r="R45" s="441" t="n">
        <v>0.224</v>
      </c>
      <c r="S45" s="444" t="n">
        <v>0.192</v>
      </c>
      <c r="T45" s="438" t="n">
        <v>0.214</v>
      </c>
      <c r="U45" s="438" t="n">
        <v>0.214</v>
      </c>
      <c r="V45" s="438" t="n">
        <v>0.201</v>
      </c>
      <c r="W45" s="441" t="n">
        <v>0.204</v>
      </c>
      <c r="X45" s="444" t="n">
        <v>0.196</v>
      </c>
      <c r="Y45" s="438" t="n">
        <v>0.195</v>
      </c>
      <c r="Z45" s="438" t="n">
        <v>0.218</v>
      </c>
      <c r="AA45" s="438" t="n">
        <v>0.207</v>
      </c>
      <c r="AB45" s="441" t="n">
        <v>0.203</v>
      </c>
      <c r="AC45" s="444" t="n">
        <v>0.184</v>
      </c>
      <c r="AD45" s="438" t="n">
        <v>0.183</v>
      </c>
      <c r="AE45" s="438" t="n">
        <v>0.191</v>
      </c>
      <c r="AF45" s="438" t="n">
        <v>0.198</v>
      </c>
      <c r="AG45" s="441" t="n">
        <v>0.185</v>
      </c>
      <c r="AH45" s="444" t="n">
        <v>0.19</v>
      </c>
      <c r="AI45" s="438" t="n">
        <v>0.218</v>
      </c>
      <c r="AJ45" s="438" t="n">
        <v>0.216</v>
      </c>
      <c r="AK45" s="438" t="n">
        <v>0.234</v>
      </c>
      <c r="AL45" s="441" t="n">
        <v>0.227</v>
      </c>
      <c r="AM45" s="444" t="n">
        <v>0.193</v>
      </c>
      <c r="AN45" s="438" t="n">
        <v>0.197</v>
      </c>
      <c r="AO45" s="438" t="n">
        <v>0.195</v>
      </c>
      <c r="AP45" s="438" t="n">
        <v>0.212</v>
      </c>
      <c r="AQ45" s="441" t="n">
        <v>0.204</v>
      </c>
      <c r="AR45" s="444" t="n">
        <v>0.19</v>
      </c>
      <c r="AS45" s="438" t="n">
        <v>0.203</v>
      </c>
      <c r="AT45" s="438" t="n">
        <v>0.192</v>
      </c>
      <c r="AU45" s="438" t="n">
        <v>0.194</v>
      </c>
      <c r="AV45" s="441" t="n">
        <v>0.189</v>
      </c>
      <c r="AW45" s="444" t="n">
        <v>0.188</v>
      </c>
      <c r="AX45" s="438" t="n">
        <v>0.192</v>
      </c>
      <c r="AY45" s="438" t="n">
        <v>0.2</v>
      </c>
      <c r="AZ45" s="438" t="n">
        <v>0.211</v>
      </c>
      <c r="BA45" s="441" t="n">
        <v>0.214</v>
      </c>
      <c r="BB45" s="444" t="n">
        <v>0.193</v>
      </c>
      <c r="BC45" s="438" t="n">
        <v>0.201</v>
      </c>
      <c r="BD45" s="438" t="n">
        <v>0.197</v>
      </c>
      <c r="BE45" s="438" t="n">
        <v>0.195</v>
      </c>
      <c r="BF45" s="441" t="n">
        <v>0.206</v>
      </c>
      <c r="BG45" s="444" t="n">
        <v>0.212</v>
      </c>
      <c r="BH45" s="438" t="n">
        <v>0.213</v>
      </c>
      <c r="BI45" s="438" t="n">
        <v>0.202</v>
      </c>
      <c r="BJ45" s="438" t="n">
        <v>0.208</v>
      </c>
      <c r="BK45" s="441" t="n">
        <v>0.214</v>
      </c>
      <c r="BL45" s="444" t="n">
        <v>0.206</v>
      </c>
      <c r="BM45" s="438" t="n">
        <v>0.206</v>
      </c>
      <c r="BN45" s="438" t="n">
        <v>0.22</v>
      </c>
      <c r="BO45" s="438" t="n">
        <v>0.212</v>
      </c>
      <c r="BP45" s="441" t="n">
        <v>0.219</v>
      </c>
      <c r="BQ45" s="444" t="n">
        <v>0.218</v>
      </c>
      <c r="BR45" s="438" t="n">
        <v>0.217</v>
      </c>
      <c r="BS45" s="438" t="n">
        <v>0.214</v>
      </c>
      <c r="BT45" s="441" t="inlineStr">
        <is>
          <t>RF</t>
        </is>
      </c>
      <c r="BU45" s="457" t="n"/>
      <c r="BV45" s="457" t="n"/>
      <c r="BW45" s="238" t="n"/>
      <c r="BX45" s="238" t="n"/>
      <c r="BY45" s="238" t="n"/>
      <c r="BZ45" s="238" t="n"/>
      <c r="CA45" s="238" t="n"/>
      <c r="CB45" s="238" t="n"/>
      <c r="CC45" s="238" t="n"/>
      <c r="CD45" s="238" t="n"/>
      <c r="CE45" s="238" t="n"/>
      <c r="CF45" s="238" t="n"/>
      <c r="CG45" s="238" t="n"/>
      <c r="CH45" s="238" t="n"/>
      <c r="CI45" s="238" t="n"/>
      <c r="CJ45" s="238" t="n"/>
      <c r="CK45" s="238" t="n"/>
      <c r="CL45" s="238" t="n"/>
      <c r="CM45" s="238" t="n"/>
      <c r="CN45" s="238" t="n"/>
      <c r="CO45" s="238" t="n"/>
      <c r="CP45" s="238" t="n"/>
      <c r="CQ45" s="238" t="n"/>
      <c r="CR45" s="238" t="n"/>
      <c r="CS45" s="238" t="n"/>
      <c r="CT45" s="238" t="n"/>
      <c r="CU45" s="238" t="n"/>
      <c r="CV45" s="238" t="n"/>
      <c r="CW45" s="238" t="n"/>
      <c r="CX45" s="238" t="n"/>
      <c r="CY45" s="238" t="n"/>
      <c r="CZ45" s="238" t="n"/>
      <c r="DA45" s="238" t="n"/>
      <c r="DB45" s="238" t="n"/>
      <c r="DC45" s="238" t="n"/>
      <c r="DD45" s="238" t="n"/>
      <c r="DE45" s="238" t="n"/>
      <c r="DF45" s="238" t="n"/>
      <c r="DG45" s="238" t="n"/>
      <c r="DH45" s="238" t="n"/>
      <c r="DI45" s="238" t="n"/>
      <c r="DJ45" s="238" t="n"/>
      <c r="DK45" s="238" t="n"/>
      <c r="DL45" s="238" t="n"/>
      <c r="DM45" s="238" t="n"/>
      <c r="DN45" s="238" t="n"/>
      <c r="DO45" s="238" t="n"/>
      <c r="DP45" s="238" t="n"/>
      <c r="DQ45" s="238" t="n"/>
      <c r="DR45" s="238" t="n"/>
      <c r="DS45" s="238" t="n"/>
      <c r="DT45" s="238" t="n"/>
      <c r="DU45" s="238" t="n"/>
      <c r="DV45" s="238" t="n"/>
      <c r="DW45" s="238" t="n"/>
      <c r="DX45" s="238" t="n"/>
      <c r="DY45" s="238" t="n"/>
      <c r="DZ45" s="23" t="n"/>
      <c r="FQ45" s="212" t="n"/>
      <c r="FR45" s="212" t="n"/>
      <c r="FS45" s="212" t="n"/>
      <c r="FT45" s="212" t="n"/>
      <c r="FU45" s="212" t="n"/>
      <c r="FV45" s="212" t="n"/>
      <c r="FW45" s="212" t="n"/>
      <c r="FX45" s="212" t="n"/>
      <c r="FY45" s="212" t="n"/>
      <c r="FZ45" s="212" t="n"/>
    </row>
    <row r="46" ht="39.95" customFormat="1" customHeight="1" s="5">
      <c r="A46" s="10" t="inlineStr">
        <is>
          <t>A</t>
        </is>
      </c>
      <c r="B46" s="6" t="n"/>
      <c r="C46" s="11" t="inlineStr">
        <is>
          <t>L</t>
        </is>
      </c>
      <c r="D46" s="433" t="n">
        <v>0.213</v>
      </c>
      <c r="E46" s="436" t="n">
        <v>0.225</v>
      </c>
      <c r="F46" s="436" t="n">
        <v>0.23</v>
      </c>
      <c r="G46" s="436" t="n">
        <v>0.226</v>
      </c>
      <c r="H46" s="439" t="n">
        <v>0.209</v>
      </c>
      <c r="I46" s="442" t="n">
        <v>0.258</v>
      </c>
      <c r="J46" s="436" t="n">
        <v>0.242</v>
      </c>
      <c r="K46" s="436" t="n">
        <v>0.253</v>
      </c>
      <c r="L46" s="436" t="n">
        <v>0.253</v>
      </c>
      <c r="M46" s="439" t="n">
        <v>0.253</v>
      </c>
      <c r="N46" s="442" t="n">
        <v>0.251</v>
      </c>
      <c r="O46" s="436" t="n">
        <v>0.214</v>
      </c>
      <c r="P46" s="436" t="n">
        <v>0.226</v>
      </c>
      <c r="Q46" s="436" t="n">
        <v>0.195</v>
      </c>
      <c r="R46" s="439" t="n">
        <v>0.212</v>
      </c>
      <c r="S46" s="442" t="n">
        <v>0.198</v>
      </c>
      <c r="T46" s="436" t="n">
        <v>0.194</v>
      </c>
      <c r="U46" s="436" t="n">
        <v>0.199</v>
      </c>
      <c r="V46" s="436" t="n">
        <v>0.183</v>
      </c>
      <c r="W46" s="439" t="n">
        <v>0.203</v>
      </c>
      <c r="X46" s="442" t="n">
        <v>0.173</v>
      </c>
      <c r="Y46" s="436" t="n">
        <v>0.18</v>
      </c>
      <c r="Z46" s="436" t="n">
        <v>0.203</v>
      </c>
      <c r="AA46" s="436" t="n">
        <v>0.187</v>
      </c>
      <c r="AB46" s="439" t="n">
        <v>0.205</v>
      </c>
      <c r="AC46" s="442" t="n">
        <v>0.178</v>
      </c>
      <c r="AD46" s="436" t="n">
        <v>0.186</v>
      </c>
      <c r="AE46" s="436" t="n">
        <v>0.208</v>
      </c>
      <c r="AF46" s="436" t="n">
        <v>0.179</v>
      </c>
      <c r="AG46" s="439" t="n">
        <v>0.186</v>
      </c>
      <c r="AH46" s="442" t="n">
        <v>0.166</v>
      </c>
      <c r="AI46" s="436" t="n">
        <v>0.18</v>
      </c>
      <c r="AJ46" s="436" t="n">
        <v>0.17</v>
      </c>
      <c r="AK46" s="436" t="n">
        <v>0.199</v>
      </c>
      <c r="AL46" s="439" t="n">
        <v>0.188</v>
      </c>
      <c r="AM46" s="442" t="n">
        <v>0.22</v>
      </c>
      <c r="AN46" s="436" t="n">
        <v>0.212</v>
      </c>
      <c r="AO46" s="436" t="n">
        <v>0.193</v>
      </c>
      <c r="AP46" s="436" t="n">
        <v>0.186</v>
      </c>
      <c r="AQ46" s="439" t="n">
        <v>0.196</v>
      </c>
      <c r="AR46" s="442" t="n">
        <v>0.211</v>
      </c>
      <c r="AS46" s="436" t="n">
        <v>0.211</v>
      </c>
      <c r="AT46" s="436" t="n">
        <v>0.193</v>
      </c>
      <c r="AU46" s="436" t="n">
        <v>0.202</v>
      </c>
      <c r="AV46" s="439" t="n">
        <v>0.198</v>
      </c>
      <c r="AW46" s="442" t="n">
        <v>0.192</v>
      </c>
      <c r="AX46" s="436" t="n">
        <v>0.189</v>
      </c>
      <c r="AY46" s="436" t="n">
        <v>0.201</v>
      </c>
      <c r="AZ46" s="436" t="n">
        <v>0.199</v>
      </c>
      <c r="BA46" s="439" t="n">
        <v>0.186</v>
      </c>
      <c r="BB46" s="442" t="n">
        <v>0.19</v>
      </c>
      <c r="BC46" s="436" t="n">
        <v>0.181</v>
      </c>
      <c r="BD46" s="436" t="n">
        <v>0.204</v>
      </c>
      <c r="BE46" s="436" t="n">
        <v>0.199</v>
      </c>
      <c r="BF46" s="439" t="n">
        <v>0.207</v>
      </c>
      <c r="BG46" s="442" t="n">
        <v>0.203</v>
      </c>
      <c r="BH46" s="436" t="n">
        <v>0.203</v>
      </c>
      <c r="BI46" s="436" t="n">
        <v>0.204</v>
      </c>
      <c r="BJ46" s="436" t="n">
        <v>0.211</v>
      </c>
      <c r="BK46" s="439" t="n">
        <v>0.214</v>
      </c>
      <c r="BL46" s="442" t="n">
        <v>0.207</v>
      </c>
      <c r="BM46" s="436" t="n">
        <v>0.215</v>
      </c>
      <c r="BN46" s="436" t="n">
        <v>0.202</v>
      </c>
      <c r="BO46" s="436" t="n">
        <v>0.215</v>
      </c>
      <c r="BP46" s="439" t="n">
        <v>0.226</v>
      </c>
      <c r="BQ46" s="442" t="n">
        <v>0.212</v>
      </c>
      <c r="BR46" s="436" t="n">
        <v>0.224</v>
      </c>
      <c r="BS46" s="436" t="n">
        <v>0.222</v>
      </c>
      <c r="BT46" s="439" t="inlineStr">
        <is>
          <t>RF</t>
        </is>
      </c>
      <c r="BU46" s="454">
        <f>IFERROR(AVERAGE(D46:BT48),0)</f>
        <v/>
      </c>
      <c r="BV46" s="454">
        <f>MIN(D46:BT48)</f>
        <v/>
      </c>
      <c r="BW46" s="238" t="n"/>
      <c r="BX46" s="238" t="n"/>
      <c r="BY46" s="238" t="n"/>
      <c r="BZ46" s="238" t="n"/>
      <c r="CA46" s="238" t="n"/>
      <c r="CB46" s="238" t="n"/>
      <c r="CC46" s="238" t="n"/>
      <c r="CD46" s="238" t="n"/>
      <c r="CE46" s="238" t="n"/>
      <c r="CF46" s="238" t="n"/>
      <c r="CG46" s="238" t="n"/>
      <c r="CH46" s="238" t="n"/>
      <c r="CI46" s="238" t="n"/>
      <c r="CJ46" s="238" t="n"/>
      <c r="CK46" s="238" t="n"/>
      <c r="CL46" s="238" t="n"/>
      <c r="CM46" s="238" t="n"/>
      <c r="CN46" s="238" t="n"/>
      <c r="CO46" s="238" t="n"/>
      <c r="CP46" s="238" t="n"/>
      <c r="CQ46" s="238" t="n"/>
      <c r="CR46" s="238" t="n"/>
      <c r="CS46" s="238" t="n"/>
      <c r="CT46" s="238" t="n"/>
      <c r="CU46" s="238" t="n"/>
      <c r="CV46" s="238" t="n"/>
      <c r="CW46" s="238" t="n"/>
      <c r="CX46" s="238" t="n"/>
      <c r="CY46" s="238" t="n"/>
      <c r="CZ46" s="238" t="n"/>
      <c r="DA46" s="238" t="n"/>
      <c r="DB46" s="238" t="n"/>
      <c r="DC46" s="238" t="n"/>
      <c r="DD46" s="238" t="n"/>
      <c r="DE46" s="238" t="n"/>
      <c r="DF46" s="238" t="n"/>
      <c r="DG46" s="238" t="n"/>
      <c r="DH46" s="238" t="n"/>
      <c r="DI46" s="238" t="n"/>
      <c r="DJ46" s="238" t="n"/>
      <c r="DK46" s="238" t="n"/>
      <c r="DL46" s="238" t="n"/>
      <c r="DM46" s="238" t="n"/>
      <c r="DN46" s="238" t="n"/>
      <c r="DO46" s="238" t="n"/>
      <c r="DP46" s="238" t="n"/>
      <c r="DQ46" s="238" t="n"/>
      <c r="DR46" s="238" t="n"/>
      <c r="DS46" s="238" t="n"/>
      <c r="DT46" s="238" t="n"/>
      <c r="DU46" s="238" t="n"/>
      <c r="DV46" s="238" t="n"/>
      <c r="DW46" s="238" t="n"/>
      <c r="DX46" s="238" t="n"/>
      <c r="DY46" s="238" t="n"/>
      <c r="DZ46" s="23" t="n"/>
      <c r="FQ46" s="212" t="n"/>
      <c r="FR46" s="212" t="n"/>
      <c r="FS46" s="212" t="n"/>
      <c r="FT46" s="212" t="n"/>
      <c r="FU46" s="212" t="n"/>
      <c r="FV46" s="212" t="n"/>
      <c r="FW46" s="212" t="n"/>
      <c r="FX46" s="212" t="n"/>
      <c r="FY46" s="212" t="n"/>
      <c r="FZ46" s="212" t="n"/>
    </row>
    <row r="47" ht="39.95" customFormat="1" customHeight="1" s="5">
      <c r="A47" s="182" t="n">
        <v>0.083</v>
      </c>
      <c r="B47" s="7" t="inlineStr">
        <is>
          <t>+7 FT 6 IN</t>
        </is>
      </c>
      <c r="C47" s="11" t="inlineStr">
        <is>
          <t>C</t>
        </is>
      </c>
      <c r="D47" s="434" t="n">
        <v>0.215</v>
      </c>
      <c r="E47" s="437" t="n">
        <v>0.221</v>
      </c>
      <c r="F47" s="437" t="n">
        <v>0.221</v>
      </c>
      <c r="G47" s="437" t="n">
        <v>0.214</v>
      </c>
      <c r="H47" s="440" t="n">
        <v>0.216</v>
      </c>
      <c r="I47" s="443" t="n">
        <v>0.249</v>
      </c>
      <c r="J47" s="437" t="n">
        <v>0.257</v>
      </c>
      <c r="K47" s="437" t="n">
        <v>0.246</v>
      </c>
      <c r="L47" s="437" t="n">
        <v>0.242</v>
      </c>
      <c r="M47" s="440" t="n">
        <v>0.259</v>
      </c>
      <c r="N47" s="443" t="n">
        <v>0.257</v>
      </c>
      <c r="O47" s="437" t="n">
        <v>0.21</v>
      </c>
      <c r="P47" s="437" t="n">
        <v>0.211</v>
      </c>
      <c r="Q47" s="437" t="n">
        <v>0.194</v>
      </c>
      <c r="R47" s="440" t="n">
        <v>0.207</v>
      </c>
      <c r="S47" s="443" t="n">
        <v>0.192</v>
      </c>
      <c r="T47" s="437" t="n">
        <v>0.185</v>
      </c>
      <c r="U47" s="437" t="n">
        <v>0.199</v>
      </c>
      <c r="V47" s="437" t="n">
        <v>0.205</v>
      </c>
      <c r="W47" s="440" t="n">
        <v>0.192</v>
      </c>
      <c r="X47" s="443" t="n">
        <v>0.178</v>
      </c>
      <c r="Y47" s="437" t="n">
        <v>0.181</v>
      </c>
      <c r="Z47" s="437" t="n">
        <v>0.2</v>
      </c>
      <c r="AA47" s="437" t="n">
        <v>0.199</v>
      </c>
      <c r="AB47" s="440" t="n">
        <v>0.185</v>
      </c>
      <c r="AC47" s="443" t="n">
        <v>0.174</v>
      </c>
      <c r="AD47" s="437" t="n">
        <v>0.183</v>
      </c>
      <c r="AE47" s="437" t="n">
        <v>0.192</v>
      </c>
      <c r="AF47" s="437" t="n">
        <v>0.176</v>
      </c>
      <c r="AG47" s="440" t="n">
        <v>0.195</v>
      </c>
      <c r="AH47" s="443" t="n">
        <v>0.187</v>
      </c>
      <c r="AI47" s="437" t="n">
        <v>0.178</v>
      </c>
      <c r="AJ47" s="437" t="n">
        <v>0.188</v>
      </c>
      <c r="AK47" s="437" t="n">
        <v>0.192</v>
      </c>
      <c r="AL47" s="440" t="n">
        <v>0.204</v>
      </c>
      <c r="AM47" s="443" t="n">
        <v>0.211</v>
      </c>
      <c r="AN47" s="437" t="n">
        <v>0.211</v>
      </c>
      <c r="AO47" s="437" t="n">
        <v>0.197</v>
      </c>
      <c r="AP47" s="437" t="n">
        <v>0.2</v>
      </c>
      <c r="AQ47" s="440" t="n">
        <v>0.202</v>
      </c>
      <c r="AR47" s="443" t="n">
        <v>0.197</v>
      </c>
      <c r="AS47" s="437" t="n">
        <v>0.192</v>
      </c>
      <c r="AT47" s="437" t="n">
        <v>0.196</v>
      </c>
      <c r="AU47" s="437" t="n">
        <v>0.205</v>
      </c>
      <c r="AV47" s="440" t="n">
        <v>0.195</v>
      </c>
      <c r="AW47" s="443" t="n">
        <v>0.201</v>
      </c>
      <c r="AX47" s="437" t="n">
        <v>0.215</v>
      </c>
      <c r="AY47" s="437" t="n">
        <v>0.198</v>
      </c>
      <c r="AZ47" s="437" t="n">
        <v>0.195</v>
      </c>
      <c r="BA47" s="440" t="n">
        <v>0.192</v>
      </c>
      <c r="BB47" s="443" t="n">
        <v>0.195</v>
      </c>
      <c r="BC47" s="437" t="n">
        <v>0.195</v>
      </c>
      <c r="BD47" s="437" t="n">
        <v>0.2</v>
      </c>
      <c r="BE47" s="437" t="n">
        <v>0.199</v>
      </c>
      <c r="BF47" s="440" t="n">
        <v>0.207</v>
      </c>
      <c r="BG47" s="443" t="n">
        <v>0.206</v>
      </c>
      <c r="BH47" s="437" t="n">
        <v>0.208</v>
      </c>
      <c r="BI47" s="437" t="n">
        <v>0.204</v>
      </c>
      <c r="BJ47" s="437" t="n">
        <v>0.21</v>
      </c>
      <c r="BK47" s="440" t="n">
        <v>0.212</v>
      </c>
      <c r="BL47" s="443" t="n">
        <v>0.208</v>
      </c>
      <c r="BM47" s="437" t="n">
        <v>0.203</v>
      </c>
      <c r="BN47" s="437" t="n">
        <v>0.205</v>
      </c>
      <c r="BO47" s="437" t="n">
        <v>0.215</v>
      </c>
      <c r="BP47" s="440" t="n">
        <v>0.228</v>
      </c>
      <c r="BQ47" s="443" t="n">
        <v>0.21</v>
      </c>
      <c r="BR47" s="437" t="n">
        <v>0.22</v>
      </c>
      <c r="BS47" s="437" t="n">
        <v>0.207</v>
      </c>
      <c r="BT47" s="440" t="inlineStr">
        <is>
          <t>RF</t>
        </is>
      </c>
      <c r="BU47" s="455" t="n"/>
      <c r="BV47" s="455" t="n"/>
      <c r="BW47" s="238" t="n"/>
      <c r="BX47" s="238" t="n"/>
      <c r="BY47" s="238" t="n"/>
      <c r="BZ47" s="238" t="n"/>
      <c r="CA47" s="238" t="n"/>
      <c r="CB47" s="238" t="n"/>
      <c r="CC47" s="238" t="n"/>
      <c r="CD47" s="238" t="n"/>
      <c r="CE47" s="238" t="n"/>
      <c r="CF47" s="238" t="n"/>
      <c r="CG47" s="238" t="n"/>
      <c r="CH47" s="238" t="n"/>
      <c r="CI47" s="238" t="n"/>
      <c r="CJ47" s="238" t="n"/>
      <c r="CK47" s="238" t="n"/>
      <c r="CL47" s="238" t="n"/>
      <c r="CM47" s="238" t="n"/>
      <c r="CN47" s="238" t="n"/>
      <c r="CO47" s="238" t="n"/>
      <c r="CP47" s="238" t="n"/>
      <c r="CQ47" s="238" t="n"/>
      <c r="CR47" s="238" t="n"/>
      <c r="CS47" s="238" t="n"/>
      <c r="CT47" s="238" t="n"/>
      <c r="CU47" s="238" t="n"/>
      <c r="CV47" s="238" t="n"/>
      <c r="CW47" s="238" t="n"/>
      <c r="CX47" s="238" t="n"/>
      <c r="CY47" s="238" t="n"/>
      <c r="CZ47" s="238" t="n"/>
      <c r="DA47" s="238" t="n"/>
      <c r="DB47" s="238" t="n"/>
      <c r="DC47" s="238" t="n"/>
      <c r="DD47" s="238" t="n"/>
      <c r="DE47" s="238" t="n"/>
      <c r="DF47" s="238" t="n"/>
      <c r="DG47" s="238" t="n"/>
      <c r="DH47" s="238" t="n"/>
      <c r="DI47" s="238" t="n"/>
      <c r="DJ47" s="238" t="n"/>
      <c r="DK47" s="238" t="n"/>
      <c r="DL47" s="238" t="n"/>
      <c r="DM47" s="238" t="n"/>
      <c r="DN47" s="238" t="n"/>
      <c r="DO47" s="238" t="n"/>
      <c r="DP47" s="238" t="n"/>
      <c r="DQ47" s="238" t="n"/>
      <c r="DR47" s="238" t="n"/>
      <c r="DS47" s="238" t="n"/>
      <c r="DT47" s="238" t="n"/>
      <c r="DU47" s="238" t="n"/>
      <c r="DV47" s="238" t="n"/>
      <c r="DW47" s="238" t="n"/>
      <c r="DX47" s="238" t="n"/>
      <c r="DY47" s="238" t="n"/>
      <c r="DZ47" s="23" t="n"/>
      <c r="FQ47" s="212" t="n"/>
      <c r="FR47" s="212" t="n"/>
      <c r="FS47" s="212" t="n"/>
      <c r="FT47" s="212" t="n"/>
      <c r="FU47" s="212" t="n"/>
      <c r="FV47" s="212" t="n"/>
      <c r="FW47" s="212" t="n"/>
      <c r="FX47" s="212" t="n"/>
      <c r="FY47" s="212" t="n"/>
      <c r="FZ47" s="212" t="n"/>
    </row>
    <row r="48" ht="39.95" customFormat="1" customHeight="1" s="5">
      <c r="A48" s="456" t="n"/>
      <c r="B48" s="8" t="n"/>
      <c r="C48" s="12" t="inlineStr">
        <is>
          <t>R</t>
        </is>
      </c>
      <c r="D48" s="435" t="n">
        <v>0.217</v>
      </c>
      <c r="E48" s="438" t="n">
        <v>0.218</v>
      </c>
      <c r="F48" s="438" t="n">
        <v>0.231</v>
      </c>
      <c r="G48" s="438" t="n">
        <v>0.218</v>
      </c>
      <c r="H48" s="441" t="n">
        <v>0.234</v>
      </c>
      <c r="I48" s="444" t="n">
        <v>0.242</v>
      </c>
      <c r="J48" s="438" t="n">
        <v>0.257</v>
      </c>
      <c r="K48" s="438" t="n">
        <v>0.249</v>
      </c>
      <c r="L48" s="438" t="n">
        <v>0.239</v>
      </c>
      <c r="M48" s="441" t="n">
        <v>0.243</v>
      </c>
      <c r="N48" s="444" t="n">
        <v>0.239</v>
      </c>
      <c r="O48" s="438" t="n">
        <v>0.202</v>
      </c>
      <c r="P48" s="438" t="n">
        <v>0.191</v>
      </c>
      <c r="Q48" s="438" t="n">
        <v>0.209</v>
      </c>
      <c r="R48" s="441" t="n">
        <v>0.205</v>
      </c>
      <c r="S48" s="444" t="n">
        <v>0.177</v>
      </c>
      <c r="T48" s="438" t="n">
        <v>0.222</v>
      </c>
      <c r="U48" s="438" t="n">
        <v>0.205</v>
      </c>
      <c r="V48" s="438" t="n">
        <v>0.193</v>
      </c>
      <c r="W48" s="441" t="n">
        <v>0.196</v>
      </c>
      <c r="X48" s="444" t="n">
        <v>0.196</v>
      </c>
      <c r="Y48" s="438" t="n">
        <v>0.194</v>
      </c>
      <c r="Z48" s="438" t="n">
        <v>0.179</v>
      </c>
      <c r="AA48" s="438" t="n">
        <v>0.189</v>
      </c>
      <c r="AB48" s="441" t="n">
        <v>0.201</v>
      </c>
      <c r="AC48" s="444" t="n">
        <v>0.177</v>
      </c>
      <c r="AD48" s="438" t="n">
        <v>0.198</v>
      </c>
      <c r="AE48" s="438" t="n">
        <v>0.193</v>
      </c>
      <c r="AF48" s="438" t="n">
        <v>0.2</v>
      </c>
      <c r="AG48" s="441" t="n">
        <v>0.188</v>
      </c>
      <c r="AH48" s="444" t="n">
        <v>0.199</v>
      </c>
      <c r="AI48" s="438" t="n">
        <v>0.186</v>
      </c>
      <c r="AJ48" s="438" t="n">
        <v>0.207</v>
      </c>
      <c r="AK48" s="438" t="n">
        <v>0.195</v>
      </c>
      <c r="AL48" s="441" t="n">
        <v>0.206</v>
      </c>
      <c r="AM48" s="444" t="n">
        <v>0.216</v>
      </c>
      <c r="AN48" s="438" t="n">
        <v>0.2</v>
      </c>
      <c r="AO48" s="438" t="n">
        <v>0.202</v>
      </c>
      <c r="AP48" s="438" t="n">
        <v>0.19</v>
      </c>
      <c r="AQ48" s="441" t="n">
        <v>0.187</v>
      </c>
      <c r="AR48" s="444" t="n">
        <v>0.205</v>
      </c>
      <c r="AS48" s="438" t="n">
        <v>0.19</v>
      </c>
      <c r="AT48" s="438" t="n">
        <v>0.203</v>
      </c>
      <c r="AU48" s="438" t="n">
        <v>0.202</v>
      </c>
      <c r="AV48" s="441" t="n">
        <v>0.186</v>
      </c>
      <c r="AW48" s="444" t="n">
        <v>0.203</v>
      </c>
      <c r="AX48" s="438" t="n">
        <v>0.19</v>
      </c>
      <c r="AY48" s="438" t="n">
        <v>0.208</v>
      </c>
      <c r="AZ48" s="438" t="n">
        <v>0.202</v>
      </c>
      <c r="BA48" s="441" t="n">
        <v>0.198</v>
      </c>
      <c r="BB48" s="444" t="n">
        <v>0.198</v>
      </c>
      <c r="BC48" s="438" t="n">
        <v>0.199</v>
      </c>
      <c r="BD48" s="438" t="n">
        <v>0.196</v>
      </c>
      <c r="BE48" s="438" t="n">
        <v>0.205</v>
      </c>
      <c r="BF48" s="441" t="n">
        <v>0.206</v>
      </c>
      <c r="BG48" s="444" t="n">
        <v>0.212</v>
      </c>
      <c r="BH48" s="438" t="n">
        <v>0.204</v>
      </c>
      <c r="BI48" s="438" t="n">
        <v>0.212</v>
      </c>
      <c r="BJ48" s="438" t="n">
        <v>0.21</v>
      </c>
      <c r="BK48" s="441" t="n">
        <v>0.198</v>
      </c>
      <c r="BL48" s="444" t="n">
        <v>0.215</v>
      </c>
      <c r="BM48" s="438" t="n">
        <v>0.216</v>
      </c>
      <c r="BN48" s="438" t="n">
        <v>0.211</v>
      </c>
      <c r="BO48" s="438" t="n">
        <v>0.222</v>
      </c>
      <c r="BP48" s="441" t="n">
        <v>0.225</v>
      </c>
      <c r="BQ48" s="444" t="n">
        <v>0.215</v>
      </c>
      <c r="BR48" s="438" t="n">
        <v>0.216</v>
      </c>
      <c r="BS48" s="438" t="n">
        <v>0.217</v>
      </c>
      <c r="BT48" s="441" t="inlineStr">
        <is>
          <t>RF</t>
        </is>
      </c>
      <c r="BU48" s="457" t="n"/>
      <c r="BV48" s="457" t="n"/>
      <c r="BW48" s="238" t="n"/>
      <c r="BX48" s="238" t="n"/>
      <c r="BY48" s="238" t="n"/>
      <c r="BZ48" s="238" t="n"/>
      <c r="CA48" s="238" t="n"/>
      <c r="CB48" s="238" t="n"/>
      <c r="CC48" s="238" t="n"/>
      <c r="CD48" s="238" t="n"/>
      <c r="CE48" s="238" t="n"/>
      <c r="CF48" s="238" t="n"/>
      <c r="CG48" s="238" t="n"/>
      <c r="CH48" s="238" t="n"/>
      <c r="CI48" s="238" t="n"/>
      <c r="CJ48" s="238" t="n"/>
      <c r="CK48" s="238" t="n"/>
      <c r="CL48" s="238" t="n"/>
      <c r="CM48" s="238" t="n"/>
      <c r="CN48" s="238" t="n"/>
      <c r="CO48" s="238" t="n"/>
      <c r="CP48" s="238" t="n"/>
      <c r="CQ48" s="238" t="n"/>
      <c r="CR48" s="238" t="n"/>
      <c r="CS48" s="238" t="n"/>
      <c r="CT48" s="238" t="n"/>
      <c r="CU48" s="238" t="n"/>
      <c r="CV48" s="238" t="n"/>
      <c r="CW48" s="238" t="n"/>
      <c r="CX48" s="238" t="n"/>
      <c r="CY48" s="238" t="n"/>
      <c r="CZ48" s="238" t="n"/>
      <c r="DA48" s="238" t="n"/>
      <c r="DB48" s="238" t="n"/>
      <c r="DC48" s="238" t="n"/>
      <c r="DD48" s="238" t="n"/>
      <c r="DE48" s="238" t="n"/>
      <c r="DF48" s="238" t="n"/>
      <c r="DG48" s="238" t="n"/>
      <c r="DH48" s="238" t="n"/>
      <c r="DI48" s="238" t="n"/>
      <c r="DJ48" s="238" t="n"/>
      <c r="DK48" s="238" t="n"/>
      <c r="DL48" s="238" t="n"/>
      <c r="DM48" s="238" t="n"/>
      <c r="DN48" s="238" t="n"/>
      <c r="DO48" s="238" t="n"/>
      <c r="DP48" s="238" t="n"/>
      <c r="DQ48" s="238" t="n"/>
      <c r="DR48" s="238" t="n"/>
      <c r="DS48" s="238" t="n"/>
      <c r="DT48" s="238" t="n"/>
      <c r="DU48" s="238" t="n"/>
      <c r="DV48" s="238" t="n"/>
      <c r="DW48" s="238" t="n"/>
      <c r="DX48" s="238" t="n"/>
      <c r="DY48" s="238" t="n"/>
      <c r="DZ48" s="23" t="n"/>
      <c r="FQ48" s="212" t="n"/>
      <c r="FR48" s="212" t="n"/>
      <c r="FS48" s="212" t="n"/>
      <c r="FT48" s="212" t="n"/>
      <c r="FU48" s="212" t="n"/>
      <c r="FV48" s="212" t="n"/>
      <c r="FW48" s="212" t="n"/>
      <c r="FX48" s="212" t="n"/>
      <c r="FY48" s="212" t="n"/>
      <c r="FZ48" s="212" t="n"/>
    </row>
    <row r="49" ht="39.95" customFormat="1" customHeight="1" s="5">
      <c r="A49" s="10" t="inlineStr">
        <is>
          <t>A</t>
        </is>
      </c>
      <c r="B49" s="6" t="n"/>
      <c r="C49" s="11" t="inlineStr">
        <is>
          <t>L</t>
        </is>
      </c>
      <c r="D49" s="433" t="n">
        <v>0.214</v>
      </c>
      <c r="E49" s="436" t="n">
        <v>0.221</v>
      </c>
      <c r="F49" s="436" t="n">
        <v>0.227</v>
      </c>
      <c r="G49" s="436" t="n">
        <v>0.218</v>
      </c>
      <c r="H49" s="439" t="n">
        <v>0.224</v>
      </c>
      <c r="I49" s="442" t="n">
        <v>0.261</v>
      </c>
      <c r="J49" s="436" t="n">
        <v>0.275</v>
      </c>
      <c r="K49" s="436" t="n">
        <v>0.265</v>
      </c>
      <c r="L49" s="436" t="n">
        <v>0.261</v>
      </c>
      <c r="M49" s="439" t="n">
        <v>0.251</v>
      </c>
      <c r="N49" s="442" t="n">
        <v>0.251</v>
      </c>
      <c r="O49" s="436" t="n">
        <v>0.216</v>
      </c>
      <c r="P49" s="436" t="n">
        <v>0.195</v>
      </c>
      <c r="Q49" s="436" t="n">
        <v>0.178</v>
      </c>
      <c r="R49" s="439" t="n">
        <v>0.213</v>
      </c>
      <c r="S49" s="442" t="n">
        <v>0.194</v>
      </c>
      <c r="T49" s="436" t="n">
        <v>0.19</v>
      </c>
      <c r="U49" s="436" t="n">
        <v>0.183</v>
      </c>
      <c r="V49" s="436" t="n">
        <v>0.195</v>
      </c>
      <c r="W49" s="439" t="n">
        <v>0.171</v>
      </c>
      <c r="X49" s="442" t="n">
        <v>0.169</v>
      </c>
      <c r="Y49" s="436" t="n">
        <v>0.167</v>
      </c>
      <c r="Z49" s="436" t="n">
        <v>0.183</v>
      </c>
      <c r="AA49" s="436" t="n">
        <v>0.205</v>
      </c>
      <c r="AB49" s="439" t="n">
        <v>0.181</v>
      </c>
      <c r="AC49" s="442" t="n">
        <v>0.177</v>
      </c>
      <c r="AD49" s="436" t="n">
        <v>0.178</v>
      </c>
      <c r="AE49" s="436" t="n">
        <v>0.194</v>
      </c>
      <c r="AF49" s="436" t="n">
        <v>0.186</v>
      </c>
      <c r="AG49" s="439" t="n">
        <v>0.172</v>
      </c>
      <c r="AH49" s="442" t="n">
        <v>0.197</v>
      </c>
      <c r="AI49" s="436" t="n">
        <v>0.179</v>
      </c>
      <c r="AJ49" s="436" t="n">
        <v>0.188</v>
      </c>
      <c r="AK49" s="436" t="n">
        <v>0.2</v>
      </c>
      <c r="AL49" s="439" t="n">
        <v>0.216</v>
      </c>
      <c r="AM49" s="442" t="n">
        <v>0.178</v>
      </c>
      <c r="AN49" s="436" t="n">
        <v>0.228</v>
      </c>
      <c r="AO49" s="436" t="n">
        <v>0.196</v>
      </c>
      <c r="AP49" s="436" t="n">
        <v>0.218</v>
      </c>
      <c r="AQ49" s="439" t="n">
        <v>0.2</v>
      </c>
      <c r="AR49" s="442" t="n">
        <v>0.206</v>
      </c>
      <c r="AS49" s="436" t="n">
        <v>0.193</v>
      </c>
      <c r="AT49" s="436" t="n">
        <v>0.226</v>
      </c>
      <c r="AU49" s="436" t="n">
        <v>0.205</v>
      </c>
      <c r="AV49" s="439" t="n">
        <v>0.22</v>
      </c>
      <c r="AW49" s="442" t="n">
        <v>0.215</v>
      </c>
      <c r="AX49" s="436" t="n">
        <v>0.222</v>
      </c>
      <c r="AY49" s="436" t="n">
        <v>0.225</v>
      </c>
      <c r="AZ49" s="436" t="n">
        <v>0.209</v>
      </c>
      <c r="BA49" s="439" t="n">
        <v>0.207</v>
      </c>
      <c r="BB49" s="442" t="n">
        <v>0.204</v>
      </c>
      <c r="BC49" s="436" t="n">
        <v>0.209</v>
      </c>
      <c r="BD49" s="436" t="n">
        <v>0.213</v>
      </c>
      <c r="BE49" s="436" t="n">
        <v>0.214</v>
      </c>
      <c r="BF49" s="439" t="n">
        <v>0.213</v>
      </c>
      <c r="BG49" s="442" t="n">
        <v>0.209</v>
      </c>
      <c r="BH49" s="436" t="n">
        <v>0.207</v>
      </c>
      <c r="BI49" s="436" t="n">
        <v>0.211</v>
      </c>
      <c r="BJ49" s="436" t="n">
        <v>0.208</v>
      </c>
      <c r="BK49" s="439" t="n">
        <v>0.206</v>
      </c>
      <c r="BL49" s="442" t="n">
        <v>0.223</v>
      </c>
      <c r="BM49" s="436" t="n">
        <v>0.211</v>
      </c>
      <c r="BN49" s="436" t="n">
        <v>0.215</v>
      </c>
      <c r="BO49" s="436" t="n">
        <v>0.208</v>
      </c>
      <c r="BP49" s="439" t="n">
        <v>0.21</v>
      </c>
      <c r="BQ49" s="442" t="n">
        <v>0.204</v>
      </c>
      <c r="BR49" s="436" t="n">
        <v>0.204</v>
      </c>
      <c r="BS49" s="436" t="n">
        <v>0.214</v>
      </c>
      <c r="BT49" s="439" t="n">
        <v>0.214</v>
      </c>
      <c r="BU49" s="454">
        <f>IFERROR(AVERAGE(D49:BT51),0)</f>
        <v/>
      </c>
      <c r="BV49" s="454">
        <f>MIN(D49:BT51)</f>
        <v/>
      </c>
      <c r="BW49" s="238" t="n"/>
      <c r="BX49" s="238" t="n"/>
      <c r="BY49" s="238" t="n"/>
      <c r="BZ49" s="238" t="n"/>
      <c r="CA49" s="238" t="n"/>
      <c r="CB49" s="238" t="n"/>
      <c r="CC49" s="238" t="n"/>
      <c r="CD49" s="238" t="n"/>
      <c r="CE49" s="238" t="n"/>
      <c r="CF49" s="238" t="n"/>
      <c r="CG49" s="238" t="n"/>
      <c r="CH49" s="238" t="n"/>
      <c r="CI49" s="238" t="n"/>
      <c r="CJ49" s="238" t="n"/>
      <c r="CK49" s="238" t="n"/>
      <c r="CL49" s="238" t="n"/>
      <c r="CM49" s="238" t="n"/>
      <c r="CN49" s="238" t="n"/>
      <c r="CO49" s="238" t="n"/>
      <c r="CP49" s="238" t="n"/>
      <c r="CQ49" s="238" t="n"/>
      <c r="CR49" s="238" t="n"/>
      <c r="CS49" s="238" t="n"/>
      <c r="CT49" s="238" t="n"/>
      <c r="CU49" s="238" t="n"/>
      <c r="CV49" s="238" t="n"/>
      <c r="CW49" s="238" t="n"/>
      <c r="CX49" s="238" t="n"/>
      <c r="CY49" s="238" t="n"/>
      <c r="CZ49" s="238" t="n"/>
      <c r="DA49" s="238" t="n"/>
      <c r="DB49" s="238" t="n"/>
      <c r="DC49" s="238" t="n"/>
      <c r="DD49" s="238" t="n"/>
      <c r="DE49" s="238" t="n"/>
      <c r="DF49" s="238" t="n"/>
      <c r="DG49" s="238" t="n"/>
      <c r="DH49" s="238" t="n"/>
      <c r="DI49" s="238" t="n"/>
      <c r="DJ49" s="238" t="n"/>
      <c r="DK49" s="238" t="n"/>
      <c r="DL49" s="238" t="n"/>
      <c r="DM49" s="238" t="n"/>
      <c r="DN49" s="238" t="n"/>
      <c r="DO49" s="238" t="n"/>
      <c r="DP49" s="238" t="n"/>
      <c r="DQ49" s="238" t="n"/>
      <c r="DR49" s="238" t="n"/>
      <c r="DS49" s="238" t="n"/>
      <c r="DT49" s="238" t="n"/>
      <c r="DU49" s="238" t="n"/>
      <c r="DV49" s="238" t="n"/>
      <c r="DW49" s="238" t="n"/>
      <c r="DX49" s="238" t="n"/>
      <c r="DY49" s="238" t="n"/>
      <c r="DZ49" s="23" t="n"/>
      <c r="FQ49" s="212" t="n"/>
      <c r="FR49" s="212" t="n"/>
      <c r="FS49" s="212" t="n"/>
      <c r="FT49" s="212" t="n"/>
      <c r="FU49" s="212" t="n"/>
      <c r="FV49" s="212" t="n"/>
      <c r="FW49" s="212" t="n"/>
      <c r="FX49" s="212" t="n"/>
      <c r="FY49" s="212" t="n"/>
      <c r="FZ49" s="212" t="n"/>
    </row>
    <row r="50" ht="39.95" customFormat="1" customHeight="1" s="5">
      <c r="A50" s="182" t="n">
        <v>0.083</v>
      </c>
      <c r="B50" s="7" t="inlineStr">
        <is>
          <t>+6 FT</t>
        </is>
      </c>
      <c r="C50" s="11" t="inlineStr">
        <is>
          <t>C</t>
        </is>
      </c>
      <c r="D50" s="434" t="n">
        <v>0.204</v>
      </c>
      <c r="E50" s="437" t="n">
        <v>0.219</v>
      </c>
      <c r="F50" s="437" t="n">
        <v>0.232</v>
      </c>
      <c r="G50" s="437" t="n">
        <v>0.221</v>
      </c>
      <c r="H50" s="440" t="n">
        <v>0.225</v>
      </c>
      <c r="I50" s="443" t="n">
        <v>0.262</v>
      </c>
      <c r="J50" s="437" t="n">
        <v>0.265</v>
      </c>
      <c r="K50" s="437" t="n">
        <v>0.263</v>
      </c>
      <c r="L50" s="437" t="n">
        <v>0.263</v>
      </c>
      <c r="M50" s="440" t="n">
        <v>0.26</v>
      </c>
      <c r="N50" s="443" t="n">
        <v>0.253</v>
      </c>
      <c r="O50" s="437" t="n">
        <v>0.211</v>
      </c>
      <c r="P50" s="437" t="n">
        <v>0.198</v>
      </c>
      <c r="Q50" s="437" t="n">
        <v>0.217</v>
      </c>
      <c r="R50" s="440" t="n">
        <v>0.201</v>
      </c>
      <c r="S50" s="443" t="n">
        <v>0.18</v>
      </c>
      <c r="T50" s="437" t="n">
        <v>0.203</v>
      </c>
      <c r="U50" s="437" t="n">
        <v>0.186</v>
      </c>
      <c r="V50" s="437" t="n">
        <v>0.184</v>
      </c>
      <c r="W50" s="440" t="n">
        <v>0.183</v>
      </c>
      <c r="X50" s="443" t="n">
        <v>0.195</v>
      </c>
      <c r="Y50" s="437" t="n">
        <v>0.174</v>
      </c>
      <c r="Z50" s="437" t="n">
        <v>0.19</v>
      </c>
      <c r="AA50" s="437" t="n">
        <v>0.205</v>
      </c>
      <c r="AB50" s="440" t="n">
        <v>0.194</v>
      </c>
      <c r="AC50" s="443" t="n">
        <v>0.182</v>
      </c>
      <c r="AD50" s="437" t="n">
        <v>0.18</v>
      </c>
      <c r="AE50" s="437" t="n">
        <v>0.188</v>
      </c>
      <c r="AF50" s="437" t="n">
        <v>0.196</v>
      </c>
      <c r="AG50" s="440" t="n">
        <v>0.191</v>
      </c>
      <c r="AH50" s="443" t="n">
        <v>0.187</v>
      </c>
      <c r="AI50" s="437" t="n">
        <v>0.182</v>
      </c>
      <c r="AJ50" s="437" t="n">
        <v>0.192</v>
      </c>
      <c r="AK50" s="437" t="n">
        <v>0.212</v>
      </c>
      <c r="AL50" s="440" t="n">
        <v>0.176</v>
      </c>
      <c r="AM50" s="443" t="n">
        <v>0.181</v>
      </c>
      <c r="AN50" s="437" t="n">
        <v>0.225</v>
      </c>
      <c r="AO50" s="437" t="n">
        <v>0.205</v>
      </c>
      <c r="AP50" s="437" t="n">
        <v>0.214</v>
      </c>
      <c r="AQ50" s="440" t="n">
        <v>0.205</v>
      </c>
      <c r="AR50" s="443" t="n">
        <v>0.182</v>
      </c>
      <c r="AS50" s="437" t="n">
        <v>0.2</v>
      </c>
      <c r="AT50" s="437" t="n">
        <v>0.213</v>
      </c>
      <c r="AU50" s="437" t="n">
        <v>0.207</v>
      </c>
      <c r="AV50" s="440" t="n">
        <v>0.22</v>
      </c>
      <c r="AW50" s="443" t="n">
        <v>0.217</v>
      </c>
      <c r="AX50" s="437" t="n">
        <v>0.226</v>
      </c>
      <c r="AY50" s="437" t="n">
        <v>0.219</v>
      </c>
      <c r="AZ50" s="437" t="n">
        <v>0.209</v>
      </c>
      <c r="BA50" s="440" t="n">
        <v>0.217</v>
      </c>
      <c r="BB50" s="443" t="n">
        <v>0.214</v>
      </c>
      <c r="BC50" s="437" t="n">
        <v>0.2</v>
      </c>
      <c r="BD50" s="437" t="n">
        <v>0.204</v>
      </c>
      <c r="BE50" s="437" t="n">
        <v>0.219</v>
      </c>
      <c r="BF50" s="440" t="n">
        <v>0.205</v>
      </c>
      <c r="BG50" s="443" t="n">
        <v>0.209</v>
      </c>
      <c r="BH50" s="437" t="n">
        <v>0.215</v>
      </c>
      <c r="BI50" s="437" t="n">
        <v>0.217</v>
      </c>
      <c r="BJ50" s="437" t="n">
        <v>0.218</v>
      </c>
      <c r="BK50" s="440" t="n">
        <v>0.207</v>
      </c>
      <c r="BL50" s="443" t="n">
        <v>0.214</v>
      </c>
      <c r="BM50" s="437" t="n">
        <v>0.228</v>
      </c>
      <c r="BN50" s="437" t="n">
        <v>0.219</v>
      </c>
      <c r="BO50" s="437" t="n">
        <v>0.214</v>
      </c>
      <c r="BP50" s="440" t="n">
        <v>0.212</v>
      </c>
      <c r="BQ50" s="443" t="n">
        <v>0.208</v>
      </c>
      <c r="BR50" s="437" t="n">
        <v>0.202</v>
      </c>
      <c r="BS50" s="437" t="n">
        <v>0.219</v>
      </c>
      <c r="BT50" s="440" t="n">
        <v>0.214</v>
      </c>
      <c r="BU50" s="455" t="n"/>
      <c r="BV50" s="455" t="n"/>
      <c r="BW50" s="238" t="n"/>
      <c r="BX50" s="238" t="n"/>
      <c r="BY50" s="238" t="n"/>
      <c r="BZ50" s="238" t="n"/>
      <c r="CA50" s="238" t="n"/>
      <c r="CB50" s="238" t="n"/>
      <c r="CC50" s="238" t="n"/>
      <c r="CD50" s="238" t="n"/>
      <c r="CE50" s="238" t="n"/>
      <c r="CF50" s="238" t="n"/>
      <c r="CG50" s="238" t="n"/>
      <c r="CH50" s="238" t="n"/>
      <c r="CI50" s="238" t="n"/>
      <c r="CJ50" s="238" t="n"/>
      <c r="CK50" s="238" t="n"/>
      <c r="CL50" s="238" t="n"/>
      <c r="CM50" s="238" t="n"/>
      <c r="CN50" s="238" t="n"/>
      <c r="CO50" s="238" t="n"/>
      <c r="CP50" s="238" t="n"/>
      <c r="CQ50" s="238" t="n"/>
      <c r="CR50" s="238" t="n"/>
      <c r="CS50" s="238" t="n"/>
      <c r="CT50" s="238" t="n"/>
      <c r="CU50" s="238" t="n"/>
      <c r="CV50" s="238" t="n"/>
      <c r="CW50" s="238" t="n"/>
      <c r="CX50" s="238" t="n"/>
      <c r="CY50" s="238" t="n"/>
      <c r="CZ50" s="238" t="n"/>
      <c r="DA50" s="238" t="n"/>
      <c r="DB50" s="238" t="n"/>
      <c r="DC50" s="238" t="n"/>
      <c r="DD50" s="238" t="n"/>
      <c r="DE50" s="238" t="n"/>
      <c r="DF50" s="238" t="n"/>
      <c r="DG50" s="238" t="n"/>
      <c r="DH50" s="238" t="n"/>
      <c r="DI50" s="238" t="n"/>
      <c r="DJ50" s="238" t="n"/>
      <c r="DK50" s="238" t="n"/>
      <c r="DL50" s="238" t="n"/>
      <c r="DM50" s="238" t="n"/>
      <c r="DN50" s="238" t="n"/>
      <c r="DO50" s="238" t="n"/>
      <c r="DP50" s="238" t="n"/>
      <c r="DQ50" s="238" t="n"/>
      <c r="DR50" s="238" t="n"/>
      <c r="DS50" s="238" t="n"/>
      <c r="DT50" s="238" t="n"/>
      <c r="DU50" s="238" t="n"/>
      <c r="DV50" s="238" t="n"/>
      <c r="DW50" s="238" t="n"/>
      <c r="DX50" s="238" t="n"/>
      <c r="DY50" s="238" t="n"/>
      <c r="DZ50" s="23" t="n"/>
      <c r="FQ50" s="212" t="n"/>
      <c r="FR50" s="212" t="n"/>
      <c r="FS50" s="212" t="n"/>
      <c r="FT50" s="212" t="n"/>
      <c r="FU50" s="212" t="n"/>
      <c r="FV50" s="212" t="n"/>
      <c r="FW50" s="212" t="n"/>
      <c r="FX50" s="212" t="n"/>
      <c r="FY50" s="212" t="n"/>
      <c r="FZ50" s="212" t="n"/>
    </row>
    <row r="51" ht="39.95" customFormat="1" customHeight="1" s="5">
      <c r="A51" s="456" t="n"/>
      <c r="B51" s="8" t="n"/>
      <c r="C51" s="12" t="inlineStr">
        <is>
          <t>R</t>
        </is>
      </c>
      <c r="D51" s="435" t="n">
        <v>0.23</v>
      </c>
      <c r="E51" s="438" t="n">
        <v>0.224</v>
      </c>
      <c r="F51" s="438" t="n">
        <v>0.227</v>
      </c>
      <c r="G51" s="438" t="n">
        <v>0.226</v>
      </c>
      <c r="H51" s="441" t="n">
        <v>0.216</v>
      </c>
      <c r="I51" s="444" t="n">
        <v>0.26</v>
      </c>
      <c r="J51" s="438" t="n">
        <v>0.265</v>
      </c>
      <c r="K51" s="438" t="n">
        <v>0.264</v>
      </c>
      <c r="L51" s="438" t="n">
        <v>0.262</v>
      </c>
      <c r="M51" s="441" t="n">
        <v>0.258</v>
      </c>
      <c r="N51" s="444" t="n">
        <v>0.249</v>
      </c>
      <c r="O51" s="438" t="n">
        <v>0.212</v>
      </c>
      <c r="P51" s="438" t="n">
        <v>0.2</v>
      </c>
      <c r="Q51" s="438" t="n">
        <v>0.187</v>
      </c>
      <c r="R51" s="441" t="n">
        <v>0.2</v>
      </c>
      <c r="S51" s="444" t="n">
        <v>0.185</v>
      </c>
      <c r="T51" s="438" t="n">
        <v>0.193</v>
      </c>
      <c r="U51" s="438" t="n">
        <v>0.175</v>
      </c>
      <c r="V51" s="438" t="n">
        <v>0.178</v>
      </c>
      <c r="W51" s="441" t="n">
        <v>0.194</v>
      </c>
      <c r="X51" s="444" t="n">
        <v>0.187</v>
      </c>
      <c r="Y51" s="438" t="n">
        <v>0.188</v>
      </c>
      <c r="Z51" s="438" t="n">
        <v>0.217</v>
      </c>
      <c r="AA51" s="438" t="n">
        <v>0.203</v>
      </c>
      <c r="AB51" s="441" t="n">
        <v>0.221</v>
      </c>
      <c r="AC51" s="444" t="n">
        <v>0.194</v>
      </c>
      <c r="AD51" s="438" t="n">
        <v>0.208</v>
      </c>
      <c r="AE51" s="438" t="n">
        <v>0.179</v>
      </c>
      <c r="AF51" s="438" t="n">
        <v>0.192</v>
      </c>
      <c r="AG51" s="441" t="n">
        <v>0.191</v>
      </c>
      <c r="AH51" s="444" t="n">
        <v>0.188</v>
      </c>
      <c r="AI51" s="438" t="n">
        <v>0.187</v>
      </c>
      <c r="AJ51" s="438" t="n">
        <v>0.228</v>
      </c>
      <c r="AK51" s="438" t="n">
        <v>0.199</v>
      </c>
      <c r="AL51" s="441" t="n">
        <v>0.189</v>
      </c>
      <c r="AM51" s="444" t="n">
        <v>0.216</v>
      </c>
      <c r="AN51" s="438" t="n">
        <v>0.207</v>
      </c>
      <c r="AO51" s="438" t="n">
        <v>0.218</v>
      </c>
      <c r="AP51" s="438" t="n">
        <v>0.212</v>
      </c>
      <c r="AQ51" s="441" t="n">
        <v>0.214</v>
      </c>
      <c r="AR51" s="444" t="n">
        <v>0.202</v>
      </c>
      <c r="AS51" s="438" t="n">
        <v>0.2</v>
      </c>
      <c r="AT51" s="438" t="n">
        <v>0.207</v>
      </c>
      <c r="AU51" s="438" t="n">
        <v>0.205</v>
      </c>
      <c r="AV51" s="441" t="n">
        <v>0.226</v>
      </c>
      <c r="AW51" s="444" t="n">
        <v>0.225</v>
      </c>
      <c r="AX51" s="438" t="n">
        <v>0.226</v>
      </c>
      <c r="AY51" s="438" t="n">
        <v>0.219</v>
      </c>
      <c r="AZ51" s="438" t="n">
        <v>0.215</v>
      </c>
      <c r="BA51" s="441" t="n">
        <v>0.211</v>
      </c>
      <c r="BB51" s="444" t="n">
        <v>0.214</v>
      </c>
      <c r="BC51" s="438" t="n">
        <v>0.203</v>
      </c>
      <c r="BD51" s="438" t="n">
        <v>0.221</v>
      </c>
      <c r="BE51" s="438" t="n">
        <v>0.2</v>
      </c>
      <c r="BF51" s="441" t="n">
        <v>0.206</v>
      </c>
      <c r="BG51" s="444" t="n">
        <v>0.211</v>
      </c>
      <c r="BH51" s="438" t="n">
        <v>0.207</v>
      </c>
      <c r="BI51" s="438" t="n">
        <v>0.214</v>
      </c>
      <c r="BJ51" s="438" t="n">
        <v>0.208</v>
      </c>
      <c r="BK51" s="441" t="n">
        <v>0.21</v>
      </c>
      <c r="BL51" s="444" t="n">
        <v>0.217</v>
      </c>
      <c r="BM51" s="438" t="n">
        <v>0.213</v>
      </c>
      <c r="BN51" s="438" t="n">
        <v>0.215</v>
      </c>
      <c r="BO51" s="438" t="n">
        <v>0.214</v>
      </c>
      <c r="BP51" s="441" t="n">
        <v>0.215</v>
      </c>
      <c r="BQ51" s="444" t="n">
        <v>0.208</v>
      </c>
      <c r="BR51" s="438" t="n">
        <v>0.207</v>
      </c>
      <c r="BS51" s="438" t="n">
        <v>0.218</v>
      </c>
      <c r="BT51" s="441" t="n">
        <v>0.211</v>
      </c>
      <c r="BU51" s="457" t="n"/>
      <c r="BV51" s="457" t="n"/>
      <c r="BW51" s="238" t="n"/>
      <c r="BX51" s="238" t="n"/>
      <c r="BY51" s="238" t="n"/>
      <c r="BZ51" s="238" t="n"/>
      <c r="CA51" s="238" t="n"/>
      <c r="CB51" s="238" t="n"/>
      <c r="CC51" s="238" t="n"/>
      <c r="CD51" s="238" t="n"/>
      <c r="CE51" s="238" t="n"/>
      <c r="CF51" s="238" t="n"/>
      <c r="CG51" s="238" t="n"/>
      <c r="CH51" s="238" t="n"/>
      <c r="CI51" s="238" t="n"/>
      <c r="CJ51" s="238" t="n"/>
      <c r="CK51" s="238" t="n"/>
      <c r="CL51" s="238" t="n"/>
      <c r="CM51" s="238" t="n"/>
      <c r="CN51" s="238" t="n"/>
      <c r="CO51" s="238" t="n"/>
      <c r="CP51" s="238" t="n"/>
      <c r="CQ51" s="238" t="n"/>
      <c r="CR51" s="238" t="n"/>
      <c r="CS51" s="238" t="n"/>
      <c r="CT51" s="238" t="n"/>
      <c r="CU51" s="238" t="n"/>
      <c r="CV51" s="238" t="n"/>
      <c r="CW51" s="238" t="n"/>
      <c r="CX51" s="238" t="n"/>
      <c r="CY51" s="238" t="n"/>
      <c r="CZ51" s="238" t="n"/>
      <c r="DA51" s="238" t="n"/>
      <c r="DB51" s="238" t="n"/>
      <c r="DC51" s="238" t="n"/>
      <c r="DD51" s="238" t="n"/>
      <c r="DE51" s="238" t="n"/>
      <c r="DF51" s="238" t="n"/>
      <c r="DG51" s="238" t="n"/>
      <c r="DH51" s="238" t="n"/>
      <c r="DI51" s="238" t="n"/>
      <c r="DJ51" s="238" t="n"/>
      <c r="DK51" s="238" t="n"/>
      <c r="DL51" s="238" t="n"/>
      <c r="DM51" s="238" t="n"/>
      <c r="DN51" s="238" t="n"/>
      <c r="DO51" s="238" t="n"/>
      <c r="DP51" s="238" t="n"/>
      <c r="DQ51" s="238" t="n"/>
      <c r="DR51" s="238" t="n"/>
      <c r="DS51" s="238" t="n"/>
      <c r="DT51" s="238" t="n"/>
      <c r="DU51" s="238" t="n"/>
      <c r="DV51" s="238" t="n"/>
      <c r="DW51" s="238" t="n"/>
      <c r="DX51" s="238" t="n"/>
      <c r="DY51" s="238" t="n"/>
      <c r="DZ51" s="23" t="n"/>
      <c r="FQ51" s="212" t="n"/>
      <c r="FR51" s="212" t="n"/>
      <c r="FS51" s="212" t="n"/>
      <c r="FT51" s="212" t="n"/>
      <c r="FU51" s="212" t="n"/>
      <c r="FV51" s="212" t="n"/>
      <c r="FW51" s="212" t="n"/>
      <c r="FX51" s="212" t="n"/>
      <c r="FY51" s="212" t="n"/>
      <c r="FZ51" s="212" t="n"/>
    </row>
    <row r="52" ht="39.95" customFormat="1" customHeight="1" s="5">
      <c r="A52" s="10" t="inlineStr">
        <is>
          <t>A</t>
        </is>
      </c>
      <c r="B52" s="6" t="n"/>
      <c r="C52" s="11" t="inlineStr">
        <is>
          <t>L</t>
        </is>
      </c>
      <c r="D52" s="433" t="n">
        <v>0.203</v>
      </c>
      <c r="E52" s="436" t="n">
        <v>0.219</v>
      </c>
      <c r="F52" s="436" t="n">
        <v>0.245</v>
      </c>
      <c r="G52" s="436" t="n">
        <v>0.221</v>
      </c>
      <c r="H52" s="439" t="n">
        <v>0.223</v>
      </c>
      <c r="I52" s="442" t="n">
        <v>0.262</v>
      </c>
      <c r="J52" s="436" t="n">
        <v>0.271</v>
      </c>
      <c r="K52" s="436" t="n">
        <v>0.256</v>
      </c>
      <c r="L52" s="436" t="n">
        <v>0.26</v>
      </c>
      <c r="M52" s="439" t="n">
        <v>0.265</v>
      </c>
      <c r="N52" s="442" t="n">
        <v>0.258</v>
      </c>
      <c r="O52" s="436" t="n">
        <v>0.208</v>
      </c>
      <c r="P52" s="436" t="n">
        <v>0.211</v>
      </c>
      <c r="Q52" s="436" t="n">
        <v>0.205</v>
      </c>
      <c r="R52" s="439" t="n">
        <v>0.213</v>
      </c>
      <c r="S52" s="442" t="n">
        <v>0.21</v>
      </c>
      <c r="T52" s="436" t="n">
        <v>0.192</v>
      </c>
      <c r="U52" s="436" t="n">
        <v>0.208</v>
      </c>
      <c r="V52" s="436" t="n">
        <v>0.195</v>
      </c>
      <c r="W52" s="439" t="n">
        <v>0.184</v>
      </c>
      <c r="X52" s="442" t="n">
        <v>0.224</v>
      </c>
      <c r="Y52" s="436" t="n">
        <v>0.171</v>
      </c>
      <c r="Z52" s="436" t="n">
        <v>0.171</v>
      </c>
      <c r="AA52" s="436" t="n">
        <v>0.18</v>
      </c>
      <c r="AB52" s="439" t="n">
        <v>0.183</v>
      </c>
      <c r="AC52" s="442" t="n">
        <v>0.192</v>
      </c>
      <c r="AD52" s="436" t="n">
        <v>0.189</v>
      </c>
      <c r="AE52" s="436" t="n">
        <v>0.214</v>
      </c>
      <c r="AF52" s="436" t="n">
        <v>0.314</v>
      </c>
      <c r="AG52" s="439" t="n">
        <v>0.181</v>
      </c>
      <c r="AH52" s="442" t="n">
        <v>0.192</v>
      </c>
      <c r="AI52" s="436" t="n">
        <v>0.192</v>
      </c>
      <c r="AJ52" s="436" t="n">
        <v>0.208</v>
      </c>
      <c r="AK52" s="436" t="n">
        <v>0.198</v>
      </c>
      <c r="AL52" s="439" t="n">
        <v>0.2</v>
      </c>
      <c r="AM52" s="442" t="n">
        <v>0.209</v>
      </c>
      <c r="AN52" s="436" t="n">
        <v>0.2</v>
      </c>
      <c r="AO52" s="436" t="n">
        <v>0.198</v>
      </c>
      <c r="AP52" s="436" t="n">
        <v>0.21</v>
      </c>
      <c r="AQ52" s="439" t="n">
        <v>0.218</v>
      </c>
      <c r="AR52" s="442" t="n">
        <v>0.218</v>
      </c>
      <c r="AS52" s="436" t="n">
        <v>0.225</v>
      </c>
      <c r="AT52" s="436" t="n">
        <v>0.217</v>
      </c>
      <c r="AU52" s="436" t="n">
        <v>0.211</v>
      </c>
      <c r="AV52" s="439" t="n">
        <v>0.199</v>
      </c>
      <c r="AW52" s="442" t="n">
        <v>0.196</v>
      </c>
      <c r="AX52" s="436" t="n">
        <v>0.204</v>
      </c>
      <c r="AY52" s="436" t="n">
        <v>0.212</v>
      </c>
      <c r="AZ52" s="436" t="n">
        <v>0.211</v>
      </c>
      <c r="BA52" s="439" t="n">
        <v>0.22</v>
      </c>
      <c r="BB52" s="442" t="n">
        <v>0.208</v>
      </c>
      <c r="BC52" s="436" t="n">
        <v>0.201</v>
      </c>
      <c r="BD52" s="436" t="n">
        <v>0.213</v>
      </c>
      <c r="BE52" s="436" t="n">
        <v>0.207</v>
      </c>
      <c r="BF52" s="439" t="n">
        <v>0.213</v>
      </c>
      <c r="BG52" s="442" t="n">
        <v>0.214</v>
      </c>
      <c r="BH52" s="436" t="n">
        <v>0.211</v>
      </c>
      <c r="BI52" s="436" t="n">
        <v>0.211</v>
      </c>
      <c r="BJ52" s="436" t="n">
        <v>0.219</v>
      </c>
      <c r="BK52" s="439" t="n">
        <v>0.207</v>
      </c>
      <c r="BL52" s="442" t="n">
        <v>0.209</v>
      </c>
      <c r="BM52" s="436" t="n">
        <v>0.203</v>
      </c>
      <c r="BN52" s="436" t="n">
        <v>0.214</v>
      </c>
      <c r="BO52" s="436" t="n">
        <v>0.201</v>
      </c>
      <c r="BP52" s="439" t="n">
        <v>0.206</v>
      </c>
      <c r="BQ52" s="442" t="n">
        <v>0.205</v>
      </c>
      <c r="BR52" s="436" t="n">
        <v>0.214</v>
      </c>
      <c r="BS52" s="436" t="n">
        <v>0.214</v>
      </c>
      <c r="BT52" s="439" t="n">
        <v>0.222</v>
      </c>
      <c r="BU52" s="454">
        <f>IFERROR(AVERAGE(D52:BT54),0)</f>
        <v/>
      </c>
      <c r="BV52" s="454">
        <f>MIN(D52:BT54)</f>
        <v/>
      </c>
      <c r="BW52" s="238" t="n"/>
      <c r="BX52" s="238" t="n"/>
      <c r="BY52" s="238" t="n"/>
      <c r="BZ52" s="238" t="n"/>
      <c r="CA52" s="238" t="n"/>
      <c r="CB52" s="238" t="n"/>
      <c r="CC52" s="238" t="n"/>
      <c r="CD52" s="238" t="n"/>
      <c r="CE52" s="238" t="n"/>
      <c r="CF52" s="238" t="n"/>
      <c r="CG52" s="238" t="n"/>
      <c r="CH52" s="238" t="n"/>
      <c r="CI52" s="238" t="n"/>
      <c r="CJ52" s="238" t="n"/>
      <c r="CK52" s="238" t="n"/>
      <c r="CL52" s="238" t="n"/>
      <c r="CM52" s="238" t="n"/>
      <c r="CN52" s="238" t="n"/>
      <c r="CO52" s="238" t="n"/>
      <c r="CP52" s="238" t="n"/>
      <c r="CQ52" s="238" t="n"/>
      <c r="CR52" s="238" t="n"/>
      <c r="CS52" s="238" t="n"/>
      <c r="CT52" s="238" t="n"/>
      <c r="CU52" s="238" t="n"/>
      <c r="CV52" s="238" t="n"/>
      <c r="CW52" s="238" t="n"/>
      <c r="CX52" s="238" t="n"/>
      <c r="CY52" s="238" t="n"/>
      <c r="CZ52" s="238" t="n"/>
      <c r="DA52" s="238" t="n"/>
      <c r="DB52" s="238" t="n"/>
      <c r="DC52" s="238" t="n"/>
      <c r="DD52" s="238" t="n"/>
      <c r="DE52" s="238" t="n"/>
      <c r="DF52" s="238" t="n"/>
      <c r="DG52" s="238" t="n"/>
      <c r="DH52" s="238" t="n"/>
      <c r="DI52" s="238" t="n"/>
      <c r="DJ52" s="238" t="n"/>
      <c r="DK52" s="238" t="n"/>
      <c r="DL52" s="238" t="n"/>
      <c r="DM52" s="238" t="n"/>
      <c r="DN52" s="238" t="n"/>
      <c r="DO52" s="238" t="n"/>
      <c r="DP52" s="238" t="n"/>
      <c r="DQ52" s="238" t="n"/>
      <c r="DR52" s="238" t="n"/>
      <c r="DS52" s="238" t="n"/>
      <c r="DT52" s="238" t="n"/>
      <c r="DU52" s="238" t="n"/>
      <c r="DV52" s="238" t="n"/>
      <c r="DW52" s="238" t="n"/>
      <c r="DX52" s="238" t="n"/>
      <c r="DY52" s="238" t="n"/>
      <c r="DZ52" s="23" t="n"/>
      <c r="FQ52" s="212" t="n"/>
      <c r="FR52" s="212" t="n"/>
      <c r="FS52" s="212" t="n"/>
      <c r="FT52" s="212" t="n"/>
      <c r="FU52" s="212" t="n"/>
      <c r="FV52" s="212" t="n"/>
      <c r="FW52" s="212" t="n"/>
      <c r="FX52" s="212" t="n"/>
      <c r="FY52" s="212" t="n"/>
      <c r="FZ52" s="212" t="n"/>
    </row>
    <row r="53" ht="39.95" customFormat="1" customHeight="1" s="5">
      <c r="A53" s="182" t="n">
        <v>0.083</v>
      </c>
      <c r="B53" s="7" t="inlineStr">
        <is>
          <t>+4 FT 6 IN</t>
        </is>
      </c>
      <c r="C53" s="11" t="inlineStr">
        <is>
          <t>C</t>
        </is>
      </c>
      <c r="D53" s="434" t="n">
        <v>0.2</v>
      </c>
      <c r="E53" s="437" t="n">
        <v>0.218</v>
      </c>
      <c r="F53" s="437" t="n">
        <v>0.221</v>
      </c>
      <c r="G53" s="437" t="n">
        <v>0.219</v>
      </c>
      <c r="H53" s="440" t="n">
        <v>0.217</v>
      </c>
      <c r="I53" s="443" t="n">
        <v>0.26</v>
      </c>
      <c r="J53" s="437" t="n">
        <v>0.264</v>
      </c>
      <c r="K53" s="437" t="n">
        <v>0.257</v>
      </c>
      <c r="L53" s="437" t="n">
        <v>0.248</v>
      </c>
      <c r="M53" s="440" t="n">
        <v>0.258</v>
      </c>
      <c r="N53" s="443" t="n">
        <v>0.253</v>
      </c>
      <c r="O53" s="437" t="n">
        <v>0.207</v>
      </c>
      <c r="P53" s="437" t="n">
        <v>0.205</v>
      </c>
      <c r="Q53" s="437" t="n">
        <v>0.214</v>
      </c>
      <c r="R53" s="440" t="n">
        <v>0.217</v>
      </c>
      <c r="S53" s="443" t="n">
        <v>0.209</v>
      </c>
      <c r="T53" s="437" t="n">
        <v>0.191</v>
      </c>
      <c r="U53" s="437" t="n">
        <v>0.2</v>
      </c>
      <c r="V53" s="437" t="n">
        <v>0.187</v>
      </c>
      <c r="W53" s="440" t="n">
        <v>0.185</v>
      </c>
      <c r="X53" s="443" t="n">
        <v>0.198</v>
      </c>
      <c r="Y53" s="437" t="n">
        <v>0.173</v>
      </c>
      <c r="Z53" s="437" t="n">
        <v>0.187</v>
      </c>
      <c r="AA53" s="437" t="n">
        <v>0.181</v>
      </c>
      <c r="AB53" s="440" t="n">
        <v>0.221</v>
      </c>
      <c r="AC53" s="443" t="n">
        <v>0.185</v>
      </c>
      <c r="AD53" s="437" t="n">
        <v>0.189</v>
      </c>
      <c r="AE53" s="437" t="n">
        <v>0.198</v>
      </c>
      <c r="AF53" s="437" t="n">
        <v>0.324</v>
      </c>
      <c r="AG53" s="440" t="n">
        <v>0.188</v>
      </c>
      <c r="AH53" s="443" t="n">
        <v>0.2</v>
      </c>
      <c r="AI53" s="437" t="n">
        <v>0.226</v>
      </c>
      <c r="AJ53" s="437" t="n">
        <v>0.2</v>
      </c>
      <c r="AK53" s="437" t="n">
        <v>0.212</v>
      </c>
      <c r="AL53" s="440" t="n">
        <v>0.201</v>
      </c>
      <c r="AM53" s="443" t="n">
        <v>0.196</v>
      </c>
      <c r="AN53" s="437" t="n">
        <v>0.212</v>
      </c>
      <c r="AO53" s="437" t="n">
        <v>0.214</v>
      </c>
      <c r="AP53" s="437" t="n">
        <v>0.21</v>
      </c>
      <c r="AQ53" s="440" t="n">
        <v>0.213</v>
      </c>
      <c r="AR53" s="443" t="n">
        <v>0.217</v>
      </c>
      <c r="AS53" s="437" t="n">
        <v>0.208</v>
      </c>
      <c r="AT53" s="437" t="n">
        <v>0.218</v>
      </c>
      <c r="AU53" s="437" t="n">
        <v>0.208</v>
      </c>
      <c r="AV53" s="440" t="n">
        <v>0.213</v>
      </c>
      <c r="AW53" s="443" t="n">
        <v>0.212</v>
      </c>
      <c r="AX53" s="437" t="n">
        <v>0.209</v>
      </c>
      <c r="AY53" s="437" t="n">
        <v>0.213</v>
      </c>
      <c r="AZ53" s="437" t="n">
        <v>0.212</v>
      </c>
      <c r="BA53" s="440" t="n">
        <v>0.218</v>
      </c>
      <c r="BB53" s="443" t="n">
        <v>0.207</v>
      </c>
      <c r="BC53" s="437" t="n">
        <v>0.213</v>
      </c>
      <c r="BD53" s="437" t="n">
        <v>0.207</v>
      </c>
      <c r="BE53" s="437" t="n">
        <v>0.218</v>
      </c>
      <c r="BF53" s="440" t="n">
        <v>0.208</v>
      </c>
      <c r="BG53" s="443" t="n">
        <v>0.218</v>
      </c>
      <c r="BH53" s="437" t="n">
        <v>0.211</v>
      </c>
      <c r="BI53" s="437" t="n">
        <v>0.212</v>
      </c>
      <c r="BJ53" s="437" t="n">
        <v>0.216</v>
      </c>
      <c r="BK53" s="440" t="n">
        <v>0.209</v>
      </c>
      <c r="BL53" s="443" t="n">
        <v>0.212</v>
      </c>
      <c r="BM53" s="437" t="n">
        <v>0.204</v>
      </c>
      <c r="BN53" s="437" t="n">
        <v>0.204</v>
      </c>
      <c r="BO53" s="437" t="n">
        <v>0.2</v>
      </c>
      <c r="BP53" s="440" t="n">
        <v>0.213</v>
      </c>
      <c r="BQ53" s="443" t="n">
        <v>0.209</v>
      </c>
      <c r="BR53" s="437" t="n">
        <v>0.208</v>
      </c>
      <c r="BS53" s="437" t="n">
        <v>0.201</v>
      </c>
      <c r="BT53" s="440" t="n">
        <v>0.216</v>
      </c>
      <c r="BU53" s="455" t="n"/>
      <c r="BV53" s="455" t="n"/>
      <c r="BW53" s="238" t="n"/>
      <c r="BX53" s="238" t="n"/>
      <c r="BY53" s="238" t="n"/>
      <c r="BZ53" s="238" t="n"/>
      <c r="CA53" s="238" t="n"/>
      <c r="CB53" s="238" t="n"/>
      <c r="CC53" s="238" t="n"/>
      <c r="CD53" s="238" t="n"/>
      <c r="CE53" s="238" t="n"/>
      <c r="CF53" s="238" t="n"/>
      <c r="CG53" s="238" t="n"/>
      <c r="CH53" s="238" t="n"/>
      <c r="CI53" s="238" t="n"/>
      <c r="CJ53" s="238" t="n"/>
      <c r="CK53" s="238" t="n"/>
      <c r="CL53" s="238" t="n"/>
      <c r="CM53" s="238" t="n"/>
      <c r="CN53" s="238" t="n"/>
      <c r="CO53" s="238" t="n"/>
      <c r="CP53" s="238" t="n"/>
      <c r="CQ53" s="238" t="n"/>
      <c r="CR53" s="238" t="n"/>
      <c r="CS53" s="238" t="n"/>
      <c r="CT53" s="238" t="n"/>
      <c r="CU53" s="238" t="n"/>
      <c r="CV53" s="238" t="n"/>
      <c r="CW53" s="238" t="n"/>
      <c r="CX53" s="238" t="n"/>
      <c r="CY53" s="238" t="n"/>
      <c r="CZ53" s="238" t="n"/>
      <c r="DA53" s="238" t="n"/>
      <c r="DB53" s="238" t="n"/>
      <c r="DC53" s="238" t="n"/>
      <c r="DD53" s="238" t="n"/>
      <c r="DE53" s="238" t="n"/>
      <c r="DF53" s="238" t="n"/>
      <c r="DG53" s="238" t="n"/>
      <c r="DH53" s="238" t="n"/>
      <c r="DI53" s="238" t="n"/>
      <c r="DJ53" s="238" t="n"/>
      <c r="DK53" s="238" t="n"/>
      <c r="DL53" s="238" t="n"/>
      <c r="DM53" s="238" t="n"/>
      <c r="DN53" s="238" t="n"/>
      <c r="DO53" s="238" t="n"/>
      <c r="DP53" s="238" t="n"/>
      <c r="DQ53" s="238" t="n"/>
      <c r="DR53" s="238" t="n"/>
      <c r="DS53" s="238" t="n"/>
      <c r="DT53" s="238" t="n"/>
      <c r="DU53" s="238" t="n"/>
      <c r="DV53" s="238" t="n"/>
      <c r="DW53" s="238" t="n"/>
      <c r="DX53" s="238" t="n"/>
      <c r="DY53" s="238" t="n"/>
      <c r="DZ53" s="23" t="n"/>
      <c r="FQ53" s="212" t="n"/>
      <c r="FR53" s="212" t="n"/>
      <c r="FS53" s="212" t="n"/>
      <c r="FT53" s="212" t="n"/>
      <c r="FU53" s="212" t="n"/>
      <c r="FV53" s="212" t="n"/>
      <c r="FW53" s="212" t="n"/>
      <c r="FX53" s="212" t="n"/>
      <c r="FY53" s="212" t="n"/>
      <c r="FZ53" s="212" t="n"/>
    </row>
    <row r="54" ht="39.95" customFormat="1" customHeight="1" s="5">
      <c r="A54" s="456" t="n"/>
      <c r="B54" s="8" t="n"/>
      <c r="C54" s="12" t="inlineStr">
        <is>
          <t>R</t>
        </is>
      </c>
      <c r="D54" s="435" t="n">
        <v>0.194</v>
      </c>
      <c r="E54" s="438" t="n">
        <v>0.227</v>
      </c>
      <c r="F54" s="438" t="n">
        <v>0.215</v>
      </c>
      <c r="G54" s="438" t="n">
        <v>0.218</v>
      </c>
      <c r="H54" s="441" t="n">
        <v>0.223</v>
      </c>
      <c r="I54" s="444" t="n">
        <v>0.26</v>
      </c>
      <c r="J54" s="438" t="n">
        <v>0.273</v>
      </c>
      <c r="K54" s="438" t="n">
        <v>0.263</v>
      </c>
      <c r="L54" s="438" t="n">
        <v>0.264</v>
      </c>
      <c r="M54" s="441" t="n">
        <v>0.262</v>
      </c>
      <c r="N54" s="444" t="n">
        <v>0.259</v>
      </c>
      <c r="O54" s="438" t="n">
        <v>0.205</v>
      </c>
      <c r="P54" s="438" t="n">
        <v>0.196</v>
      </c>
      <c r="Q54" s="438" t="n">
        <v>0.208</v>
      </c>
      <c r="R54" s="441" t="n">
        <v>0.195</v>
      </c>
      <c r="S54" s="444" t="n">
        <v>0.195</v>
      </c>
      <c r="T54" s="438" t="n">
        <v>0.192</v>
      </c>
      <c r="U54" s="438" t="n">
        <v>0.18</v>
      </c>
      <c r="V54" s="438" t="n">
        <v>0.196</v>
      </c>
      <c r="W54" s="441" t="n">
        <v>0.183</v>
      </c>
      <c r="X54" s="444" t="n">
        <v>0.195</v>
      </c>
      <c r="Y54" s="438" t="n">
        <v>0.193</v>
      </c>
      <c r="Z54" s="438" t="n">
        <v>0.183</v>
      </c>
      <c r="AA54" s="438" t="n">
        <v>0.18</v>
      </c>
      <c r="AB54" s="441" t="n">
        <v>0.199</v>
      </c>
      <c r="AC54" s="444" t="n">
        <v>0.206</v>
      </c>
      <c r="AD54" s="438" t="n">
        <v>0.195</v>
      </c>
      <c r="AE54" s="438" t="n">
        <v>0.223</v>
      </c>
      <c r="AF54" s="438" t="n">
        <v>0.323</v>
      </c>
      <c r="AG54" s="441" t="n">
        <v>0.208</v>
      </c>
      <c r="AH54" s="444" t="n">
        <v>0.2</v>
      </c>
      <c r="AI54" s="438" t="n">
        <v>0.185</v>
      </c>
      <c r="AJ54" s="438" t="n">
        <v>0.194</v>
      </c>
      <c r="AK54" s="438" t="n">
        <v>0.204</v>
      </c>
      <c r="AL54" s="441" t="n">
        <v>0.213</v>
      </c>
      <c r="AM54" s="444" t="n">
        <v>0.202</v>
      </c>
      <c r="AN54" s="438" t="n">
        <v>0.207</v>
      </c>
      <c r="AO54" s="438" t="n">
        <v>0.21</v>
      </c>
      <c r="AP54" s="438" t="n">
        <v>0.215</v>
      </c>
      <c r="AQ54" s="441" t="n">
        <v>0.21</v>
      </c>
      <c r="AR54" s="444" t="n">
        <v>0.214</v>
      </c>
      <c r="AS54" s="438" t="n">
        <v>0.219</v>
      </c>
      <c r="AT54" s="438" t="n">
        <v>0.22</v>
      </c>
      <c r="AU54" s="438" t="n">
        <v>0.214</v>
      </c>
      <c r="AV54" s="441" t="n">
        <v>0.215</v>
      </c>
      <c r="AW54" s="444" t="n">
        <v>0.213</v>
      </c>
      <c r="AX54" s="438" t="n">
        <v>0.211</v>
      </c>
      <c r="AY54" s="438" t="n">
        <v>0.21</v>
      </c>
      <c r="AZ54" s="438" t="n">
        <v>0.217</v>
      </c>
      <c r="BA54" s="441" t="n">
        <v>0.21</v>
      </c>
      <c r="BB54" s="444" t="n">
        <v>0.211</v>
      </c>
      <c r="BC54" s="438" t="n">
        <v>0.212</v>
      </c>
      <c r="BD54" s="438" t="n">
        <v>0.217</v>
      </c>
      <c r="BE54" s="438" t="n">
        <v>0.223</v>
      </c>
      <c r="BF54" s="441" t="n">
        <v>0.207</v>
      </c>
      <c r="BG54" s="444" t="n">
        <v>0.207</v>
      </c>
      <c r="BH54" s="438" t="n">
        <v>0.217</v>
      </c>
      <c r="BI54" s="438" t="n">
        <v>0.217</v>
      </c>
      <c r="BJ54" s="438" t="n">
        <v>0.212</v>
      </c>
      <c r="BK54" s="441" t="n">
        <v>0.21</v>
      </c>
      <c r="BL54" s="444" t="n">
        <v>0.218</v>
      </c>
      <c r="BM54" s="438" t="n">
        <v>0.209</v>
      </c>
      <c r="BN54" s="438" t="n">
        <v>0.222</v>
      </c>
      <c r="BO54" s="438" t="n">
        <v>0.196</v>
      </c>
      <c r="BP54" s="441" t="n">
        <v>0.202</v>
      </c>
      <c r="BQ54" s="444" t="n">
        <v>0.212</v>
      </c>
      <c r="BR54" s="438" t="n">
        <v>0.209</v>
      </c>
      <c r="BS54" s="438" t="n">
        <v>0.194</v>
      </c>
      <c r="BT54" s="441" t="n">
        <v>0.23</v>
      </c>
      <c r="BU54" s="457" t="n"/>
      <c r="BV54" s="457" t="n"/>
      <c r="BW54" s="238" t="n"/>
      <c r="BX54" s="238" t="n"/>
      <c r="BY54" s="238" t="n"/>
      <c r="BZ54" s="238" t="n"/>
      <c r="CA54" s="238" t="n"/>
      <c r="CB54" s="238" t="n"/>
      <c r="CC54" s="238" t="n"/>
      <c r="CD54" s="238" t="n"/>
      <c r="CE54" s="238" t="n"/>
      <c r="CF54" s="238" t="n"/>
      <c r="CG54" s="238" t="n"/>
      <c r="CH54" s="238" t="n"/>
      <c r="CI54" s="238" t="n"/>
      <c r="CJ54" s="238" t="n"/>
      <c r="CK54" s="238" t="n"/>
      <c r="CL54" s="238" t="n"/>
      <c r="CM54" s="238" t="n"/>
      <c r="CN54" s="238" t="n"/>
      <c r="CO54" s="238" t="n"/>
      <c r="CP54" s="238" t="n"/>
      <c r="CQ54" s="238" t="n"/>
      <c r="CR54" s="238" t="n"/>
      <c r="CS54" s="238" t="n"/>
      <c r="CT54" s="238" t="n"/>
      <c r="CU54" s="238" t="n"/>
      <c r="CV54" s="238" t="n"/>
      <c r="CW54" s="238" t="n"/>
      <c r="CX54" s="238" t="n"/>
      <c r="CY54" s="238" t="n"/>
      <c r="CZ54" s="238" t="n"/>
      <c r="DA54" s="238" t="n"/>
      <c r="DB54" s="238" t="n"/>
      <c r="DC54" s="238" t="n"/>
      <c r="DD54" s="238" t="n"/>
      <c r="DE54" s="238" t="n"/>
      <c r="DF54" s="238" t="n"/>
      <c r="DG54" s="238" t="n"/>
      <c r="DH54" s="238" t="n"/>
      <c r="DI54" s="238" t="n"/>
      <c r="DJ54" s="238" t="n"/>
      <c r="DK54" s="238" t="n"/>
      <c r="DL54" s="238" t="n"/>
      <c r="DM54" s="238" t="n"/>
      <c r="DN54" s="238" t="n"/>
      <c r="DO54" s="238" t="n"/>
      <c r="DP54" s="238" t="n"/>
      <c r="DQ54" s="238" t="n"/>
      <c r="DR54" s="238" t="n"/>
      <c r="DS54" s="238" t="n"/>
      <c r="DT54" s="238" t="n"/>
      <c r="DU54" s="238" t="n"/>
      <c r="DV54" s="238" t="n"/>
      <c r="DW54" s="238" t="n"/>
      <c r="DX54" s="238" t="n"/>
      <c r="DY54" s="238" t="n"/>
      <c r="DZ54" s="23" t="n"/>
      <c r="FQ54" s="212" t="n"/>
      <c r="FR54" s="212" t="n"/>
      <c r="FS54" s="212" t="n"/>
      <c r="FT54" s="212" t="n"/>
      <c r="FU54" s="212" t="n"/>
      <c r="FV54" s="212" t="n"/>
      <c r="FW54" s="212" t="n"/>
      <c r="FX54" s="212" t="n"/>
      <c r="FY54" s="212" t="n"/>
      <c r="FZ54" s="212" t="n"/>
    </row>
    <row r="55" ht="39.95" customFormat="1" customHeight="1" s="5">
      <c r="A55" s="10" t="inlineStr">
        <is>
          <t>A</t>
        </is>
      </c>
      <c r="B55" s="6" t="n"/>
      <c r="C55" s="11" t="inlineStr">
        <is>
          <t>L</t>
        </is>
      </c>
      <c r="D55" s="433" t="n">
        <v>0.204</v>
      </c>
      <c r="E55" s="436" t="n">
        <v>0.222</v>
      </c>
      <c r="F55" s="436" t="n">
        <v>0.226</v>
      </c>
      <c r="G55" s="436" t="n">
        <v>0.223</v>
      </c>
      <c r="H55" s="439" t="n">
        <v>0.227</v>
      </c>
      <c r="I55" s="442" t="n">
        <v>0.237</v>
      </c>
      <c r="J55" s="436" t="n">
        <v>0.267</v>
      </c>
      <c r="K55" s="436" t="n">
        <v>0.269</v>
      </c>
      <c r="L55" s="436" t="n">
        <v>0.269</v>
      </c>
      <c r="M55" s="439" t="n">
        <v>0.267</v>
      </c>
      <c r="N55" s="442" t="n">
        <v>0.248</v>
      </c>
      <c r="O55" s="436" t="n">
        <v>0.205</v>
      </c>
      <c r="P55" s="436" t="n">
        <v>0.225</v>
      </c>
      <c r="Q55" s="436" t="n">
        <v>0.221</v>
      </c>
      <c r="R55" s="439" t="n">
        <v>0.198</v>
      </c>
      <c r="S55" s="442" t="n">
        <v>0.207</v>
      </c>
      <c r="T55" s="436" t="n">
        <v>0.201</v>
      </c>
      <c r="U55" s="436" t="n">
        <v>0.18</v>
      </c>
      <c r="V55" s="436" t="n">
        <v>0.207</v>
      </c>
      <c r="W55" s="439" t="n">
        <v>0.213</v>
      </c>
      <c r="X55" s="442" t="n">
        <v>0.221</v>
      </c>
      <c r="Y55" s="436" t="n">
        <v>0.2</v>
      </c>
      <c r="Z55" s="436" t="n">
        <v>0.195</v>
      </c>
      <c r="AA55" s="436" t="n">
        <v>0.197</v>
      </c>
      <c r="AB55" s="439" t="n">
        <v>0.216</v>
      </c>
      <c r="AC55" s="442" t="n">
        <v>0.222</v>
      </c>
      <c r="AD55" s="436" t="n">
        <v>0.204</v>
      </c>
      <c r="AE55" s="436" t="n">
        <v>0.197</v>
      </c>
      <c r="AF55" s="436" t="n">
        <v>0.314</v>
      </c>
      <c r="AG55" s="439" t="n">
        <v>0.202</v>
      </c>
      <c r="AH55" s="442" t="inlineStr">
        <is>
          <t>RF</t>
        </is>
      </c>
      <c r="AI55" s="436" t="n">
        <v>0.201</v>
      </c>
      <c r="AJ55" s="436" t="n">
        <v>0.214</v>
      </c>
      <c r="AK55" s="436" t="n">
        <v>0.205</v>
      </c>
      <c r="AL55" s="439" t="n">
        <v>0.199</v>
      </c>
      <c r="AM55" s="442" t="n">
        <v>0.206</v>
      </c>
      <c r="AN55" s="436" t="n">
        <v>0.213</v>
      </c>
      <c r="AO55" s="436" t="n">
        <v>0.217</v>
      </c>
      <c r="AP55" s="436" t="n">
        <v>0.216</v>
      </c>
      <c r="AQ55" s="439" t="n">
        <v>0.211</v>
      </c>
      <c r="AR55" s="442" t="n">
        <v>0.226</v>
      </c>
      <c r="AS55" s="436" t="n">
        <v>0.226</v>
      </c>
      <c r="AT55" s="436" t="n">
        <v>0.208</v>
      </c>
      <c r="AU55" s="436" t="n">
        <v>0.209</v>
      </c>
      <c r="AV55" s="439" t="n">
        <v>0.22</v>
      </c>
      <c r="AW55" s="442" t="n">
        <v>0.211</v>
      </c>
      <c r="AX55" s="436" t="n">
        <v>0.216</v>
      </c>
      <c r="AY55" s="436" t="n">
        <v>0.213</v>
      </c>
      <c r="AZ55" s="436" t="n">
        <v>0.239</v>
      </c>
      <c r="BA55" s="439" t="n">
        <v>0.21</v>
      </c>
      <c r="BB55" s="442" t="n">
        <v>0.23</v>
      </c>
      <c r="BC55" s="436" t="n">
        <v>0.233</v>
      </c>
      <c r="BD55" s="436" t="n">
        <v>0.213</v>
      </c>
      <c r="BE55" s="436" t="n">
        <v>0.212</v>
      </c>
      <c r="BF55" s="439" t="n">
        <v>0.22</v>
      </c>
      <c r="BG55" s="442" t="n">
        <v>0.22</v>
      </c>
      <c r="BH55" s="436" t="n">
        <v>0.222</v>
      </c>
      <c r="BI55" s="436" t="n">
        <v>0.212</v>
      </c>
      <c r="BJ55" s="436" t="n">
        <v>0.235</v>
      </c>
      <c r="BK55" s="439" t="n">
        <v>0.207</v>
      </c>
      <c r="BL55" s="442" t="n">
        <v>0.208</v>
      </c>
      <c r="BM55" s="436" t="n">
        <v>0.22</v>
      </c>
      <c r="BN55" s="436" t="n">
        <v>0.205</v>
      </c>
      <c r="BO55" s="436" t="n">
        <v>0.226</v>
      </c>
      <c r="BP55" s="439" t="n">
        <v>0.21</v>
      </c>
      <c r="BQ55" s="442" t="n">
        <v>0.206</v>
      </c>
      <c r="BR55" s="436" t="n">
        <v>0.235</v>
      </c>
      <c r="BS55" s="436" t="n">
        <v>0.236</v>
      </c>
      <c r="BT55" s="439" t="n">
        <v>0.229</v>
      </c>
      <c r="BU55" s="454">
        <f>IFERROR(AVERAGE(D55:BT57),0)</f>
        <v/>
      </c>
      <c r="BV55" s="454">
        <f>MIN(D55:BT57)</f>
        <v/>
      </c>
      <c r="BW55" s="238" t="n"/>
      <c r="BX55" s="238" t="n"/>
      <c r="BY55" s="238" t="n"/>
      <c r="BZ55" s="238" t="n"/>
      <c r="CA55" s="238" t="n"/>
      <c r="CB55" s="238" t="n"/>
      <c r="CC55" s="238" t="n"/>
      <c r="CD55" s="238" t="n"/>
      <c r="CE55" s="238" t="n"/>
      <c r="CF55" s="238" t="n"/>
      <c r="CG55" s="238" t="n"/>
      <c r="CH55" s="238" t="n"/>
      <c r="CI55" s="238" t="n"/>
      <c r="CJ55" s="238" t="n"/>
      <c r="CK55" s="238" t="n"/>
      <c r="CL55" s="238" t="n"/>
      <c r="CM55" s="238" t="n"/>
      <c r="CN55" s="238" t="n"/>
      <c r="CO55" s="238" t="n"/>
      <c r="CP55" s="238" t="n"/>
      <c r="CQ55" s="238" t="n"/>
      <c r="CR55" s="238" t="n"/>
      <c r="CS55" s="238" t="n"/>
      <c r="CT55" s="238" t="n"/>
      <c r="CU55" s="238" t="n"/>
      <c r="CV55" s="238" t="n"/>
      <c r="CW55" s="238" t="n"/>
      <c r="CX55" s="238" t="n"/>
      <c r="CY55" s="238" t="n"/>
      <c r="CZ55" s="238" t="n"/>
      <c r="DA55" s="238" t="n"/>
      <c r="DB55" s="238" t="n"/>
      <c r="DC55" s="238" t="n"/>
      <c r="DD55" s="238" t="n"/>
      <c r="DE55" s="238" t="n"/>
      <c r="DF55" s="238" t="n"/>
      <c r="DG55" s="238" t="n"/>
      <c r="DH55" s="238" t="n"/>
      <c r="DI55" s="238" t="n"/>
      <c r="DJ55" s="238" t="n"/>
      <c r="DK55" s="238" t="n"/>
      <c r="DL55" s="238" t="n"/>
      <c r="DM55" s="238" t="n"/>
      <c r="DN55" s="238" t="n"/>
      <c r="DO55" s="238" t="n"/>
      <c r="DP55" s="238" t="n"/>
      <c r="DQ55" s="238" t="n"/>
      <c r="DR55" s="238" t="n"/>
      <c r="DS55" s="238" t="n"/>
      <c r="DT55" s="238" t="n"/>
      <c r="DU55" s="238" t="n"/>
      <c r="DV55" s="238" t="n"/>
      <c r="DW55" s="238" t="n"/>
      <c r="DX55" s="238" t="n"/>
      <c r="DY55" s="238" t="n"/>
      <c r="DZ55" s="23" t="n"/>
      <c r="FQ55" s="212" t="n"/>
      <c r="FR55" s="212" t="n"/>
      <c r="FS55" s="212" t="n"/>
      <c r="FT55" s="212" t="n"/>
      <c r="FU55" s="212" t="n"/>
      <c r="FV55" s="212" t="n"/>
      <c r="FW55" s="212" t="n"/>
      <c r="FX55" s="212" t="n"/>
      <c r="FY55" s="212" t="n"/>
      <c r="FZ55" s="212" t="n"/>
    </row>
    <row r="56" ht="39.95" customFormat="1" customHeight="1" s="5">
      <c r="A56" s="182" t="n">
        <v>0.083</v>
      </c>
      <c r="B56" s="7" t="inlineStr">
        <is>
          <t>+3 FT</t>
        </is>
      </c>
      <c r="C56" s="11" t="inlineStr">
        <is>
          <t>C</t>
        </is>
      </c>
      <c r="D56" s="434" t="n">
        <v>0.23</v>
      </c>
      <c r="E56" s="437" t="n">
        <v>0.214</v>
      </c>
      <c r="F56" s="437" t="n">
        <v>0.22</v>
      </c>
      <c r="G56" s="437" t="n">
        <v>0.221</v>
      </c>
      <c r="H56" s="440" t="n">
        <v>0.229</v>
      </c>
      <c r="I56" s="443" t="n">
        <v>0.259</v>
      </c>
      <c r="J56" s="437" t="n">
        <v>0.264</v>
      </c>
      <c r="K56" s="437" t="n">
        <v>0.266</v>
      </c>
      <c r="L56" s="437" t="n">
        <v>0.261</v>
      </c>
      <c r="M56" s="440" t="n">
        <v>0.267</v>
      </c>
      <c r="N56" s="443" t="n">
        <v>0.261</v>
      </c>
      <c r="O56" s="437" t="n">
        <v>0.215</v>
      </c>
      <c r="P56" s="437" t="n">
        <v>0.236</v>
      </c>
      <c r="Q56" s="437" t="n">
        <v>0.242</v>
      </c>
      <c r="R56" s="440" t="n">
        <v>0.208</v>
      </c>
      <c r="S56" s="443" t="n">
        <v>0.208</v>
      </c>
      <c r="T56" s="437" t="n">
        <v>0.201</v>
      </c>
      <c r="U56" s="437" t="n">
        <v>0.213</v>
      </c>
      <c r="V56" s="437" t="n">
        <v>0.218</v>
      </c>
      <c r="W56" s="440" t="n">
        <v>0.23</v>
      </c>
      <c r="X56" s="443" t="n">
        <v>0.214</v>
      </c>
      <c r="Y56" s="437" t="n">
        <v>0.2</v>
      </c>
      <c r="Z56" s="437" t="n">
        <v>0.201</v>
      </c>
      <c r="AA56" s="437" t="n">
        <v>0.195</v>
      </c>
      <c r="AB56" s="440" t="n">
        <v>0.2</v>
      </c>
      <c r="AC56" s="443" t="n">
        <v>0.205</v>
      </c>
      <c r="AD56" s="437" t="n">
        <v>0.208</v>
      </c>
      <c r="AE56" s="437" t="n">
        <v>0.217</v>
      </c>
      <c r="AF56" s="437" t="n">
        <v>0.328</v>
      </c>
      <c r="AG56" s="440" t="inlineStr">
        <is>
          <t>RF</t>
        </is>
      </c>
      <c r="AH56" s="443" t="n">
        <v>0.202</v>
      </c>
      <c r="AI56" s="437" t="n">
        <v>0.203</v>
      </c>
      <c r="AJ56" s="437" t="n">
        <v>0.212</v>
      </c>
      <c r="AK56" s="437" t="n">
        <v>0.214</v>
      </c>
      <c r="AL56" s="440" t="n">
        <v>0.208</v>
      </c>
      <c r="AM56" s="443" t="n">
        <v>0.209</v>
      </c>
      <c r="AN56" s="437" t="n">
        <v>0.212</v>
      </c>
      <c r="AO56" s="437" t="n">
        <v>0.209</v>
      </c>
      <c r="AP56" s="437" t="n">
        <v>0.22</v>
      </c>
      <c r="AQ56" s="440" t="n">
        <v>0.224</v>
      </c>
      <c r="AR56" s="443" t="n">
        <v>0.216</v>
      </c>
      <c r="AS56" s="437" t="n">
        <v>0.209</v>
      </c>
      <c r="AT56" s="437" t="n">
        <v>0.208</v>
      </c>
      <c r="AU56" s="437" t="n">
        <v>0.21</v>
      </c>
      <c r="AV56" s="440" t="n">
        <v>0.213</v>
      </c>
      <c r="AW56" s="443" t="n">
        <v>0.211</v>
      </c>
      <c r="AX56" s="437" t="n">
        <v>0.226</v>
      </c>
      <c r="AY56" s="437" t="n">
        <v>0.214</v>
      </c>
      <c r="AZ56" s="437" t="n">
        <v>0.213</v>
      </c>
      <c r="BA56" s="440" t="n">
        <v>0.22</v>
      </c>
      <c r="BB56" s="443" t="n">
        <v>0.204</v>
      </c>
      <c r="BC56" s="437" t="n">
        <v>0.203</v>
      </c>
      <c r="BD56" s="437" t="n">
        <v>0.214</v>
      </c>
      <c r="BE56" s="437" t="n">
        <v>0.208</v>
      </c>
      <c r="BF56" s="440" t="n">
        <v>0.218</v>
      </c>
      <c r="BG56" s="443" t="n">
        <v>0.212</v>
      </c>
      <c r="BH56" s="437" t="n">
        <v>0.207</v>
      </c>
      <c r="BI56" s="437" t="n">
        <v>0.211</v>
      </c>
      <c r="BJ56" s="437" t="n">
        <v>0.232</v>
      </c>
      <c r="BK56" s="440" t="n">
        <v>0.21</v>
      </c>
      <c r="BL56" s="443" t="n">
        <v>0.23</v>
      </c>
      <c r="BM56" s="437" t="n">
        <v>0.22</v>
      </c>
      <c r="BN56" s="437" t="n">
        <v>0.211</v>
      </c>
      <c r="BO56" s="437" t="n">
        <v>0.217</v>
      </c>
      <c r="BP56" s="440" t="n">
        <v>0.208</v>
      </c>
      <c r="BQ56" s="443" t="n">
        <v>0.229</v>
      </c>
      <c r="BR56" s="437" t="n">
        <v>0.216</v>
      </c>
      <c r="BS56" s="437" t="n">
        <v>0.207</v>
      </c>
      <c r="BT56" s="440" t="n">
        <v>0.207</v>
      </c>
      <c r="BU56" s="455" t="n"/>
      <c r="BV56" s="455" t="n"/>
      <c r="BW56" s="238" t="n"/>
      <c r="BX56" s="238" t="n"/>
      <c r="BY56" s="238" t="n"/>
      <c r="BZ56" s="238" t="n"/>
      <c r="CA56" s="238" t="n"/>
      <c r="CB56" s="238" t="n"/>
      <c r="CC56" s="238" t="n"/>
      <c r="CD56" s="238" t="n"/>
      <c r="CE56" s="238" t="n"/>
      <c r="CF56" s="238" t="n"/>
      <c r="CG56" s="238" t="n"/>
      <c r="CH56" s="238" t="n"/>
      <c r="CI56" s="238" t="n"/>
      <c r="CJ56" s="238" t="n"/>
      <c r="CK56" s="238" t="n"/>
      <c r="CL56" s="238" t="n"/>
      <c r="CM56" s="238" t="n"/>
      <c r="CN56" s="238" t="n"/>
      <c r="CO56" s="238" t="n"/>
      <c r="CP56" s="238" t="n"/>
      <c r="CQ56" s="238" t="n"/>
      <c r="CR56" s="238" t="n"/>
      <c r="CS56" s="238" t="n"/>
      <c r="CT56" s="238" t="n"/>
      <c r="CU56" s="238" t="n"/>
      <c r="CV56" s="238" t="n"/>
      <c r="CW56" s="238" t="n"/>
      <c r="CX56" s="238" t="n"/>
      <c r="CY56" s="238" t="n"/>
      <c r="CZ56" s="238" t="n"/>
      <c r="DA56" s="238" t="n"/>
      <c r="DB56" s="238" t="n"/>
      <c r="DC56" s="238" t="n"/>
      <c r="DD56" s="238" t="n"/>
      <c r="DE56" s="238" t="n"/>
      <c r="DF56" s="238" t="n"/>
      <c r="DG56" s="238" t="n"/>
      <c r="DH56" s="238" t="n"/>
      <c r="DI56" s="238" t="n"/>
      <c r="DJ56" s="238" t="n"/>
      <c r="DK56" s="238" t="n"/>
      <c r="DL56" s="238" t="n"/>
      <c r="DM56" s="238" t="n"/>
      <c r="DN56" s="238" t="n"/>
      <c r="DO56" s="238" t="n"/>
      <c r="DP56" s="238" t="n"/>
      <c r="DQ56" s="238" t="n"/>
      <c r="DR56" s="238" t="n"/>
      <c r="DS56" s="238" t="n"/>
      <c r="DT56" s="238" t="n"/>
      <c r="DU56" s="238" t="n"/>
      <c r="DV56" s="238" t="n"/>
      <c r="DW56" s="238" t="n"/>
      <c r="DX56" s="238" t="n"/>
      <c r="DY56" s="238" t="n"/>
      <c r="DZ56" s="23" t="n"/>
      <c r="FQ56" s="212" t="n"/>
      <c r="FR56" s="212" t="n"/>
      <c r="FS56" s="212" t="n"/>
      <c r="FT56" s="212" t="n"/>
      <c r="FU56" s="212" t="n"/>
      <c r="FV56" s="212" t="n"/>
      <c r="FW56" s="212" t="n"/>
      <c r="FX56" s="212" t="n"/>
      <c r="FY56" s="212" t="n"/>
      <c r="FZ56" s="212" t="n"/>
    </row>
    <row r="57" ht="39.95" customFormat="1" customHeight="1" s="5">
      <c r="A57" s="456" t="n"/>
      <c r="B57" s="8" t="n"/>
      <c r="C57" s="12" t="inlineStr">
        <is>
          <t>R</t>
        </is>
      </c>
      <c r="D57" s="435" t="inlineStr">
        <is>
          <t>RF</t>
        </is>
      </c>
      <c r="E57" s="438" t="n">
        <v>0.215</v>
      </c>
      <c r="F57" s="438" t="n">
        <v>0.222</v>
      </c>
      <c r="G57" s="438" t="n">
        <v>0.218</v>
      </c>
      <c r="H57" s="441" t="n">
        <v>0.22</v>
      </c>
      <c r="I57" s="444" t="n">
        <v>0.26</v>
      </c>
      <c r="J57" s="438" t="n">
        <v>0.273</v>
      </c>
      <c r="K57" s="438" t="n">
        <v>0.269</v>
      </c>
      <c r="L57" s="438" t="n">
        <v>0.263</v>
      </c>
      <c r="M57" s="441" t="n">
        <v>0.267</v>
      </c>
      <c r="N57" s="444" t="n">
        <v>0.255</v>
      </c>
      <c r="O57" s="438" t="n">
        <v>0.215</v>
      </c>
      <c r="P57" s="438" t="n">
        <v>0.213</v>
      </c>
      <c r="Q57" s="438" t="n">
        <v>0.211</v>
      </c>
      <c r="R57" s="441" t="n">
        <v>0.211</v>
      </c>
      <c r="S57" s="444" t="n">
        <v>0.217</v>
      </c>
      <c r="T57" s="438" t="n">
        <v>0.313</v>
      </c>
      <c r="U57" s="438" t="n">
        <v>0.198</v>
      </c>
      <c r="V57" s="438" t="n">
        <v>0.206</v>
      </c>
      <c r="W57" s="441" t="n">
        <v>0.219</v>
      </c>
      <c r="X57" s="444" t="n">
        <v>0.233</v>
      </c>
      <c r="Y57" s="438" t="n">
        <v>0.205</v>
      </c>
      <c r="Z57" s="438" t="n">
        <v>0.195</v>
      </c>
      <c r="AA57" s="438" t="n">
        <v>0.203</v>
      </c>
      <c r="AB57" s="441" t="n">
        <v>0.205</v>
      </c>
      <c r="AC57" s="444" t="n">
        <v>0.204</v>
      </c>
      <c r="AD57" s="438" t="n">
        <v>0.197</v>
      </c>
      <c r="AE57" s="438" t="n">
        <v>0.217</v>
      </c>
      <c r="AF57" s="438" t="n">
        <v>0.34</v>
      </c>
      <c r="AG57" s="441" t="n">
        <v>0.195</v>
      </c>
      <c r="AH57" s="444" t="n">
        <v>0.199</v>
      </c>
      <c r="AI57" s="438" t="n">
        <v>0.227</v>
      </c>
      <c r="AJ57" s="438" t="n">
        <v>0.203</v>
      </c>
      <c r="AK57" s="438" t="n">
        <v>0.214</v>
      </c>
      <c r="AL57" s="441" t="n">
        <v>0.209</v>
      </c>
      <c r="AM57" s="444" t="n">
        <v>0.215</v>
      </c>
      <c r="AN57" s="438" t="n">
        <v>0.219</v>
      </c>
      <c r="AO57" s="438" t="n">
        <v>0.217</v>
      </c>
      <c r="AP57" s="438" t="n">
        <v>0.215</v>
      </c>
      <c r="AQ57" s="441" t="n">
        <v>0.22</v>
      </c>
      <c r="AR57" s="444" t="n">
        <v>0.226</v>
      </c>
      <c r="AS57" s="438" t="n">
        <v>0.217</v>
      </c>
      <c r="AT57" s="438" t="n">
        <v>0.206</v>
      </c>
      <c r="AU57" s="438" t="n">
        <v>0.216</v>
      </c>
      <c r="AV57" s="441" t="n">
        <v>0.219</v>
      </c>
      <c r="AW57" s="444" t="n">
        <v>0.213</v>
      </c>
      <c r="AX57" s="438" t="n">
        <v>0.218</v>
      </c>
      <c r="AY57" s="438" t="n">
        <v>0.221</v>
      </c>
      <c r="AZ57" s="438" t="n">
        <v>0.213</v>
      </c>
      <c r="BA57" s="441" t="n">
        <v>0.221</v>
      </c>
      <c r="BB57" s="444" t="n">
        <v>0.216</v>
      </c>
      <c r="BC57" s="438" t="n">
        <v>0.218</v>
      </c>
      <c r="BD57" s="438" t="n">
        <v>0.218</v>
      </c>
      <c r="BE57" s="438" t="n">
        <v>0.215</v>
      </c>
      <c r="BF57" s="441" t="n">
        <v>0.212</v>
      </c>
      <c r="BG57" s="444" t="n">
        <v>0.213</v>
      </c>
      <c r="BH57" s="438" t="n">
        <v>0.224</v>
      </c>
      <c r="BI57" s="438" t="n">
        <v>0.213</v>
      </c>
      <c r="BJ57" s="438" t="n">
        <v>0.216</v>
      </c>
      <c r="BK57" s="441" t="n">
        <v>0.211</v>
      </c>
      <c r="BL57" s="444" t="n">
        <v>0.212</v>
      </c>
      <c r="BM57" s="438" t="n">
        <v>0.223</v>
      </c>
      <c r="BN57" s="438" t="n">
        <v>0.22</v>
      </c>
      <c r="BO57" s="438" t="n">
        <v>0.221</v>
      </c>
      <c r="BP57" s="441" t="n">
        <v>0.195</v>
      </c>
      <c r="BQ57" s="444" t="n">
        <v>0.229</v>
      </c>
      <c r="BR57" s="438" t="n">
        <v>0.216</v>
      </c>
      <c r="BS57" s="438" t="n">
        <v>0.207</v>
      </c>
      <c r="BT57" s="441" t="n">
        <v>0.213</v>
      </c>
      <c r="BU57" s="457" t="n"/>
      <c r="BV57" s="457" t="n"/>
      <c r="BW57" s="238" t="n"/>
      <c r="BX57" s="238" t="n"/>
      <c r="BY57" s="238" t="n"/>
      <c r="BZ57" s="238" t="n"/>
      <c r="CA57" s="238" t="n"/>
      <c r="CB57" s="238" t="n"/>
      <c r="CC57" s="238" t="n"/>
      <c r="CD57" s="238" t="n"/>
      <c r="CE57" s="238" t="n"/>
      <c r="CF57" s="238" t="n"/>
      <c r="CG57" s="238" t="n"/>
      <c r="CH57" s="238" t="n"/>
      <c r="CI57" s="238" t="n"/>
      <c r="CJ57" s="238" t="n"/>
      <c r="CK57" s="238" t="n"/>
      <c r="CL57" s="238" t="n"/>
      <c r="CM57" s="238" t="n"/>
      <c r="CN57" s="238" t="n"/>
      <c r="CO57" s="238" t="n"/>
      <c r="CP57" s="238" t="n"/>
      <c r="CQ57" s="238" t="n"/>
      <c r="CR57" s="238" t="n"/>
      <c r="CS57" s="238" t="n"/>
      <c r="CT57" s="238" t="n"/>
      <c r="CU57" s="238" t="n"/>
      <c r="CV57" s="238" t="n"/>
      <c r="CW57" s="238" t="n"/>
      <c r="CX57" s="238" t="n"/>
      <c r="CY57" s="238" t="n"/>
      <c r="CZ57" s="238" t="n"/>
      <c r="DA57" s="238" t="n"/>
      <c r="DB57" s="238" t="n"/>
      <c r="DC57" s="238" t="n"/>
      <c r="DD57" s="238" t="n"/>
      <c r="DE57" s="238" t="n"/>
      <c r="DF57" s="238" t="n"/>
      <c r="DG57" s="238" t="n"/>
      <c r="DH57" s="238" t="n"/>
      <c r="DI57" s="238" t="n"/>
      <c r="DJ57" s="238" t="n"/>
      <c r="DK57" s="238" t="n"/>
      <c r="DL57" s="238" t="n"/>
      <c r="DM57" s="238" t="n"/>
      <c r="DN57" s="238" t="n"/>
      <c r="DO57" s="238" t="n"/>
      <c r="DP57" s="238" t="n"/>
      <c r="DQ57" s="238" t="n"/>
      <c r="DR57" s="238" t="n"/>
      <c r="DS57" s="238" t="n"/>
      <c r="DT57" s="238" t="n"/>
      <c r="DU57" s="238" t="n"/>
      <c r="DV57" s="238" t="n"/>
      <c r="DW57" s="238" t="n"/>
      <c r="DX57" s="238" t="n"/>
      <c r="DY57" s="238" t="n"/>
      <c r="DZ57" s="23" t="n"/>
      <c r="FQ57" s="212" t="n"/>
      <c r="FR57" s="212" t="n"/>
      <c r="FS57" s="212" t="n"/>
      <c r="FT57" s="212" t="n"/>
      <c r="FU57" s="212" t="n"/>
      <c r="FV57" s="212" t="n"/>
      <c r="FW57" s="212" t="n"/>
      <c r="FX57" s="212" t="n"/>
      <c r="FY57" s="212" t="n"/>
      <c r="FZ57" s="212" t="n"/>
    </row>
    <row r="58" ht="39.95" customFormat="1" customHeight="1" s="5">
      <c r="A58" s="10" t="inlineStr">
        <is>
          <t>A</t>
        </is>
      </c>
      <c r="B58" s="6" t="n"/>
      <c r="C58" s="11" t="inlineStr">
        <is>
          <t>L</t>
        </is>
      </c>
      <c r="D58" s="433" t="n">
        <v>0.214</v>
      </c>
      <c r="E58" s="436" t="n">
        <v>0.215</v>
      </c>
      <c r="F58" s="436" t="n">
        <v>0.226</v>
      </c>
      <c r="G58" s="436" t="n">
        <v>0.216</v>
      </c>
      <c r="H58" s="439" t="n">
        <v>0.21</v>
      </c>
      <c r="I58" s="442" t="n">
        <v>0.251</v>
      </c>
      <c r="J58" s="436" t="n">
        <v>0.257</v>
      </c>
      <c r="K58" s="436" t="n">
        <v>0.266</v>
      </c>
      <c r="L58" s="436" t="n">
        <v>0.248</v>
      </c>
      <c r="M58" s="439" t="n">
        <v>0.278</v>
      </c>
      <c r="N58" s="442" t="n">
        <v>0.255</v>
      </c>
      <c r="O58" s="436" t="n">
        <v>0.219</v>
      </c>
      <c r="P58" s="436" t="n">
        <v>0.218</v>
      </c>
      <c r="Q58" s="436" t="n">
        <v>0.227</v>
      </c>
      <c r="R58" s="439" t="n">
        <v>0.226</v>
      </c>
      <c r="S58" s="442" t="n">
        <v>0.209</v>
      </c>
      <c r="T58" s="436" t="n">
        <v>0.207</v>
      </c>
      <c r="U58" s="436" t="n">
        <v>0.213</v>
      </c>
      <c r="V58" s="436" t="n">
        <v>0.214</v>
      </c>
      <c r="W58" s="439" t="n">
        <v>0.21</v>
      </c>
      <c r="X58" s="442" t="n">
        <v>0.221</v>
      </c>
      <c r="Y58" s="436" t="n">
        <v>0.206</v>
      </c>
      <c r="Z58" s="436" t="n">
        <v>0.211</v>
      </c>
      <c r="AA58" s="436" t="n">
        <v>0.208</v>
      </c>
      <c r="AB58" s="439" t="n">
        <v>0.204</v>
      </c>
      <c r="AC58" s="442" t="n">
        <v>0.215</v>
      </c>
      <c r="AD58" s="436" t="n">
        <v>0.213</v>
      </c>
      <c r="AE58" s="436" t="n">
        <v>0.211</v>
      </c>
      <c r="AF58" s="436" t="n">
        <v>0.213</v>
      </c>
      <c r="AG58" s="439" t="n">
        <v>0.206</v>
      </c>
      <c r="AH58" s="442" t="n">
        <v>0.208</v>
      </c>
      <c r="AI58" s="436" t="n">
        <v>0.215</v>
      </c>
      <c r="AJ58" s="436" t="n">
        <v>0.215</v>
      </c>
      <c r="AK58" s="436" t="n">
        <v>0.216</v>
      </c>
      <c r="AL58" s="439" t="n">
        <v>0.211</v>
      </c>
      <c r="AM58" s="442" t="n">
        <v>0.236</v>
      </c>
      <c r="AN58" s="436" t="n">
        <v>0.199</v>
      </c>
      <c r="AO58" s="436" t="n">
        <v>0.208</v>
      </c>
      <c r="AP58" s="436" t="n">
        <v>0.203</v>
      </c>
      <c r="AQ58" s="439" t="n">
        <v>0.214</v>
      </c>
      <c r="AR58" s="442" t="n">
        <v>0.215</v>
      </c>
      <c r="AS58" s="436" t="n">
        <v>0.209</v>
      </c>
      <c r="AT58" s="436" t="n">
        <v>0.221</v>
      </c>
      <c r="AU58" s="436" t="n">
        <v>0.209</v>
      </c>
      <c r="AV58" s="439" t="n">
        <v>0.203</v>
      </c>
      <c r="AW58" s="442" t="n">
        <v>0.205</v>
      </c>
      <c r="AX58" s="436" t="n">
        <v>0.215</v>
      </c>
      <c r="AY58" s="436" t="n">
        <v>0.205</v>
      </c>
      <c r="AZ58" s="436" t="n">
        <v>0.209</v>
      </c>
      <c r="BA58" s="439" t="n">
        <v>0.209</v>
      </c>
      <c r="BB58" s="442" t="n">
        <v>0.222</v>
      </c>
      <c r="BC58" s="436" t="n">
        <v>0.207</v>
      </c>
      <c r="BD58" s="436" t="n">
        <v>0.206</v>
      </c>
      <c r="BE58" s="436" t="n">
        <v>0.214</v>
      </c>
      <c r="BF58" s="439" t="n">
        <v>0.222</v>
      </c>
      <c r="BG58" s="442" t="n">
        <v>0.222</v>
      </c>
      <c r="BH58" s="436" t="n">
        <v>0.212</v>
      </c>
      <c r="BI58" s="436" t="n">
        <v>0.209</v>
      </c>
      <c r="BJ58" s="436" t="n">
        <v>0.216</v>
      </c>
      <c r="BK58" s="439" t="n">
        <v>0.216</v>
      </c>
      <c r="BL58" s="442" t="n">
        <v>0.206</v>
      </c>
      <c r="BM58" s="436" t="n">
        <v>0.236</v>
      </c>
      <c r="BN58" s="436" t="n">
        <v>0.237</v>
      </c>
      <c r="BO58" s="436" t="n">
        <v>0.252</v>
      </c>
      <c r="BP58" s="439" t="n">
        <v>0.213</v>
      </c>
      <c r="BQ58" s="442" t="n">
        <v>0.209</v>
      </c>
      <c r="BR58" s="436" t="n">
        <v>0.234</v>
      </c>
      <c r="BS58" s="436" t="n">
        <v>0.235</v>
      </c>
      <c r="BT58" s="439" t="n">
        <v>0.21</v>
      </c>
      <c r="BU58" s="454">
        <f>IFERROR(AVERAGE(D58:BT60),0)</f>
        <v/>
      </c>
      <c r="BV58" s="454">
        <f>MIN(D58:BT60)</f>
        <v/>
      </c>
      <c r="BW58" s="238" t="n"/>
      <c r="BX58" s="238" t="n"/>
      <c r="BY58" s="238" t="n"/>
      <c r="BZ58" s="238" t="n"/>
      <c r="CA58" s="238" t="n"/>
      <c r="CB58" s="238" t="n"/>
      <c r="CC58" s="238" t="n"/>
      <c r="CD58" s="238" t="n"/>
      <c r="CE58" s="238" t="n"/>
      <c r="CF58" s="238" t="n"/>
      <c r="CG58" s="238" t="n"/>
      <c r="CH58" s="238" t="n"/>
      <c r="CI58" s="238" t="n"/>
      <c r="CJ58" s="238" t="n"/>
      <c r="CK58" s="238" t="n"/>
      <c r="CL58" s="238" t="n"/>
      <c r="CM58" s="238" t="n"/>
      <c r="CN58" s="238" t="n"/>
      <c r="CO58" s="238" t="n"/>
      <c r="CP58" s="238" t="n"/>
      <c r="CQ58" s="238" t="n"/>
      <c r="CR58" s="238" t="n"/>
      <c r="CS58" s="238" t="n"/>
      <c r="CT58" s="238" t="n"/>
      <c r="CU58" s="238" t="n"/>
      <c r="CV58" s="238" t="n"/>
      <c r="CW58" s="238" t="n"/>
      <c r="CX58" s="238" t="n"/>
      <c r="CY58" s="238" t="n"/>
      <c r="CZ58" s="238" t="n"/>
      <c r="DA58" s="238" t="n"/>
      <c r="DB58" s="238" t="n"/>
      <c r="DC58" s="238" t="n"/>
      <c r="DD58" s="238" t="n"/>
      <c r="DE58" s="238" t="n"/>
      <c r="DF58" s="238" t="n"/>
      <c r="DG58" s="238" t="n"/>
      <c r="DH58" s="238" t="n"/>
      <c r="DI58" s="238" t="n"/>
      <c r="DJ58" s="238" t="n"/>
      <c r="DK58" s="238" t="n"/>
      <c r="DL58" s="238" t="n"/>
      <c r="DM58" s="238" t="n"/>
      <c r="DN58" s="238" t="n"/>
      <c r="DO58" s="238" t="n"/>
      <c r="DP58" s="238" t="n"/>
      <c r="DQ58" s="238" t="n"/>
      <c r="DR58" s="238" t="n"/>
      <c r="DS58" s="238" t="n"/>
      <c r="DT58" s="238" t="n"/>
      <c r="DU58" s="238" t="n"/>
      <c r="DV58" s="238" t="n"/>
      <c r="DW58" s="238" t="n"/>
      <c r="DX58" s="238" t="n"/>
      <c r="DY58" s="238" t="n"/>
      <c r="DZ58" s="23" t="n"/>
      <c r="FQ58" s="212" t="n"/>
      <c r="FR58" s="212" t="n"/>
      <c r="FS58" s="212" t="n"/>
      <c r="FT58" s="212" t="n"/>
      <c r="FU58" s="212" t="n"/>
      <c r="FV58" s="212" t="n"/>
      <c r="FW58" s="212" t="n"/>
      <c r="FX58" s="212" t="n"/>
      <c r="FY58" s="212" t="n"/>
      <c r="FZ58" s="212" t="n"/>
    </row>
    <row r="59" ht="39.95" customFormat="1" customHeight="1" s="5">
      <c r="A59" s="182" t="n">
        <v>0.083</v>
      </c>
      <c r="B59" s="7" t="inlineStr">
        <is>
          <t>+1 FT 6 IN</t>
        </is>
      </c>
      <c r="C59" s="11" t="inlineStr">
        <is>
          <t>C</t>
        </is>
      </c>
      <c r="D59" s="434" t="n">
        <v>0.227</v>
      </c>
      <c r="E59" s="437" t="n">
        <v>0.219</v>
      </c>
      <c r="F59" s="437" t="n">
        <v>0.22</v>
      </c>
      <c r="G59" s="437" t="n">
        <v>0.219</v>
      </c>
      <c r="H59" s="440" t="n">
        <v>0.223</v>
      </c>
      <c r="I59" s="443" t="n">
        <v>0.281</v>
      </c>
      <c r="J59" s="437" t="n">
        <v>0.257</v>
      </c>
      <c r="K59" s="437" t="n">
        <v>0.261</v>
      </c>
      <c r="L59" s="437" t="n">
        <v>0.278</v>
      </c>
      <c r="M59" s="440" t="n">
        <v>0.258</v>
      </c>
      <c r="N59" s="443" t="n">
        <v>0.292</v>
      </c>
      <c r="O59" s="437" t="n">
        <v>0.222</v>
      </c>
      <c r="P59" s="437" t="n">
        <v>0.232</v>
      </c>
      <c r="Q59" s="437" t="n">
        <v>0.229</v>
      </c>
      <c r="R59" s="440" t="n">
        <v>0.209</v>
      </c>
      <c r="S59" s="443" t="n">
        <v>0.208</v>
      </c>
      <c r="T59" s="437" t="n">
        <v>0.207</v>
      </c>
      <c r="U59" s="437" t="n">
        <v>0.209</v>
      </c>
      <c r="V59" s="437" t="n">
        <v>0.215</v>
      </c>
      <c r="W59" s="440" t="n">
        <v>0.222</v>
      </c>
      <c r="X59" s="443" t="n">
        <v>0.221</v>
      </c>
      <c r="Y59" s="437" t="n">
        <v>0.221</v>
      </c>
      <c r="Z59" s="437" t="n">
        <v>0.211</v>
      </c>
      <c r="AA59" s="437" t="n">
        <v>0.226</v>
      </c>
      <c r="AB59" s="440" t="n">
        <v>0.23</v>
      </c>
      <c r="AC59" s="443" t="n">
        <v>0.209</v>
      </c>
      <c r="AD59" s="437" t="n">
        <v>0.211</v>
      </c>
      <c r="AE59" s="437" t="n">
        <v>0.21</v>
      </c>
      <c r="AF59" s="437" t="n">
        <v>0.204</v>
      </c>
      <c r="AG59" s="440" t="n">
        <v>0.207</v>
      </c>
      <c r="AH59" s="443" t="n">
        <v>0.21</v>
      </c>
      <c r="AI59" s="437" t="n">
        <v>0.205</v>
      </c>
      <c r="AJ59" s="437" t="n">
        <v>0.204</v>
      </c>
      <c r="AK59" s="437" t="n">
        <v>0.199</v>
      </c>
      <c r="AL59" s="440" t="n">
        <v>0.21</v>
      </c>
      <c r="AM59" s="443" t="n">
        <v>0.204</v>
      </c>
      <c r="AN59" s="437" t="n">
        <v>0.211</v>
      </c>
      <c r="AO59" s="437" t="n">
        <v>0.211</v>
      </c>
      <c r="AP59" s="437" t="n">
        <v>0.211</v>
      </c>
      <c r="AQ59" s="440" t="n">
        <v>0.213</v>
      </c>
      <c r="AR59" s="443" t="n">
        <v>0.217</v>
      </c>
      <c r="AS59" s="437" t="n">
        <v>0.218</v>
      </c>
      <c r="AT59" s="437" t="n">
        <v>0.214</v>
      </c>
      <c r="AU59" s="437" t="n">
        <v>0.204</v>
      </c>
      <c r="AV59" s="440" t="n">
        <v>0.199</v>
      </c>
      <c r="AW59" s="443" t="n">
        <v>0.206</v>
      </c>
      <c r="AX59" s="437" t="n">
        <v>0.208</v>
      </c>
      <c r="AY59" s="437" t="n">
        <v>0.226</v>
      </c>
      <c r="AZ59" s="437" t="n">
        <v>0.21</v>
      </c>
      <c r="BA59" s="440" t="n">
        <v>0.226</v>
      </c>
      <c r="BB59" s="443" t="n">
        <v>0.209</v>
      </c>
      <c r="BC59" s="437" t="n">
        <v>0.209</v>
      </c>
      <c r="BD59" s="437" t="n">
        <v>0.205</v>
      </c>
      <c r="BE59" s="437" t="n">
        <v>0.215</v>
      </c>
      <c r="BF59" s="440" t="n">
        <v>0.216</v>
      </c>
      <c r="BG59" s="443" t="n">
        <v>0.218</v>
      </c>
      <c r="BH59" s="437" t="n">
        <v>0.221</v>
      </c>
      <c r="BI59" s="437" t="n">
        <v>0.216</v>
      </c>
      <c r="BJ59" s="437" t="n">
        <v>0.216</v>
      </c>
      <c r="BK59" s="440" t="n">
        <v>0.214</v>
      </c>
      <c r="BL59" s="443" t="n">
        <v>0.208</v>
      </c>
      <c r="BM59" s="437" t="n">
        <v>0.215</v>
      </c>
      <c r="BN59" s="437" t="n">
        <v>0.235</v>
      </c>
      <c r="BO59" s="437" t="n">
        <v>0.215</v>
      </c>
      <c r="BP59" s="440" t="n">
        <v>0.21</v>
      </c>
      <c r="BQ59" s="443" t="n">
        <v>0.216</v>
      </c>
      <c r="BR59" s="437" t="n">
        <v>0.236</v>
      </c>
      <c r="BS59" s="437" t="n">
        <v>0.211</v>
      </c>
      <c r="BT59" s="440" t="n">
        <v>0.239</v>
      </c>
      <c r="BU59" s="455" t="n"/>
      <c r="BV59" s="455" t="n"/>
      <c r="BW59" s="238" t="n"/>
      <c r="BX59" s="238" t="n"/>
      <c r="BY59" s="238" t="n"/>
      <c r="BZ59" s="238" t="n"/>
      <c r="CA59" s="238" t="n"/>
      <c r="CB59" s="238" t="n"/>
      <c r="CC59" s="238" t="n"/>
      <c r="CD59" s="238" t="n"/>
      <c r="CE59" s="238" t="n"/>
      <c r="CF59" s="238" t="n"/>
      <c r="CG59" s="238" t="n"/>
      <c r="CH59" s="238" t="n"/>
      <c r="CI59" s="238" t="n"/>
      <c r="CJ59" s="238" t="n"/>
      <c r="CK59" s="238" t="n"/>
      <c r="CL59" s="238" t="n"/>
      <c r="CM59" s="238" t="n"/>
      <c r="CN59" s="238" t="n"/>
      <c r="CO59" s="238" t="n"/>
      <c r="CP59" s="238" t="n"/>
      <c r="CQ59" s="238" t="n"/>
      <c r="CR59" s="238" t="n"/>
      <c r="CS59" s="238" t="n"/>
      <c r="CT59" s="238" t="n"/>
      <c r="CU59" s="238" t="n"/>
      <c r="CV59" s="238" t="n"/>
      <c r="CW59" s="238" t="n"/>
      <c r="CX59" s="238" t="n"/>
      <c r="CY59" s="238" t="n"/>
      <c r="CZ59" s="238" t="n"/>
      <c r="DA59" s="238" t="n"/>
      <c r="DB59" s="238" t="n"/>
      <c r="DC59" s="238" t="n"/>
      <c r="DD59" s="238" t="n"/>
      <c r="DE59" s="238" t="n"/>
      <c r="DF59" s="238" t="n"/>
      <c r="DG59" s="238" t="n"/>
      <c r="DH59" s="238" t="n"/>
      <c r="DI59" s="238" t="n"/>
      <c r="DJ59" s="238" t="n"/>
      <c r="DK59" s="238" t="n"/>
      <c r="DL59" s="238" t="n"/>
      <c r="DM59" s="238" t="n"/>
      <c r="DN59" s="238" t="n"/>
      <c r="DO59" s="238" t="n"/>
      <c r="DP59" s="238" t="n"/>
      <c r="DQ59" s="238" t="n"/>
      <c r="DR59" s="238" t="n"/>
      <c r="DS59" s="238" t="n"/>
      <c r="DT59" s="238" t="n"/>
      <c r="DU59" s="238" t="n"/>
      <c r="DV59" s="238" t="n"/>
      <c r="DW59" s="238" t="n"/>
      <c r="DX59" s="238" t="n"/>
      <c r="DY59" s="238" t="n"/>
      <c r="DZ59" s="23" t="n"/>
      <c r="FQ59" s="212" t="n"/>
      <c r="FR59" s="212" t="n"/>
      <c r="FS59" s="212" t="n"/>
      <c r="FT59" s="212" t="n"/>
      <c r="FU59" s="212" t="n"/>
      <c r="FV59" s="212" t="n"/>
      <c r="FW59" s="212" t="n"/>
      <c r="FX59" s="212" t="n"/>
      <c r="FY59" s="212" t="n"/>
      <c r="FZ59" s="212" t="n"/>
    </row>
    <row r="60" ht="39.95" customFormat="1" customHeight="1" s="5">
      <c r="A60" s="456" t="n"/>
      <c r="B60" s="8" t="n"/>
      <c r="C60" s="12" t="inlineStr">
        <is>
          <t>R</t>
        </is>
      </c>
      <c r="D60" s="435" t="n">
        <v>0.234</v>
      </c>
      <c r="E60" s="438" t="n">
        <v>0.225</v>
      </c>
      <c r="F60" s="438" t="n">
        <v>0.217</v>
      </c>
      <c r="G60" s="438" t="n">
        <v>0.217</v>
      </c>
      <c r="H60" s="441" t="n">
        <v>0.205</v>
      </c>
      <c r="I60" s="444" t="n">
        <v>0.257</v>
      </c>
      <c r="J60" s="438" t="n">
        <v>0.256</v>
      </c>
      <c r="K60" s="438" t="n">
        <v>0.273</v>
      </c>
      <c r="L60" s="438" t="n">
        <v>0.263</v>
      </c>
      <c r="M60" s="441" t="n">
        <v>0.259</v>
      </c>
      <c r="N60" s="444" t="n">
        <v>0.256</v>
      </c>
      <c r="O60" s="438" t="n">
        <v>0.217</v>
      </c>
      <c r="P60" s="438" t="n">
        <v>0.207</v>
      </c>
      <c r="Q60" s="438" t="n">
        <v>0.218</v>
      </c>
      <c r="R60" s="441" t="n">
        <v>0.213</v>
      </c>
      <c r="S60" s="444" t="n">
        <v>0.209</v>
      </c>
      <c r="T60" s="438" t="n">
        <v>0.208</v>
      </c>
      <c r="U60" s="438" t="n">
        <v>0.207</v>
      </c>
      <c r="V60" s="438" t="n">
        <v>0.215</v>
      </c>
      <c r="W60" s="441" t="n">
        <v>0.22</v>
      </c>
      <c r="X60" s="444" t="n">
        <v>0.218</v>
      </c>
      <c r="Y60" s="438" t="n">
        <v>0.227</v>
      </c>
      <c r="Z60" s="438" t="n">
        <v>0.219</v>
      </c>
      <c r="AA60" s="438" t="n">
        <v>0.216</v>
      </c>
      <c r="AB60" s="441" t="n">
        <v>0.207</v>
      </c>
      <c r="AC60" s="444" t="n">
        <v>0.211</v>
      </c>
      <c r="AD60" s="438" t="n">
        <v>0.211</v>
      </c>
      <c r="AE60" s="438" t="n">
        <v>0.232</v>
      </c>
      <c r="AF60" s="438" t="n">
        <v>0.215</v>
      </c>
      <c r="AG60" s="441" t="n">
        <v>0.24</v>
      </c>
      <c r="AH60" s="444" t="n">
        <v>0.206</v>
      </c>
      <c r="AI60" s="438" t="n">
        <v>0.209</v>
      </c>
      <c r="AJ60" s="438" t="n">
        <v>0.208</v>
      </c>
      <c r="AK60" s="438" t="n">
        <v>0.199</v>
      </c>
      <c r="AL60" s="441" t="n">
        <v>0.21</v>
      </c>
      <c r="AM60" s="444" t="n">
        <v>0.209</v>
      </c>
      <c r="AN60" s="438" t="n">
        <v>0.207</v>
      </c>
      <c r="AO60" s="438" t="n">
        <v>0.243</v>
      </c>
      <c r="AP60" s="438" t="n">
        <v>0.209</v>
      </c>
      <c r="AQ60" s="441" t="n">
        <v>0.228</v>
      </c>
      <c r="AR60" s="444" t="n">
        <v>0.224</v>
      </c>
      <c r="AS60" s="438" t="n">
        <v>0.219</v>
      </c>
      <c r="AT60" s="438" t="n">
        <v>0.212</v>
      </c>
      <c r="AU60" s="438" t="n">
        <v>0.199</v>
      </c>
      <c r="AV60" s="441" t="n">
        <v>0.213</v>
      </c>
      <c r="AW60" s="444" t="n">
        <v>0.201</v>
      </c>
      <c r="AX60" s="438" t="n">
        <v>0.209</v>
      </c>
      <c r="AY60" s="438" t="n">
        <v>0.213</v>
      </c>
      <c r="AZ60" s="438" t="n">
        <v>0.214</v>
      </c>
      <c r="BA60" s="441" t="n">
        <v>0.216</v>
      </c>
      <c r="BB60" s="444" t="n">
        <v>0.213</v>
      </c>
      <c r="BC60" s="438" t="n">
        <v>0.208</v>
      </c>
      <c r="BD60" s="438" t="n">
        <v>0.209</v>
      </c>
      <c r="BE60" s="438" t="n">
        <v>0.211</v>
      </c>
      <c r="BF60" s="441" t="n">
        <v>0.214</v>
      </c>
      <c r="BG60" s="444" t="n">
        <v>0.221</v>
      </c>
      <c r="BH60" s="438" t="n">
        <v>0.215</v>
      </c>
      <c r="BI60" s="438" t="n">
        <v>0.22</v>
      </c>
      <c r="BJ60" s="438" t="n">
        <v>0.226</v>
      </c>
      <c r="BK60" s="441" t="n">
        <v>0.22</v>
      </c>
      <c r="BL60" s="444" t="n">
        <v>0.218</v>
      </c>
      <c r="BM60" s="438" t="n">
        <v>0.234</v>
      </c>
      <c r="BN60" s="438" t="n">
        <v>0.252</v>
      </c>
      <c r="BO60" s="438" t="n">
        <v>0.235</v>
      </c>
      <c r="BP60" s="441" t="n">
        <v>0.211</v>
      </c>
      <c r="BQ60" s="444" t="n">
        <v>0.21</v>
      </c>
      <c r="BR60" s="438" t="n">
        <v>0.21</v>
      </c>
      <c r="BS60" s="438" t="n">
        <v>0.239</v>
      </c>
      <c r="BT60" s="441" t="n">
        <v>0.211</v>
      </c>
      <c r="BU60" s="457" t="n"/>
      <c r="BV60" s="457" t="n"/>
      <c r="BW60" s="238" t="n"/>
      <c r="BX60" s="238" t="n"/>
      <c r="BY60" s="238" t="n"/>
      <c r="BZ60" s="238" t="n"/>
      <c r="CA60" s="238" t="n"/>
      <c r="CB60" s="238" t="n"/>
      <c r="CC60" s="238" t="n"/>
      <c r="CD60" s="238" t="n"/>
      <c r="CE60" s="238" t="n"/>
      <c r="CF60" s="238" t="n"/>
      <c r="CG60" s="238" t="n"/>
      <c r="CH60" s="238" t="n"/>
      <c r="CI60" s="238" t="n"/>
      <c r="CJ60" s="238" t="n"/>
      <c r="CK60" s="238" t="n"/>
      <c r="CL60" s="238" t="n"/>
      <c r="CM60" s="238" t="n"/>
      <c r="CN60" s="238" t="n"/>
      <c r="CO60" s="238" t="n"/>
      <c r="CP60" s="238" t="n"/>
      <c r="CQ60" s="238" t="n"/>
      <c r="CR60" s="238" t="n"/>
      <c r="CS60" s="238" t="n"/>
      <c r="CT60" s="238" t="n"/>
      <c r="CU60" s="238" t="n"/>
      <c r="CV60" s="238" t="n"/>
      <c r="CW60" s="238" t="n"/>
      <c r="CX60" s="238" t="n"/>
      <c r="CY60" s="238" t="n"/>
      <c r="CZ60" s="238" t="n"/>
      <c r="DA60" s="238" t="n"/>
      <c r="DB60" s="238" t="n"/>
      <c r="DC60" s="238" t="n"/>
      <c r="DD60" s="238" t="n"/>
      <c r="DE60" s="238" t="n"/>
      <c r="DF60" s="238" t="n"/>
      <c r="DG60" s="238" t="n"/>
      <c r="DH60" s="238" t="n"/>
      <c r="DI60" s="238" t="n"/>
      <c r="DJ60" s="238" t="n"/>
      <c r="DK60" s="238" t="n"/>
      <c r="DL60" s="238" t="n"/>
      <c r="DM60" s="238" t="n"/>
      <c r="DN60" s="238" t="n"/>
      <c r="DO60" s="238" t="n"/>
      <c r="DP60" s="238" t="n"/>
      <c r="DQ60" s="238" t="n"/>
      <c r="DR60" s="238" t="n"/>
      <c r="DS60" s="238" t="n"/>
      <c r="DT60" s="238" t="n"/>
      <c r="DU60" s="238" t="n"/>
      <c r="DV60" s="238" t="n"/>
      <c r="DW60" s="238" t="n"/>
      <c r="DX60" s="238" t="n"/>
      <c r="DY60" s="238" t="n"/>
      <c r="DZ60" s="23" t="n"/>
      <c r="FQ60" s="212" t="n"/>
      <c r="FR60" s="212" t="n"/>
      <c r="FS60" s="212" t="n"/>
      <c r="FT60" s="212" t="n"/>
      <c r="FU60" s="212" t="n"/>
      <c r="FV60" s="212" t="n"/>
      <c r="FW60" s="212" t="n"/>
      <c r="FX60" s="212" t="n"/>
      <c r="FY60" s="212" t="n"/>
      <c r="FZ60" s="212" t="n"/>
    </row>
    <row r="61" ht="39.95" customFormat="1" customHeight="1" s="5">
      <c r="A61" s="10" t="inlineStr">
        <is>
          <t>A</t>
        </is>
      </c>
      <c r="B61" s="6" t="n"/>
      <c r="C61" s="11" t="inlineStr">
        <is>
          <t>L</t>
        </is>
      </c>
      <c r="D61" s="433" t="n">
        <v>0.219</v>
      </c>
      <c r="E61" s="436" t="n">
        <v>0.241</v>
      </c>
      <c r="F61" s="436" t="n">
        <v>0.211</v>
      </c>
      <c r="G61" s="436" t="n">
        <v>0.219</v>
      </c>
      <c r="H61" s="439" t="n">
        <v>0.23</v>
      </c>
      <c r="I61" s="442" t="n">
        <v>0.25</v>
      </c>
      <c r="J61" s="436" t="n">
        <v>0.278</v>
      </c>
      <c r="K61" s="436" t="n">
        <v>0.278</v>
      </c>
      <c r="L61" s="436" t="n">
        <v>0.26</v>
      </c>
      <c r="M61" s="439" t="n">
        <v>0.28</v>
      </c>
      <c r="N61" s="442" t="n">
        <v>0.264</v>
      </c>
      <c r="O61" s="436" t="n">
        <v>0.22</v>
      </c>
      <c r="P61" s="436" t="n">
        <v>0.23</v>
      </c>
      <c r="Q61" s="436" t="n">
        <v>0.229</v>
      </c>
      <c r="R61" s="439" t="n">
        <v>0.215</v>
      </c>
      <c r="S61" s="442" t="n">
        <v>0.205</v>
      </c>
      <c r="T61" s="436" t="n">
        <v>0.204</v>
      </c>
      <c r="U61" s="436" t="n">
        <v>0.208</v>
      </c>
      <c r="V61" s="436" t="n">
        <v>0.218</v>
      </c>
      <c r="W61" s="439" t="n">
        <v>0.206</v>
      </c>
      <c r="X61" s="442" t="n">
        <v>0.239</v>
      </c>
      <c r="Y61" s="436" t="n">
        <v>0.251</v>
      </c>
      <c r="Z61" s="436" t="n">
        <v>0.234</v>
      </c>
      <c r="AA61" s="436" t="n">
        <v>0.199</v>
      </c>
      <c r="AB61" s="439" t="n">
        <v>0.215</v>
      </c>
      <c r="AC61" s="442" t="n">
        <v>0.205</v>
      </c>
      <c r="AD61" s="436" t="n">
        <v>0.21</v>
      </c>
      <c r="AE61" s="436" t="n">
        <v>0.213</v>
      </c>
      <c r="AF61" s="436" t="n">
        <v>0.21</v>
      </c>
      <c r="AG61" s="439" t="n">
        <v>0.223</v>
      </c>
      <c r="AH61" s="442" t="n">
        <v>0.205</v>
      </c>
      <c r="AI61" s="436" t="n">
        <v>0.202</v>
      </c>
      <c r="AJ61" s="436" t="n">
        <v>0.212</v>
      </c>
      <c r="AK61" s="436" t="n">
        <v>0.219</v>
      </c>
      <c r="AL61" s="439" t="n">
        <v>0.223</v>
      </c>
      <c r="AM61" s="442" t="n">
        <v>0.217</v>
      </c>
      <c r="AN61" s="436" t="n">
        <v>0.197</v>
      </c>
      <c r="AO61" s="436" t="n">
        <v>0.2</v>
      </c>
      <c r="AP61" s="436" t="inlineStr">
        <is>
          <t>RF</t>
        </is>
      </c>
      <c r="AQ61" s="439" t="n">
        <v>0.257</v>
      </c>
      <c r="AR61" s="442" t="n">
        <v>0.227</v>
      </c>
      <c r="AS61" s="436" t="n">
        <v>0.221</v>
      </c>
      <c r="AT61" s="436" t="n">
        <v>0.201</v>
      </c>
      <c r="AU61" s="436" t="n">
        <v>0.203</v>
      </c>
      <c r="AV61" s="439" t="n">
        <v>0.199</v>
      </c>
      <c r="AW61" s="442" t="n">
        <v>0.227</v>
      </c>
      <c r="AX61" s="436" t="n">
        <v>0.191</v>
      </c>
      <c r="AY61" s="436" t="n">
        <v>0.219</v>
      </c>
      <c r="AZ61" s="436" t="n">
        <v>0.216</v>
      </c>
      <c r="BA61" s="439" t="n">
        <v>0.215</v>
      </c>
      <c r="BB61" s="442" t="n">
        <v>0.207</v>
      </c>
      <c r="BC61" s="436" t="n">
        <v>0.192</v>
      </c>
      <c r="BD61" s="436" t="n">
        <v>0.202</v>
      </c>
      <c r="BE61" s="436" t="n">
        <v>0.202</v>
      </c>
      <c r="BF61" s="439" t="n">
        <v>0.2</v>
      </c>
      <c r="BG61" s="442" t="inlineStr">
        <is>
          <t>RF</t>
        </is>
      </c>
      <c r="BH61" s="436" t="n">
        <v>0.248</v>
      </c>
      <c r="BI61" s="436" t="n">
        <v>0.219</v>
      </c>
      <c r="BJ61" s="436" t="n">
        <v>0.223</v>
      </c>
      <c r="BK61" s="439" t="n">
        <v>0.21</v>
      </c>
      <c r="BL61" s="442" t="n">
        <v>0.223</v>
      </c>
      <c r="BM61" s="436" t="n">
        <v>0.211</v>
      </c>
      <c r="BN61" s="436" t="n">
        <v>0.201</v>
      </c>
      <c r="BO61" s="436" t="inlineStr">
        <is>
          <t>RF</t>
        </is>
      </c>
      <c r="BP61" s="439" t="n">
        <v>0.22</v>
      </c>
      <c r="BQ61" s="442" t="n">
        <v>0.232</v>
      </c>
      <c r="BR61" s="436" t="n">
        <v>0.217</v>
      </c>
      <c r="BS61" s="436" t="inlineStr">
        <is>
          <t>RF</t>
        </is>
      </c>
      <c r="BT61" s="439" t="inlineStr">
        <is>
          <t>RF</t>
        </is>
      </c>
      <c r="BU61" s="454">
        <f>IFERROR(AVERAGE(D61:BT63),0)</f>
        <v/>
      </c>
      <c r="BV61" s="454">
        <f>MIN(D61:BT63)</f>
        <v/>
      </c>
      <c r="BW61" s="238" t="n"/>
      <c r="BX61" s="238" t="n"/>
      <c r="BY61" s="238" t="n"/>
      <c r="BZ61" s="238" t="n"/>
      <c r="CA61" s="238" t="n"/>
      <c r="CB61" s="238" t="n"/>
      <c r="CC61" s="238" t="n"/>
      <c r="CD61" s="238" t="n"/>
      <c r="CE61" s="238" t="n"/>
      <c r="CF61" s="238" t="n"/>
      <c r="CG61" s="238" t="n"/>
      <c r="CH61" s="238" t="n"/>
      <c r="CI61" s="238" t="n"/>
      <c r="CJ61" s="238" t="n"/>
      <c r="CK61" s="238" t="n"/>
      <c r="CL61" s="238" t="n"/>
      <c r="CM61" s="238" t="n"/>
      <c r="CN61" s="238" t="n"/>
      <c r="CO61" s="238" t="n"/>
      <c r="CP61" s="238" t="n"/>
      <c r="CQ61" s="238" t="n"/>
      <c r="CR61" s="238" t="n"/>
      <c r="CS61" s="238" t="n"/>
      <c r="CT61" s="238" t="n"/>
      <c r="CU61" s="238" t="n"/>
      <c r="CV61" s="238" t="n"/>
      <c r="CW61" s="238" t="n"/>
      <c r="CX61" s="238" t="n"/>
      <c r="CY61" s="238" t="n"/>
      <c r="CZ61" s="238" t="n"/>
      <c r="DA61" s="238" t="n"/>
      <c r="DB61" s="238" t="n"/>
      <c r="DC61" s="238" t="n"/>
      <c r="DD61" s="238" t="n"/>
      <c r="DE61" s="238" t="n"/>
      <c r="DF61" s="238" t="n"/>
      <c r="DG61" s="238" t="n"/>
      <c r="DH61" s="238" t="n"/>
      <c r="DI61" s="238" t="n"/>
      <c r="DJ61" s="238" t="n"/>
      <c r="DK61" s="238" t="n"/>
      <c r="DL61" s="238" t="n"/>
      <c r="DM61" s="238" t="n"/>
      <c r="DN61" s="238" t="n"/>
      <c r="DO61" s="238" t="n"/>
      <c r="DP61" s="238" t="n"/>
      <c r="DQ61" s="238" t="n"/>
      <c r="DR61" s="238" t="n"/>
      <c r="DS61" s="238" t="n"/>
      <c r="DT61" s="238" t="n"/>
      <c r="DU61" s="238" t="n"/>
      <c r="DV61" s="238" t="n"/>
      <c r="DW61" s="238" t="n"/>
      <c r="DX61" s="238" t="n"/>
      <c r="DY61" s="238" t="n"/>
      <c r="DZ61" s="23" t="n"/>
      <c r="FQ61" s="212" t="n"/>
      <c r="FR61" s="212" t="n"/>
      <c r="FS61" s="212" t="n"/>
      <c r="FT61" s="212" t="n"/>
      <c r="FU61" s="212" t="n"/>
      <c r="FV61" s="212" t="n"/>
      <c r="FW61" s="212" t="n"/>
      <c r="FX61" s="212" t="n"/>
      <c r="FY61" s="212" t="n"/>
      <c r="FZ61" s="212" t="n"/>
    </row>
    <row r="62" ht="39.95" customFormat="1" customHeight="1" s="5">
      <c r="A62" s="182" t="n">
        <v>0.083</v>
      </c>
      <c r="B62" s="7" t="inlineStr">
        <is>
          <t>0 REFERENCE</t>
        </is>
      </c>
      <c r="C62" s="11" t="inlineStr">
        <is>
          <t>C</t>
        </is>
      </c>
      <c r="D62" s="434" t="n">
        <v>0.216</v>
      </c>
      <c r="E62" s="437" t="n">
        <v>0.219</v>
      </c>
      <c r="F62" s="437" t="n">
        <v>0.206</v>
      </c>
      <c r="G62" s="437" t="n">
        <v>0.231</v>
      </c>
      <c r="H62" s="440" t="n">
        <v>0.211</v>
      </c>
      <c r="I62" s="443" t="n">
        <v>0.278</v>
      </c>
      <c r="J62" s="437" t="n">
        <v>0.278</v>
      </c>
      <c r="K62" s="437" t="n">
        <v>0.257</v>
      </c>
      <c r="L62" s="437" t="n">
        <v>0.283</v>
      </c>
      <c r="M62" s="440" t="n">
        <v>0.296</v>
      </c>
      <c r="N62" s="443" t="n">
        <v>0.263</v>
      </c>
      <c r="O62" s="437" t="n">
        <v>0.225</v>
      </c>
      <c r="P62" s="437" t="n">
        <v>0.208</v>
      </c>
      <c r="Q62" s="437" t="n">
        <v>0.227</v>
      </c>
      <c r="R62" s="440" t="n">
        <v>0.216</v>
      </c>
      <c r="S62" s="443" t="n">
        <v>0.21</v>
      </c>
      <c r="T62" s="437" t="n">
        <v>0.204</v>
      </c>
      <c r="U62" s="437" t="n">
        <v>0.228</v>
      </c>
      <c r="V62" s="437" t="n">
        <v>0.201</v>
      </c>
      <c r="W62" s="440" t="n">
        <v>0.219</v>
      </c>
      <c r="X62" s="443" t="n">
        <v>0.23</v>
      </c>
      <c r="Y62" s="437" t="n">
        <v>0.246</v>
      </c>
      <c r="Z62" s="437" t="n">
        <v>0.201</v>
      </c>
      <c r="AA62" s="437" t="n">
        <v>0.211</v>
      </c>
      <c r="AB62" s="440" t="n">
        <v>0.213</v>
      </c>
      <c r="AC62" s="443" t="n">
        <v>0.205</v>
      </c>
      <c r="AD62" s="437" t="n">
        <v>0.216</v>
      </c>
      <c r="AE62" s="437" t="n">
        <v>0.201</v>
      </c>
      <c r="AF62" s="437" t="n">
        <v>0.214</v>
      </c>
      <c r="AG62" s="440" t="n">
        <v>0.207</v>
      </c>
      <c r="AH62" s="443" t="n">
        <v>0.2</v>
      </c>
      <c r="AI62" s="437" t="n">
        <v>0.216</v>
      </c>
      <c r="AJ62" s="437" t="n">
        <v>0.21</v>
      </c>
      <c r="AK62" s="437" t="n">
        <v>0.21</v>
      </c>
      <c r="AL62" s="440" t="n">
        <v>0.187</v>
      </c>
      <c r="AM62" s="443" t="n">
        <v>0.217</v>
      </c>
      <c r="AN62" s="437" t="n">
        <v>0.201</v>
      </c>
      <c r="AO62" s="437" t="n">
        <v>0.208</v>
      </c>
      <c r="AP62" s="437" t="n">
        <v>0.238</v>
      </c>
      <c r="AQ62" s="440" t="n">
        <v>0.244</v>
      </c>
      <c r="AR62" s="443" t="n">
        <v>0.192</v>
      </c>
      <c r="AS62" s="437" t="n">
        <v>0.199</v>
      </c>
      <c r="AT62" s="437" t="n">
        <v>0.195</v>
      </c>
      <c r="AU62" s="437" t="n">
        <v>0.213</v>
      </c>
      <c r="AV62" s="440" t="n">
        <v>0.199</v>
      </c>
      <c r="AW62" s="443" t="n">
        <v>0.227</v>
      </c>
      <c r="AX62" s="437" t="n">
        <v>0.192</v>
      </c>
      <c r="AY62" s="437" t="n">
        <v>0.239</v>
      </c>
      <c r="AZ62" s="437" t="n">
        <v>0.201</v>
      </c>
      <c r="BA62" s="440" t="n">
        <v>0.205</v>
      </c>
      <c r="BB62" s="443" t="n">
        <v>0.201</v>
      </c>
      <c r="BC62" s="437" t="n">
        <v>0.194</v>
      </c>
      <c r="BD62" s="437" t="n">
        <v>0.201</v>
      </c>
      <c r="BE62" s="437" t="n">
        <v>0.202</v>
      </c>
      <c r="BF62" s="440" t="n">
        <v>0.2</v>
      </c>
      <c r="BG62" s="443" t="n">
        <v>0.221</v>
      </c>
      <c r="BH62" s="437" t="n">
        <v>0.228</v>
      </c>
      <c r="BI62" s="437" t="n">
        <v>0.261</v>
      </c>
      <c r="BJ62" s="437" t="n">
        <v>0.217</v>
      </c>
      <c r="BK62" s="440" t="n">
        <v>0.219</v>
      </c>
      <c r="BL62" s="443" t="n">
        <v>0.221</v>
      </c>
      <c r="BM62" s="437" t="n">
        <v>0.229</v>
      </c>
      <c r="BN62" s="437" t="n">
        <v>0.238</v>
      </c>
      <c r="BO62" s="437" t="inlineStr">
        <is>
          <t>RF</t>
        </is>
      </c>
      <c r="BP62" s="440" t="inlineStr">
        <is>
          <t>RF</t>
        </is>
      </c>
      <c r="BQ62" s="443" t="n">
        <v>0.232</v>
      </c>
      <c r="BR62" s="437" t="n">
        <v>0.213</v>
      </c>
      <c r="BS62" s="437" t="n">
        <v>0.251</v>
      </c>
      <c r="BT62" s="440" t="n">
        <v>0.221</v>
      </c>
      <c r="BU62" s="455" t="n"/>
      <c r="BV62" s="455" t="n"/>
      <c r="BW62" s="238" t="n"/>
      <c r="BX62" s="238" t="n"/>
      <c r="BY62" s="238" t="n"/>
      <c r="BZ62" s="238" t="n"/>
      <c r="CA62" s="238" t="n"/>
      <c r="CB62" s="238" t="n"/>
      <c r="CC62" s="238" t="n"/>
      <c r="CD62" s="238" t="n"/>
      <c r="CE62" s="238" t="n"/>
      <c r="CF62" s="238" t="n"/>
      <c r="CG62" s="238" t="n"/>
      <c r="CH62" s="238" t="n"/>
      <c r="CI62" s="238" t="n"/>
      <c r="CJ62" s="238" t="n"/>
      <c r="CK62" s="238" t="n"/>
      <c r="CL62" s="238" t="n"/>
      <c r="CM62" s="238" t="n"/>
      <c r="CN62" s="238" t="n"/>
      <c r="CO62" s="238" t="n"/>
      <c r="CP62" s="238" t="n"/>
      <c r="CQ62" s="238" t="n"/>
      <c r="CR62" s="238" t="n"/>
      <c r="CS62" s="238" t="n"/>
      <c r="CT62" s="238" t="n"/>
      <c r="CU62" s="238" t="n"/>
      <c r="CV62" s="238" t="n"/>
      <c r="CW62" s="238" t="n"/>
      <c r="CX62" s="238" t="n"/>
      <c r="CY62" s="238" t="n"/>
      <c r="CZ62" s="238" t="n"/>
      <c r="DA62" s="238" t="n"/>
      <c r="DB62" s="238" t="n"/>
      <c r="DC62" s="238" t="n"/>
      <c r="DD62" s="238" t="n"/>
      <c r="DE62" s="238" t="n"/>
      <c r="DF62" s="238" t="n"/>
      <c r="DG62" s="238" t="n"/>
      <c r="DH62" s="238" t="n"/>
      <c r="DI62" s="238" t="n"/>
      <c r="DJ62" s="238" t="n"/>
      <c r="DK62" s="238" t="n"/>
      <c r="DL62" s="238" t="n"/>
      <c r="DM62" s="238" t="n"/>
      <c r="DN62" s="238" t="n"/>
      <c r="DO62" s="238" t="n"/>
      <c r="DP62" s="238" t="n"/>
      <c r="DQ62" s="238" t="n"/>
      <c r="DR62" s="238" t="n"/>
      <c r="DS62" s="238" t="n"/>
      <c r="DT62" s="238" t="n"/>
      <c r="DU62" s="238" t="n"/>
      <c r="DV62" s="238" t="n"/>
      <c r="DW62" s="238" t="n"/>
      <c r="DX62" s="238" t="n"/>
      <c r="DY62" s="238" t="n"/>
      <c r="DZ62" s="23" t="n"/>
      <c r="FQ62" s="212" t="n"/>
      <c r="FR62" s="212" t="n"/>
      <c r="FS62" s="212" t="n"/>
      <c r="FT62" s="212" t="n"/>
      <c r="FU62" s="212" t="n"/>
      <c r="FV62" s="212" t="n"/>
      <c r="FW62" s="212" t="n"/>
      <c r="FX62" s="212" t="n"/>
      <c r="FY62" s="212" t="n"/>
      <c r="FZ62" s="212" t="n"/>
    </row>
    <row r="63" ht="39.95" customFormat="1" customHeight="1" s="5">
      <c r="A63" s="456" t="n"/>
      <c r="B63" s="8" t="n"/>
      <c r="C63" s="12" t="inlineStr">
        <is>
          <t>R</t>
        </is>
      </c>
      <c r="D63" s="435" t="inlineStr">
        <is>
          <t>RF</t>
        </is>
      </c>
      <c r="E63" s="438" t="n">
        <v>0.21</v>
      </c>
      <c r="F63" s="438" t="n">
        <v>0.205</v>
      </c>
      <c r="G63" s="438" t="n">
        <v>0.221</v>
      </c>
      <c r="H63" s="441" t="n">
        <v>0.232</v>
      </c>
      <c r="I63" s="444" t="n">
        <v>0.266</v>
      </c>
      <c r="J63" s="438" t="n">
        <v>0.278</v>
      </c>
      <c r="K63" s="438" t="n">
        <v>0.267</v>
      </c>
      <c r="L63" s="438" t="n">
        <v>0.27</v>
      </c>
      <c r="M63" s="441" t="n">
        <v>0.281</v>
      </c>
      <c r="N63" s="444" t="n">
        <v>0.263</v>
      </c>
      <c r="O63" s="438" t="n">
        <v>0.225</v>
      </c>
      <c r="P63" s="438" t="n">
        <v>0.212</v>
      </c>
      <c r="Q63" s="438" t="n">
        <v>0.227</v>
      </c>
      <c r="R63" s="441" t="n">
        <v>0.206</v>
      </c>
      <c r="S63" s="444" t="n">
        <v>0.208</v>
      </c>
      <c r="T63" s="438" t="n">
        <v>0.202</v>
      </c>
      <c r="U63" s="438" t="n">
        <v>0.213</v>
      </c>
      <c r="V63" s="438" t="n">
        <v>0.208</v>
      </c>
      <c r="W63" s="441" t="n">
        <v>0.217</v>
      </c>
      <c r="X63" s="444" t="n">
        <v>0.234</v>
      </c>
      <c r="Y63" s="438" t="inlineStr">
        <is>
          <t>RF</t>
        </is>
      </c>
      <c r="Z63" s="438" t="n">
        <v>0.199</v>
      </c>
      <c r="AA63" s="438" t="n">
        <v>0.216</v>
      </c>
      <c r="AB63" s="441" t="n">
        <v>0.218</v>
      </c>
      <c r="AC63" s="444" t="n">
        <v>0.213</v>
      </c>
      <c r="AD63" s="438" t="n">
        <v>0.207</v>
      </c>
      <c r="AE63" s="438" t="n">
        <v>0.237</v>
      </c>
      <c r="AF63" s="438" t="n">
        <v>0.208</v>
      </c>
      <c r="AG63" s="441" t="n">
        <v>0.218</v>
      </c>
      <c r="AH63" s="444" t="n">
        <v>0.204</v>
      </c>
      <c r="AI63" s="438" t="n">
        <v>0.206</v>
      </c>
      <c r="AJ63" s="438" t="n">
        <v>0.21</v>
      </c>
      <c r="AK63" s="438" t="n">
        <v>0.202</v>
      </c>
      <c r="AL63" s="441" t="n">
        <v>0.205</v>
      </c>
      <c r="AM63" s="444" t="n">
        <v>0.233</v>
      </c>
      <c r="AN63" s="438" t="n">
        <v>0.207</v>
      </c>
      <c r="AO63" s="438" t="n">
        <v>0.202</v>
      </c>
      <c r="AP63" s="438" t="n">
        <v>0.257</v>
      </c>
      <c r="AQ63" s="441" t="inlineStr">
        <is>
          <t>RF</t>
        </is>
      </c>
      <c r="AR63" s="444" t="n">
        <v>0.22</v>
      </c>
      <c r="AS63" s="438" t="n">
        <v>0.215</v>
      </c>
      <c r="AT63" s="438" t="n">
        <v>0.198</v>
      </c>
      <c r="AU63" s="438" t="n">
        <v>0.208</v>
      </c>
      <c r="AV63" s="441" t="n">
        <v>0.191</v>
      </c>
      <c r="AW63" s="444" t="n">
        <v>0.196</v>
      </c>
      <c r="AX63" s="438" t="n">
        <v>0.219</v>
      </c>
      <c r="AY63" s="438" t="n">
        <v>0.208</v>
      </c>
      <c r="AZ63" s="438" t="n">
        <v>0.205</v>
      </c>
      <c r="BA63" s="441" t="n">
        <v>0.203</v>
      </c>
      <c r="BB63" s="444" t="n">
        <v>0.194</v>
      </c>
      <c r="BC63" s="438" t="n">
        <v>0.194</v>
      </c>
      <c r="BD63" s="438" t="n">
        <v>0.202</v>
      </c>
      <c r="BE63" s="438" t="n">
        <v>0.202</v>
      </c>
      <c r="BF63" s="441" t="n">
        <v>0.2</v>
      </c>
      <c r="BG63" s="444" t="n">
        <v>0.229</v>
      </c>
      <c r="BH63" s="438" t="inlineStr">
        <is>
          <t>RF</t>
        </is>
      </c>
      <c r="BI63" s="438" t="n">
        <v>0.222</v>
      </c>
      <c r="BJ63" s="438" t="n">
        <v>0.217</v>
      </c>
      <c r="BK63" s="441" t="n">
        <v>0.219</v>
      </c>
      <c r="BL63" s="444" t="n">
        <v>0.237</v>
      </c>
      <c r="BM63" s="438" t="n">
        <v>0.229</v>
      </c>
      <c r="BN63" s="438" t="n">
        <v>0.228</v>
      </c>
      <c r="BO63" s="438" t="n">
        <v>0.246</v>
      </c>
      <c r="BP63" s="441" t="inlineStr">
        <is>
          <t>RF</t>
        </is>
      </c>
      <c r="BQ63" s="444" t="n">
        <v>0.22</v>
      </c>
      <c r="BR63" s="438" t="n">
        <v>0.212</v>
      </c>
      <c r="BS63" s="438" t="n">
        <v>0.232</v>
      </c>
      <c r="BT63" s="441" t="n">
        <v>0.221</v>
      </c>
      <c r="BU63" s="457" t="n"/>
      <c r="BV63" s="457" t="n"/>
      <c r="BW63" s="238" t="n"/>
      <c r="BX63" s="238" t="n"/>
      <c r="BY63" s="238" t="n"/>
      <c r="BZ63" s="238" t="n"/>
      <c r="CA63" s="238" t="n"/>
      <c r="CB63" s="238" t="n"/>
      <c r="CC63" s="238" t="n"/>
      <c r="CD63" s="238" t="n"/>
      <c r="CE63" s="238" t="n"/>
      <c r="CF63" s="238" t="n"/>
      <c r="CG63" s="238" t="n"/>
      <c r="CH63" s="238" t="n"/>
      <c r="CI63" s="238" t="n"/>
      <c r="CJ63" s="238" t="n"/>
      <c r="CK63" s="238" t="n"/>
      <c r="CL63" s="238" t="n"/>
      <c r="CM63" s="238" t="n"/>
      <c r="CN63" s="238" t="n"/>
      <c r="CO63" s="238" t="n"/>
      <c r="CP63" s="238" t="n"/>
      <c r="CQ63" s="238" t="n"/>
      <c r="CR63" s="238" t="n"/>
      <c r="CS63" s="238" t="n"/>
      <c r="CT63" s="238" t="n"/>
      <c r="CU63" s="238" t="n"/>
      <c r="CV63" s="238" t="n"/>
      <c r="CW63" s="238" t="n"/>
      <c r="CX63" s="238" t="n"/>
      <c r="CY63" s="238" t="n"/>
      <c r="CZ63" s="238" t="n"/>
      <c r="DA63" s="238" t="n"/>
      <c r="DB63" s="238" t="n"/>
      <c r="DC63" s="238" t="n"/>
      <c r="DD63" s="238" t="n"/>
      <c r="DE63" s="238" t="n"/>
      <c r="DF63" s="238" t="n"/>
      <c r="DG63" s="238" t="n"/>
      <c r="DH63" s="238" t="n"/>
      <c r="DI63" s="238" t="n"/>
      <c r="DJ63" s="238" t="n"/>
      <c r="DK63" s="238" t="n"/>
      <c r="DL63" s="238" t="n"/>
      <c r="DM63" s="238" t="n"/>
      <c r="DN63" s="238" t="n"/>
      <c r="DO63" s="238" t="n"/>
      <c r="DP63" s="238" t="n"/>
      <c r="DQ63" s="238" t="n"/>
      <c r="DR63" s="238" t="n"/>
      <c r="DS63" s="238" t="n"/>
      <c r="DT63" s="238" t="n"/>
      <c r="DU63" s="238" t="n"/>
      <c r="DV63" s="238" t="n"/>
      <c r="DW63" s="238" t="n"/>
      <c r="DX63" s="238" t="n"/>
      <c r="DY63" s="238" t="n"/>
      <c r="DZ63" s="23" t="n"/>
      <c r="FQ63" s="212" t="n"/>
      <c r="FR63" s="212" t="n"/>
      <c r="FS63" s="212" t="n"/>
      <c r="FT63" s="212" t="n"/>
      <c r="FU63" s="212" t="n"/>
      <c r="FV63" s="212" t="n"/>
      <c r="FW63" s="212" t="n"/>
      <c r="FX63" s="212" t="n"/>
      <c r="FY63" s="212" t="n"/>
      <c r="FZ63" s="212" t="n"/>
    </row>
    <row r="64" ht="39.95" customFormat="1" customHeight="1" s="5">
      <c r="A64" s="10" t="inlineStr">
        <is>
          <t>A</t>
        </is>
      </c>
      <c r="B64" s="6" t="inlineStr">
        <is>
          <t>POSITION 'A'</t>
        </is>
      </c>
      <c r="C64" s="11" t="inlineStr">
        <is>
          <t>L</t>
        </is>
      </c>
      <c r="D64" s="433" t="inlineStr"/>
      <c r="E64" s="436" t="n">
        <v>0.208</v>
      </c>
      <c r="F64" s="436" t="n">
        <v>0.225</v>
      </c>
      <c r="G64" s="436" t="n">
        <v>0.205</v>
      </c>
      <c r="H64" s="439" t="n">
        <v>0.205</v>
      </c>
      <c r="I64" s="442" t="n">
        <v>0.262</v>
      </c>
      <c r="J64" s="436" t="n">
        <v>0.246</v>
      </c>
      <c r="K64" s="436" t="inlineStr"/>
      <c r="L64" s="436" t="inlineStr"/>
      <c r="M64" s="439" t="inlineStr"/>
      <c r="N64" s="442" t="n">
        <v>0.26</v>
      </c>
      <c r="O64" s="436" t="n">
        <v>0.211</v>
      </c>
      <c r="P64" s="436" t="n">
        <v>0.223</v>
      </c>
      <c r="Q64" s="436" t="n">
        <v>0.207</v>
      </c>
      <c r="R64" s="439" t="n">
        <v>0.214</v>
      </c>
      <c r="S64" s="442" t="n">
        <v>0.197</v>
      </c>
      <c r="T64" s="436" t="inlineStr"/>
      <c r="U64" s="436" t="inlineStr"/>
      <c r="V64" s="436" t="n">
        <v>0.212</v>
      </c>
      <c r="W64" s="439" t="n">
        <v>0.208</v>
      </c>
      <c r="X64" s="442" t="n">
        <v>0.22</v>
      </c>
      <c r="Y64" s="436" t="n">
        <v>0.207</v>
      </c>
      <c r="Z64" s="436" t="n">
        <v>0.204</v>
      </c>
      <c r="AA64" s="436" t="n">
        <v>0.206</v>
      </c>
      <c r="AB64" s="439" t="inlineStr"/>
      <c r="AC64" s="442" t="inlineStr"/>
      <c r="AD64" s="436" t="inlineStr"/>
      <c r="AE64" s="436" t="inlineStr"/>
      <c r="AF64" s="436" t="inlineStr"/>
      <c r="AG64" s="439" t="inlineStr"/>
      <c r="AH64" s="442" t="inlineStr"/>
      <c r="AI64" s="436" t="n">
        <v>0.225</v>
      </c>
      <c r="AJ64" s="436" t="n">
        <v>0.216</v>
      </c>
      <c r="AK64" s="436" t="n">
        <v>0.208</v>
      </c>
      <c r="AL64" s="439" t="n">
        <v>0.208</v>
      </c>
      <c r="AM64" s="442" t="inlineStr"/>
      <c r="AN64" s="436" t="n">
        <v>0.209</v>
      </c>
      <c r="AO64" s="436" t="n">
        <v>0.205</v>
      </c>
      <c r="AP64" s="436" t="n">
        <v>0.205</v>
      </c>
      <c r="AQ64" s="439" t="n">
        <v>0.206</v>
      </c>
      <c r="AR64" s="442" t="n">
        <v>0.199</v>
      </c>
      <c r="AS64" s="436" t="n">
        <v>0.2</v>
      </c>
      <c r="AT64" s="436" t="inlineStr"/>
      <c r="AU64" s="436" t="inlineStr"/>
      <c r="AV64" s="439" t="n">
        <v>0.217</v>
      </c>
      <c r="AW64" s="442" t="n">
        <v>0.204</v>
      </c>
      <c r="AX64" s="436" t="n">
        <v>0.208</v>
      </c>
      <c r="AY64" s="436" t="n">
        <v>0.202</v>
      </c>
      <c r="AZ64" s="436" t="n">
        <v>0.196</v>
      </c>
      <c r="BA64" s="439" t="n">
        <v>0.202</v>
      </c>
      <c r="BB64" s="442" t="inlineStr"/>
      <c r="BC64" s="436" t="inlineStr"/>
      <c r="BD64" s="436" t="inlineStr"/>
      <c r="BE64" s="436" t="n">
        <v>0.212</v>
      </c>
      <c r="BF64" s="439" t="n">
        <v>0.216</v>
      </c>
      <c r="BG64" s="442" t="n">
        <v>0.204</v>
      </c>
      <c r="BH64" s="436" t="n">
        <v>0.214</v>
      </c>
      <c r="BI64" s="436" t="n">
        <v>0.204</v>
      </c>
      <c r="BJ64" s="436" t="n">
        <v>0.204</v>
      </c>
      <c r="BK64" s="439" t="inlineStr"/>
      <c r="BL64" s="442" t="inlineStr"/>
      <c r="BM64" s="436" t="n">
        <v>0.206</v>
      </c>
      <c r="BN64" s="436" t="n">
        <v>0.216</v>
      </c>
      <c r="BO64" s="436" t="n">
        <v>0.228</v>
      </c>
      <c r="BP64" s="439" t="n">
        <v>0.222</v>
      </c>
      <c r="BQ64" s="442" t="n">
        <v>0.229</v>
      </c>
      <c r="BR64" s="436" t="n">
        <v>0.222</v>
      </c>
      <c r="BS64" s="436" t="inlineStr"/>
      <c r="BT64" s="439" t="inlineStr"/>
      <c r="BU64" s="454">
        <f>IFERROR(AVERAGE(D64:BT66),0)</f>
        <v/>
      </c>
      <c r="BV64" s="454">
        <f>MIN(D64:BT66)</f>
        <v/>
      </c>
      <c r="BW64" s="238" t="n"/>
      <c r="BX64" s="238" t="n"/>
      <c r="BY64" s="238" t="n"/>
      <c r="BZ64" s="238" t="n"/>
      <c r="CA64" s="238" t="n"/>
      <c r="CB64" s="238" t="n"/>
      <c r="CC64" s="238" t="n"/>
      <c r="CD64" s="238" t="n"/>
      <c r="CE64" s="238" t="n"/>
      <c r="CF64" s="238" t="n"/>
      <c r="CG64" s="238" t="n"/>
      <c r="CH64" s="238" t="n"/>
      <c r="CI64" s="238" t="n"/>
      <c r="CJ64" s="238" t="n"/>
      <c r="CK64" s="238" t="n"/>
      <c r="CL64" s="238" t="n"/>
      <c r="CM64" s="238" t="n"/>
      <c r="CN64" s="238" t="n"/>
      <c r="CO64" s="238" t="n"/>
      <c r="CP64" s="238" t="n"/>
      <c r="CQ64" s="238" t="n"/>
      <c r="CR64" s="238" t="n"/>
      <c r="CS64" s="238" t="n"/>
      <c r="CT64" s="238" t="n"/>
      <c r="CU64" s="238" t="n"/>
      <c r="CV64" s="238" t="n"/>
      <c r="CW64" s="238" t="n"/>
      <c r="CX64" s="238" t="n"/>
      <c r="CY64" s="238" t="n"/>
      <c r="CZ64" s="238" t="n"/>
      <c r="DA64" s="238" t="n"/>
      <c r="DB64" s="238" t="n"/>
      <c r="DC64" s="238" t="n"/>
      <c r="DD64" s="238" t="n"/>
      <c r="DE64" s="238" t="n"/>
      <c r="DF64" s="238" t="n"/>
      <c r="DG64" s="238" t="n"/>
      <c r="DH64" s="238" t="n"/>
      <c r="DI64" s="238" t="n"/>
      <c r="DJ64" s="238" t="n"/>
      <c r="DK64" s="238" t="n"/>
      <c r="DL64" s="238" t="n"/>
      <c r="DM64" s="238" t="n"/>
      <c r="DN64" s="238" t="n"/>
      <c r="DO64" s="238" t="n"/>
      <c r="DP64" s="238" t="n"/>
      <c r="DQ64" s="238" t="n"/>
      <c r="DR64" s="238" t="n"/>
      <c r="DS64" s="238" t="n"/>
      <c r="DT64" s="238" t="n"/>
      <c r="DU64" s="238" t="n"/>
      <c r="DV64" s="238" t="n"/>
      <c r="DW64" s="238" t="n"/>
      <c r="DX64" s="238" t="n"/>
      <c r="DY64" s="238" t="n"/>
      <c r="DZ64" s="23" t="n"/>
      <c r="FQ64" s="212" t="n"/>
      <c r="FR64" s="212" t="n"/>
      <c r="FS64" s="212" t="n"/>
      <c r="FT64" s="212" t="n"/>
      <c r="FU64" s="212" t="n"/>
      <c r="FV64" s="212" t="n"/>
      <c r="FW64" s="212" t="n"/>
      <c r="FX64" s="212" t="n"/>
      <c r="FY64" s="212" t="n"/>
      <c r="FZ64" s="212" t="n"/>
    </row>
    <row r="65" ht="39.95" customFormat="1" customHeight="1" s="5">
      <c r="A65" s="182" t="n">
        <v>0.083</v>
      </c>
      <c r="B65" s="7" t="inlineStr">
        <is>
          <t xml:space="preserve">OF THE </t>
        </is>
      </c>
      <c r="C65" s="11" t="inlineStr">
        <is>
          <t>C</t>
        </is>
      </c>
      <c r="D65" s="434" t="inlineStr"/>
      <c r="E65" s="437" t="n">
        <v>0.208</v>
      </c>
      <c r="F65" s="437" t="n">
        <v>0.219</v>
      </c>
      <c r="G65" s="437" t="n">
        <v>0.207</v>
      </c>
      <c r="H65" s="440" t="n">
        <v>0.204</v>
      </c>
      <c r="I65" s="443" t="n">
        <v>0.255</v>
      </c>
      <c r="J65" s="437" t="n">
        <v>0.249</v>
      </c>
      <c r="K65" s="437" t="inlineStr"/>
      <c r="L65" s="437" t="inlineStr"/>
      <c r="M65" s="440" t="inlineStr"/>
      <c r="N65" s="443" t="n">
        <v>0.25</v>
      </c>
      <c r="O65" s="437" t="n">
        <v>0.207</v>
      </c>
      <c r="P65" s="437" t="n">
        <v>0.215</v>
      </c>
      <c r="Q65" s="437" t="n">
        <v>0.226</v>
      </c>
      <c r="R65" s="440" t="n">
        <v>0.204</v>
      </c>
      <c r="S65" s="443" t="n">
        <v>0.204</v>
      </c>
      <c r="T65" s="437" t="inlineStr"/>
      <c r="U65" s="437" t="inlineStr"/>
      <c r="V65" s="437" t="n">
        <v>0.213</v>
      </c>
      <c r="W65" s="440" t="n">
        <v>0.207</v>
      </c>
      <c r="X65" s="443" t="n">
        <v>0.206</v>
      </c>
      <c r="Y65" s="437" t="n">
        <v>0.214</v>
      </c>
      <c r="Z65" s="437" t="n">
        <v>0.215</v>
      </c>
      <c r="AA65" s="437" t="n">
        <v>0.205</v>
      </c>
      <c r="AB65" s="440" t="inlineStr"/>
      <c r="AC65" s="443" t="inlineStr"/>
      <c r="AD65" s="437" t="inlineStr"/>
      <c r="AE65" s="437" t="inlineStr"/>
      <c r="AF65" s="437" t="inlineStr"/>
      <c r="AG65" s="440" t="inlineStr"/>
      <c r="AH65" s="443" t="inlineStr"/>
      <c r="AI65" s="437" t="n">
        <v>0.215</v>
      </c>
      <c r="AJ65" s="437" t="n">
        <v>0.217</v>
      </c>
      <c r="AK65" s="437" t="n">
        <v>0.229</v>
      </c>
      <c r="AL65" s="440" t="n">
        <v>0.201</v>
      </c>
      <c r="AM65" s="443" t="inlineStr"/>
      <c r="AN65" s="437" t="n">
        <v>0.199</v>
      </c>
      <c r="AO65" s="437" t="n">
        <v>0.201</v>
      </c>
      <c r="AP65" s="437" t="n">
        <v>0.218</v>
      </c>
      <c r="AQ65" s="440" t="n">
        <v>0.21</v>
      </c>
      <c r="AR65" s="443" t="n">
        <v>0.201</v>
      </c>
      <c r="AS65" s="437" t="n">
        <v>0.204</v>
      </c>
      <c r="AT65" s="437" t="inlineStr"/>
      <c r="AU65" s="437" t="inlineStr"/>
      <c r="AV65" s="440" t="n">
        <v>0.191</v>
      </c>
      <c r="AW65" s="443" t="n">
        <v>0.191</v>
      </c>
      <c r="AX65" s="437" t="n">
        <v>0.201</v>
      </c>
      <c r="AY65" s="437" t="n">
        <v>0.206</v>
      </c>
      <c r="AZ65" s="437" t="n">
        <v>0.192</v>
      </c>
      <c r="BA65" s="440" t="n">
        <v>0.2</v>
      </c>
      <c r="BB65" s="443" t="inlineStr"/>
      <c r="BC65" s="437" t="inlineStr"/>
      <c r="BD65" s="437" t="inlineStr"/>
      <c r="BE65" s="437" t="n">
        <v>0.226</v>
      </c>
      <c r="BF65" s="440" t="n">
        <v>0.205</v>
      </c>
      <c r="BG65" s="443" t="n">
        <v>0.205</v>
      </c>
      <c r="BH65" s="437" t="n">
        <v>0.197</v>
      </c>
      <c r="BI65" s="437" t="n">
        <v>0.205</v>
      </c>
      <c r="BJ65" s="437" t="n">
        <v>0.207</v>
      </c>
      <c r="BK65" s="440" t="inlineStr"/>
      <c r="BL65" s="443" t="inlineStr"/>
      <c r="BM65" s="437" t="n">
        <v>0.215</v>
      </c>
      <c r="BN65" s="437" t="n">
        <v>0.227</v>
      </c>
      <c r="BO65" s="437" t="n">
        <v>0.212</v>
      </c>
      <c r="BP65" s="440" t="n">
        <v>0.228</v>
      </c>
      <c r="BQ65" s="443" t="n">
        <v>0.236</v>
      </c>
      <c r="BR65" s="437" t="n">
        <v>0.203</v>
      </c>
      <c r="BS65" s="437" t="inlineStr"/>
      <c r="BT65" s="440" t="inlineStr"/>
      <c r="BU65" s="455" t="n"/>
      <c r="BV65" s="455" t="n"/>
      <c r="BW65" s="238" t="n"/>
      <c r="BX65" s="238" t="n"/>
      <c r="BY65" s="238" t="n"/>
      <c r="BZ65" s="238" t="n"/>
      <c r="CA65" s="238" t="n"/>
      <c r="CB65" s="238" t="n"/>
      <c r="CC65" s="238" t="n"/>
      <c r="CD65" s="238" t="n"/>
      <c r="CE65" s="238" t="n"/>
      <c r="CF65" s="238" t="n"/>
      <c r="CG65" s="238" t="n"/>
      <c r="CH65" s="238" t="n"/>
      <c r="CI65" s="238" t="n"/>
      <c r="CJ65" s="238" t="n"/>
      <c r="CK65" s="238" t="n"/>
      <c r="CL65" s="238" t="n"/>
      <c r="CM65" s="238" t="n"/>
      <c r="CN65" s="238" t="n"/>
      <c r="CO65" s="238" t="n"/>
      <c r="CP65" s="238" t="n"/>
      <c r="CQ65" s="238" t="n"/>
      <c r="CR65" s="238" t="n"/>
      <c r="CS65" s="238" t="n"/>
      <c r="CT65" s="238" t="n"/>
      <c r="CU65" s="238" t="n"/>
      <c r="CV65" s="238" t="n"/>
      <c r="CW65" s="238" t="n"/>
      <c r="CX65" s="238" t="n"/>
      <c r="CY65" s="238" t="n"/>
      <c r="CZ65" s="238" t="n"/>
      <c r="DA65" s="238" t="n"/>
      <c r="DB65" s="238" t="n"/>
      <c r="DC65" s="238" t="n"/>
      <c r="DD65" s="238" t="n"/>
      <c r="DE65" s="238" t="n"/>
      <c r="DF65" s="238" t="n"/>
      <c r="DG65" s="238" t="n"/>
      <c r="DH65" s="238" t="n"/>
      <c r="DI65" s="238" t="n"/>
      <c r="DJ65" s="238" t="n"/>
      <c r="DK65" s="238" t="n"/>
      <c r="DL65" s="238" t="n"/>
      <c r="DM65" s="238" t="n"/>
      <c r="DN65" s="238" t="n"/>
      <c r="DO65" s="238" t="n"/>
      <c r="DP65" s="238" t="n"/>
      <c r="DQ65" s="238" t="n"/>
      <c r="DR65" s="238" t="n"/>
      <c r="DS65" s="238" t="n"/>
      <c r="DT65" s="238" t="n"/>
      <c r="DU65" s="238" t="n"/>
      <c r="DV65" s="238" t="n"/>
      <c r="DW65" s="238" t="n"/>
      <c r="DX65" s="238" t="n"/>
      <c r="DY65" s="238" t="n"/>
      <c r="DZ65" s="23" t="n"/>
      <c r="FQ65" s="212" t="n"/>
      <c r="FR65" s="212" t="n"/>
      <c r="FS65" s="212" t="n"/>
      <c r="FT65" s="212" t="n"/>
      <c r="FU65" s="212" t="n"/>
      <c r="FV65" s="212" t="n"/>
      <c r="FW65" s="212" t="n"/>
      <c r="FX65" s="212" t="n"/>
      <c r="FY65" s="212" t="n"/>
      <c r="FZ65" s="212" t="n"/>
    </row>
    <row r="66" ht="39.95" customFormat="1" customHeight="1" s="5">
      <c r="A66" s="456" t="n"/>
      <c r="B66" s="8" t="inlineStr">
        <is>
          <t>SECONDARIES</t>
        </is>
      </c>
      <c r="C66" s="12" t="inlineStr">
        <is>
          <t>R</t>
        </is>
      </c>
      <c r="D66" s="435" t="inlineStr"/>
      <c r="E66" s="438" t="n">
        <v>0.208</v>
      </c>
      <c r="F66" s="438" t="n">
        <v>0.23</v>
      </c>
      <c r="G66" s="438" t="n">
        <v>0.202</v>
      </c>
      <c r="H66" s="441" t="n">
        <v>0.218</v>
      </c>
      <c r="I66" s="444" t="n">
        <v>0.245</v>
      </c>
      <c r="J66" s="438" t="n">
        <v>0.253</v>
      </c>
      <c r="K66" s="438" t="inlineStr"/>
      <c r="L66" s="438" t="inlineStr"/>
      <c r="M66" s="441" t="inlineStr"/>
      <c r="N66" s="444" t="n">
        <v>0.247</v>
      </c>
      <c r="O66" s="438" t="n">
        <v>0.217</v>
      </c>
      <c r="P66" s="438" t="n">
        <v>0.2</v>
      </c>
      <c r="Q66" s="438" t="n">
        <v>0.22</v>
      </c>
      <c r="R66" s="441" t="n">
        <v>0.198</v>
      </c>
      <c r="S66" s="444" t="n">
        <v>0.214</v>
      </c>
      <c r="T66" s="438" t="inlineStr"/>
      <c r="U66" s="438" t="inlineStr"/>
      <c r="V66" s="438" t="n">
        <v>0.212</v>
      </c>
      <c r="W66" s="441" t="n">
        <v>0.208</v>
      </c>
      <c r="X66" s="444" t="n">
        <v>0.21</v>
      </c>
      <c r="Y66" s="438" t="n">
        <v>0.206</v>
      </c>
      <c r="Z66" s="438" t="n">
        <v>0.216</v>
      </c>
      <c r="AA66" s="438" t="n">
        <v>0.202</v>
      </c>
      <c r="AB66" s="441" t="inlineStr"/>
      <c r="AC66" s="444" t="inlineStr"/>
      <c r="AD66" s="438" t="inlineStr"/>
      <c r="AE66" s="438" t="inlineStr"/>
      <c r="AF66" s="438" t="inlineStr"/>
      <c r="AG66" s="441" t="inlineStr"/>
      <c r="AH66" s="444" t="inlineStr"/>
      <c r="AI66" s="438" t="n">
        <v>0.219</v>
      </c>
      <c r="AJ66" s="438" t="n">
        <v>0.194</v>
      </c>
      <c r="AK66" s="438" t="n">
        <v>0.219</v>
      </c>
      <c r="AL66" s="441" t="n">
        <v>0.209</v>
      </c>
      <c r="AM66" s="444" t="inlineStr"/>
      <c r="AN66" s="438" t="n">
        <v>0.198</v>
      </c>
      <c r="AO66" s="438" t="n">
        <v>0.199</v>
      </c>
      <c r="AP66" s="438" t="n">
        <v>0.216</v>
      </c>
      <c r="AQ66" s="441" t="n">
        <v>0.206</v>
      </c>
      <c r="AR66" s="444" t="n">
        <v>0.198</v>
      </c>
      <c r="AS66" s="438" t="n">
        <v>0.205</v>
      </c>
      <c r="AT66" s="438" t="inlineStr"/>
      <c r="AU66" s="438" t="inlineStr"/>
      <c r="AV66" s="441" t="n">
        <v>0.189</v>
      </c>
      <c r="AW66" s="444" t="n">
        <v>0.186</v>
      </c>
      <c r="AX66" s="438" t="n">
        <v>0.194</v>
      </c>
      <c r="AY66" s="438" t="n">
        <v>0.205</v>
      </c>
      <c r="AZ66" s="438" t="n">
        <v>0.204</v>
      </c>
      <c r="BA66" s="441" t="n">
        <v>0.203</v>
      </c>
      <c r="BB66" s="444" t="inlineStr"/>
      <c r="BC66" s="438" t="inlineStr"/>
      <c r="BD66" s="438" t="inlineStr"/>
      <c r="BE66" s="438" t="n">
        <v>0.213</v>
      </c>
      <c r="BF66" s="441" t="n">
        <v>0.216</v>
      </c>
      <c r="BG66" s="444" t="n">
        <v>0.19</v>
      </c>
      <c r="BH66" s="438" t="n">
        <v>0.206</v>
      </c>
      <c r="BI66" s="438" t="n">
        <v>0.206</v>
      </c>
      <c r="BJ66" s="438" t="n">
        <v>0.216</v>
      </c>
      <c r="BK66" s="441" t="inlineStr"/>
      <c r="BL66" s="444" t="inlineStr"/>
      <c r="BM66" s="438" t="n">
        <v>0.217</v>
      </c>
      <c r="BN66" s="438" t="n">
        <v>0.225</v>
      </c>
      <c r="BO66" s="438" t="n">
        <v>0.217</v>
      </c>
      <c r="BP66" s="441" t="n">
        <v>0.225</v>
      </c>
      <c r="BQ66" s="444" t="n">
        <v>0.232</v>
      </c>
      <c r="BR66" s="438" t="n">
        <v>0.225</v>
      </c>
      <c r="BS66" s="438" t="inlineStr"/>
      <c r="BT66" s="441" t="inlineStr"/>
      <c r="BU66" s="457" t="n"/>
      <c r="BV66" s="457" t="n"/>
      <c r="BW66" s="238" t="n"/>
      <c r="BX66" s="238" t="n"/>
      <c r="BY66" s="238" t="n"/>
      <c r="BZ66" s="238" t="n"/>
      <c r="CA66" s="238" t="n"/>
      <c r="CB66" s="238" t="n"/>
      <c r="CC66" s="238" t="n"/>
      <c r="CD66" s="238" t="n"/>
      <c r="CE66" s="238" t="n"/>
      <c r="CF66" s="238" t="n"/>
      <c r="CG66" s="238" t="n"/>
      <c r="CH66" s="238" t="n"/>
      <c r="CI66" s="238" t="n"/>
      <c r="CJ66" s="238" t="n"/>
      <c r="CK66" s="238" t="n"/>
      <c r="CL66" s="238" t="n"/>
      <c r="CM66" s="238" t="n"/>
      <c r="CN66" s="238" t="n"/>
      <c r="CO66" s="238" t="n"/>
      <c r="CP66" s="238" t="n"/>
      <c r="CQ66" s="238" t="n"/>
      <c r="CR66" s="238" t="n"/>
      <c r="CS66" s="238" t="n"/>
      <c r="CT66" s="238" t="n"/>
      <c r="CU66" s="238" t="n"/>
      <c r="CV66" s="238" t="n"/>
      <c r="CW66" s="238" t="n"/>
      <c r="CX66" s="238" t="n"/>
      <c r="CY66" s="238" t="n"/>
      <c r="CZ66" s="238" t="n"/>
      <c r="DA66" s="238" t="n"/>
      <c r="DB66" s="238" t="n"/>
      <c r="DC66" s="238" t="n"/>
      <c r="DD66" s="238" t="n"/>
      <c r="DE66" s="238" t="n"/>
      <c r="DF66" s="238" t="n"/>
      <c r="DG66" s="238" t="n"/>
      <c r="DH66" s="238" t="n"/>
      <c r="DI66" s="238" t="n"/>
      <c r="DJ66" s="238" t="n"/>
      <c r="DK66" s="238" t="n"/>
      <c r="DL66" s="238" t="n"/>
      <c r="DM66" s="238" t="n"/>
      <c r="DN66" s="238" t="n"/>
      <c r="DO66" s="238" t="n"/>
      <c r="DP66" s="238" t="n"/>
      <c r="DQ66" s="238" t="n"/>
      <c r="DR66" s="238" t="n"/>
      <c r="DS66" s="238" t="n"/>
      <c r="DT66" s="238" t="n"/>
      <c r="DU66" s="238" t="n"/>
      <c r="DV66" s="238" t="n"/>
      <c r="DW66" s="238" t="n"/>
      <c r="DX66" s="238" t="n"/>
      <c r="DY66" s="238" t="n"/>
      <c r="DZ66" s="23" t="n"/>
      <c r="FQ66" s="212" t="n"/>
      <c r="FR66" s="212" t="n"/>
      <c r="FS66" s="212" t="n"/>
      <c r="FT66" s="212" t="n"/>
      <c r="FU66" s="212" t="n"/>
      <c r="FV66" s="212" t="n"/>
      <c r="FW66" s="212" t="n"/>
      <c r="FX66" s="212" t="n"/>
      <c r="FY66" s="212" t="n"/>
      <c r="FZ66" s="212" t="n"/>
    </row>
    <row r="67" ht="39.95" customFormat="1" customHeight="1" s="5">
      <c r="A67" s="10" t="inlineStr">
        <is>
          <t>A</t>
        </is>
      </c>
      <c r="B67" s="6" t="inlineStr">
        <is>
          <t>POSITION 'B'</t>
        </is>
      </c>
      <c r="C67" s="11" t="inlineStr">
        <is>
          <t>L</t>
        </is>
      </c>
      <c r="D67" s="433" t="inlineStr"/>
      <c r="E67" s="436" t="n">
        <v>0.227</v>
      </c>
      <c r="F67" s="436" t="n">
        <v>0.201</v>
      </c>
      <c r="G67" s="436" t="n">
        <v>0.208</v>
      </c>
      <c r="H67" s="439" t="n">
        <v>0.219</v>
      </c>
      <c r="I67" s="442" t="n">
        <v>0.232</v>
      </c>
      <c r="J67" s="436" t="n">
        <v>0.257</v>
      </c>
      <c r="K67" s="436" t="inlineStr"/>
      <c r="L67" s="436" t="inlineStr"/>
      <c r="M67" s="439" t="inlineStr"/>
      <c r="N67" s="442" t="n">
        <v>0.259</v>
      </c>
      <c r="O67" s="436" t="n">
        <v>0.215</v>
      </c>
      <c r="P67" s="436" t="n">
        <v>0.228</v>
      </c>
      <c r="Q67" s="436" t="n">
        <v>0.221</v>
      </c>
      <c r="R67" s="439" t="n">
        <v>0.209</v>
      </c>
      <c r="S67" s="442" t="n">
        <v>0.202</v>
      </c>
      <c r="T67" s="436" t="inlineStr"/>
      <c r="U67" s="436" t="inlineStr"/>
      <c r="V67" s="436" t="n">
        <v>0.204</v>
      </c>
      <c r="W67" s="439" t="n">
        <v>0.204</v>
      </c>
      <c r="X67" s="442" t="n">
        <v>0.228</v>
      </c>
      <c r="Y67" s="436" t="n">
        <v>0.227</v>
      </c>
      <c r="Z67" s="436" t="n">
        <v>0.214</v>
      </c>
      <c r="AA67" s="436" t="n">
        <v>0.212</v>
      </c>
      <c r="AB67" s="439" t="inlineStr"/>
      <c r="AC67" s="442" t="inlineStr"/>
      <c r="AD67" s="436" t="inlineStr"/>
      <c r="AE67" s="436" t="inlineStr"/>
      <c r="AF67" s="436" t="inlineStr"/>
      <c r="AG67" s="439" t="inlineStr"/>
      <c r="AH67" s="442" t="inlineStr"/>
      <c r="AI67" s="436" t="n">
        <v>0.2</v>
      </c>
      <c r="AJ67" s="436" t="n">
        <v>0.211</v>
      </c>
      <c r="AK67" s="436" t="n">
        <v>0.217</v>
      </c>
      <c r="AL67" s="439" t="n">
        <v>0.189</v>
      </c>
      <c r="AM67" s="442" t="inlineStr"/>
      <c r="AN67" s="436" t="n">
        <v>0.199</v>
      </c>
      <c r="AO67" s="436" t="n">
        <v>0.2</v>
      </c>
      <c r="AP67" s="436" t="n">
        <v>0.212</v>
      </c>
      <c r="AQ67" s="439" t="n">
        <v>0.224</v>
      </c>
      <c r="AR67" s="442" t="n">
        <v>0.237</v>
      </c>
      <c r="AS67" s="436" t="n">
        <v>0.221</v>
      </c>
      <c r="AT67" s="436" t="inlineStr"/>
      <c r="AU67" s="436" t="inlineStr"/>
      <c r="AV67" s="439" t="n">
        <v>0.214</v>
      </c>
      <c r="AW67" s="442" t="n">
        <v>0.205</v>
      </c>
      <c r="AX67" s="436" t="n">
        <v>0.194</v>
      </c>
      <c r="AY67" s="436" t="n">
        <v>0.218</v>
      </c>
      <c r="AZ67" s="436" t="n">
        <v>0.198</v>
      </c>
      <c r="BA67" s="439" t="n">
        <v>0.204</v>
      </c>
      <c r="BB67" s="442" t="inlineStr"/>
      <c r="BC67" s="436" t="inlineStr"/>
      <c r="BD67" s="436" t="inlineStr"/>
      <c r="BE67" s="436" t="n">
        <v>0.193</v>
      </c>
      <c r="BF67" s="439" t="n">
        <v>0.199</v>
      </c>
      <c r="BG67" s="442" t="n">
        <v>0.228</v>
      </c>
      <c r="BH67" s="436" t="n">
        <v>0.226</v>
      </c>
      <c r="BI67" s="436" t="n">
        <v>0.225</v>
      </c>
      <c r="BJ67" s="436" t="n">
        <v>0.204</v>
      </c>
      <c r="BK67" s="439" t="inlineStr"/>
      <c r="BL67" s="442" t="inlineStr"/>
      <c r="BM67" s="436" t="n">
        <v>0.204</v>
      </c>
      <c r="BN67" s="436" t="n">
        <v>0.228</v>
      </c>
      <c r="BO67" s="436" t="n">
        <v>0.228</v>
      </c>
      <c r="BP67" s="439" t="n">
        <v>0.227</v>
      </c>
      <c r="BQ67" s="442" t="n">
        <v>0.221</v>
      </c>
      <c r="BR67" s="436" t="n">
        <v>0.21</v>
      </c>
      <c r="BS67" s="436" t="inlineStr"/>
      <c r="BT67" s="439" t="inlineStr"/>
      <c r="BU67" s="454">
        <f>IFERROR(AVERAGE(D67:BT69),0)</f>
        <v/>
      </c>
      <c r="BV67" s="454">
        <f>MIN(D67:BT69)</f>
        <v/>
      </c>
      <c r="BW67" s="238" t="n"/>
      <c r="BX67" s="238" t="n"/>
      <c r="BY67" s="238" t="n"/>
      <c r="BZ67" s="238" t="n"/>
      <c r="CA67" s="238" t="n"/>
      <c r="CB67" s="238" t="n"/>
      <c r="CC67" s="238" t="n"/>
      <c r="CD67" s="238" t="n"/>
      <c r="CE67" s="238" t="n"/>
      <c r="CF67" s="238" t="n"/>
      <c r="CG67" s="238" t="n"/>
      <c r="CH67" s="238" t="n"/>
      <c r="CI67" s="238" t="n"/>
      <c r="CJ67" s="238" t="n"/>
      <c r="CK67" s="238" t="n"/>
      <c r="CL67" s="238" t="n"/>
      <c r="CM67" s="238" t="n"/>
      <c r="CN67" s="238" t="n"/>
      <c r="CO67" s="238" t="n"/>
      <c r="CP67" s="238" t="n"/>
      <c r="CQ67" s="238" t="n"/>
      <c r="CR67" s="238" t="n"/>
      <c r="CS67" s="238" t="n"/>
      <c r="CT67" s="238" t="n"/>
      <c r="CU67" s="238" t="n"/>
      <c r="CV67" s="238" t="n"/>
      <c r="CW67" s="238" t="n"/>
      <c r="CX67" s="238" t="n"/>
      <c r="CY67" s="238" t="n"/>
      <c r="CZ67" s="238" t="n"/>
      <c r="DA67" s="238" t="n"/>
      <c r="DB67" s="238" t="n"/>
      <c r="DC67" s="238" t="n"/>
      <c r="DD67" s="238" t="n"/>
      <c r="DE67" s="238" t="n"/>
      <c r="DF67" s="238" t="n"/>
      <c r="DG67" s="238" t="n"/>
      <c r="DH67" s="238" t="n"/>
      <c r="DI67" s="238" t="n"/>
      <c r="DJ67" s="238" t="n"/>
      <c r="DK67" s="238" t="n"/>
      <c r="DL67" s="238" t="n"/>
      <c r="DM67" s="238" t="n"/>
      <c r="DN67" s="238" t="n"/>
      <c r="DO67" s="238" t="n"/>
      <c r="DP67" s="238" t="n"/>
      <c r="DQ67" s="238" t="n"/>
      <c r="DR67" s="238" t="n"/>
      <c r="DS67" s="238" t="n"/>
      <c r="DT67" s="238" t="n"/>
      <c r="DU67" s="238" t="n"/>
      <c r="DV67" s="238" t="n"/>
      <c r="DW67" s="238" t="n"/>
      <c r="DX67" s="238" t="n"/>
      <c r="DY67" s="238" t="n"/>
      <c r="DZ67" s="23" t="n"/>
      <c r="FQ67" s="212" t="n"/>
      <c r="FR67" s="212" t="n"/>
      <c r="FS67" s="212" t="n"/>
      <c r="FT67" s="212" t="n"/>
      <c r="FU67" s="212" t="n"/>
      <c r="FV67" s="212" t="n"/>
      <c r="FW67" s="212" t="n"/>
      <c r="FX67" s="212" t="n"/>
      <c r="FY67" s="212" t="n"/>
      <c r="FZ67" s="212" t="n"/>
    </row>
    <row r="68" ht="39.95" customFormat="1" customHeight="1" s="5">
      <c r="A68" s="182" t="n">
        <v>0.083</v>
      </c>
      <c r="B68" s="7" t="inlineStr">
        <is>
          <t xml:space="preserve">OF THE </t>
        </is>
      </c>
      <c r="C68" s="11" t="inlineStr">
        <is>
          <t>C</t>
        </is>
      </c>
      <c r="D68" s="434" t="inlineStr"/>
      <c r="E68" s="437" t="n">
        <v>0.205</v>
      </c>
      <c r="F68" s="437" t="n">
        <v>0.192</v>
      </c>
      <c r="G68" s="437" t="n">
        <v>0.212</v>
      </c>
      <c r="H68" s="440" t="n">
        <v>0.216</v>
      </c>
      <c r="I68" s="443" t="n">
        <v>0.234</v>
      </c>
      <c r="J68" s="437" t="n">
        <v>0.247</v>
      </c>
      <c r="K68" s="437" t="inlineStr"/>
      <c r="L68" s="437" t="inlineStr"/>
      <c r="M68" s="440" t="inlineStr"/>
      <c r="N68" s="443" t="n">
        <v>0.258</v>
      </c>
      <c r="O68" s="437" t="n">
        <v>0.225</v>
      </c>
      <c r="P68" s="437" t="n">
        <v>0.208</v>
      </c>
      <c r="Q68" s="437" t="n">
        <v>0.223</v>
      </c>
      <c r="R68" s="440" t="n">
        <v>0.209</v>
      </c>
      <c r="S68" s="443" t="n">
        <v>0.207</v>
      </c>
      <c r="T68" s="437" t="inlineStr"/>
      <c r="U68" s="437" t="inlineStr"/>
      <c r="V68" s="437" t="n">
        <v>0.203</v>
      </c>
      <c r="W68" s="440" t="n">
        <v>0.209</v>
      </c>
      <c r="X68" s="443" t="n">
        <v>0.234</v>
      </c>
      <c r="Y68" s="437" t="n">
        <v>0.228</v>
      </c>
      <c r="Z68" s="437" t="n">
        <v>0.208</v>
      </c>
      <c r="AA68" s="437" t="n">
        <v>0.202</v>
      </c>
      <c r="AB68" s="440" t="inlineStr"/>
      <c r="AC68" s="443" t="inlineStr"/>
      <c r="AD68" s="437" t="inlineStr"/>
      <c r="AE68" s="437" t="inlineStr"/>
      <c r="AF68" s="437" t="inlineStr"/>
      <c r="AG68" s="440" t="inlineStr"/>
      <c r="AH68" s="443" t="inlineStr"/>
      <c r="AI68" s="437" t="n">
        <v>0.211</v>
      </c>
      <c r="AJ68" s="437" t="n">
        <v>0.211</v>
      </c>
      <c r="AK68" s="437" t="n">
        <v>0.208</v>
      </c>
      <c r="AL68" s="440" t="n">
        <v>0.191</v>
      </c>
      <c r="AM68" s="443" t="inlineStr"/>
      <c r="AN68" s="437" t="n">
        <v>0.203</v>
      </c>
      <c r="AO68" s="437" t="n">
        <v>0.216</v>
      </c>
      <c r="AP68" s="437" t="n">
        <v>0.21</v>
      </c>
      <c r="AQ68" s="440" t="n">
        <v>0.233</v>
      </c>
      <c r="AR68" s="443" t="n">
        <v>0.235</v>
      </c>
      <c r="AS68" s="437" t="n">
        <v>0.218</v>
      </c>
      <c r="AT68" s="437" t="inlineStr"/>
      <c r="AU68" s="437" t="inlineStr"/>
      <c r="AV68" s="440" t="n">
        <v>0.196</v>
      </c>
      <c r="AW68" s="443" t="n">
        <v>0.194</v>
      </c>
      <c r="AX68" s="437" t="n">
        <v>0.199</v>
      </c>
      <c r="AY68" s="437" t="n">
        <v>0.198</v>
      </c>
      <c r="AZ68" s="437" t="n">
        <v>0.206</v>
      </c>
      <c r="BA68" s="440" t="n">
        <v>0.203</v>
      </c>
      <c r="BB68" s="443" t="inlineStr"/>
      <c r="BC68" s="437" t="inlineStr"/>
      <c r="BD68" s="437" t="inlineStr"/>
      <c r="BE68" s="437" t="n">
        <v>0.193</v>
      </c>
      <c r="BF68" s="440" t="n">
        <v>0.19</v>
      </c>
      <c r="BG68" s="443" t="n">
        <v>0.228</v>
      </c>
      <c r="BH68" s="437" t="n">
        <v>0.22</v>
      </c>
      <c r="BI68" s="437" t="n">
        <v>0.212</v>
      </c>
      <c r="BJ68" s="437" t="n">
        <v>0.202</v>
      </c>
      <c r="BK68" s="440" t="inlineStr"/>
      <c r="BL68" s="443" t="inlineStr"/>
      <c r="BM68" s="437" t="n">
        <v>0.201</v>
      </c>
      <c r="BN68" s="437" t="n">
        <v>0.217</v>
      </c>
      <c r="BO68" s="437" t="n">
        <v>0.234</v>
      </c>
      <c r="BP68" s="440" t="n">
        <v>0.226</v>
      </c>
      <c r="BQ68" s="443" t="n">
        <v>0.228</v>
      </c>
      <c r="BR68" s="437" t="n">
        <v>0.211</v>
      </c>
      <c r="BS68" s="437" t="inlineStr"/>
      <c r="BT68" s="440" t="inlineStr"/>
      <c r="BU68" s="455" t="n"/>
      <c r="BV68" s="455" t="n"/>
      <c r="BW68" s="238" t="n"/>
      <c r="BX68" s="238" t="n"/>
      <c r="BY68" s="238" t="n"/>
      <c r="BZ68" s="238" t="n"/>
      <c r="CA68" s="238" t="n"/>
      <c r="CB68" s="238" t="n"/>
      <c r="CC68" s="238" t="n"/>
      <c r="CD68" s="238" t="n"/>
      <c r="CE68" s="238" t="n"/>
      <c r="CF68" s="238" t="n"/>
      <c r="CG68" s="238" t="n"/>
      <c r="CH68" s="238" t="n"/>
      <c r="CI68" s="238" t="n"/>
      <c r="CJ68" s="238" t="n"/>
      <c r="CK68" s="238" t="n"/>
      <c r="CL68" s="238" t="n"/>
      <c r="CM68" s="238" t="n"/>
      <c r="CN68" s="238" t="n"/>
      <c r="CO68" s="238" t="n"/>
      <c r="CP68" s="238" t="n"/>
      <c r="CQ68" s="238" t="n"/>
      <c r="CR68" s="238" t="n"/>
      <c r="CS68" s="238" t="n"/>
      <c r="CT68" s="238" t="n"/>
      <c r="CU68" s="238" t="n"/>
      <c r="CV68" s="238" t="n"/>
      <c r="CW68" s="238" t="n"/>
      <c r="CX68" s="238" t="n"/>
      <c r="CY68" s="238" t="n"/>
      <c r="CZ68" s="238" t="n"/>
      <c r="DA68" s="238" t="n"/>
      <c r="DB68" s="238" t="n"/>
      <c r="DC68" s="238" t="n"/>
      <c r="DD68" s="238" t="n"/>
      <c r="DE68" s="238" t="n"/>
      <c r="DF68" s="238" t="n"/>
      <c r="DG68" s="238" t="n"/>
      <c r="DH68" s="238" t="n"/>
      <c r="DI68" s="238" t="n"/>
      <c r="DJ68" s="238" t="n"/>
      <c r="DK68" s="238" t="n"/>
      <c r="DL68" s="238" t="n"/>
      <c r="DM68" s="238" t="n"/>
      <c r="DN68" s="238" t="n"/>
      <c r="DO68" s="238" t="n"/>
      <c r="DP68" s="238" t="n"/>
      <c r="DQ68" s="238" t="n"/>
      <c r="DR68" s="238" t="n"/>
      <c r="DS68" s="238" t="n"/>
      <c r="DT68" s="238" t="n"/>
      <c r="DU68" s="238" t="n"/>
      <c r="DV68" s="238" t="n"/>
      <c r="DW68" s="238" t="n"/>
      <c r="DX68" s="238" t="n"/>
      <c r="DY68" s="238" t="n"/>
      <c r="DZ68" s="23" t="n"/>
      <c r="FQ68" s="212" t="n"/>
      <c r="FR68" s="212" t="n"/>
      <c r="FS68" s="212" t="n"/>
      <c r="FT68" s="212" t="n"/>
      <c r="FU68" s="212" t="n"/>
      <c r="FV68" s="212" t="n"/>
      <c r="FW68" s="212" t="n"/>
      <c r="FX68" s="212" t="n"/>
      <c r="FY68" s="212" t="n"/>
      <c r="FZ68" s="212" t="n"/>
    </row>
    <row r="69" ht="39.95" customFormat="1" customHeight="1" s="5">
      <c r="A69" s="456" t="n"/>
      <c r="B69" s="8" t="inlineStr">
        <is>
          <t>SECONDARIES</t>
        </is>
      </c>
      <c r="C69" s="12" t="inlineStr">
        <is>
          <t>R</t>
        </is>
      </c>
      <c r="D69" s="435" t="inlineStr"/>
      <c r="E69" s="438" t="n">
        <v>0.208</v>
      </c>
      <c r="F69" s="438" t="n">
        <v>0.194</v>
      </c>
      <c r="G69" s="438" t="n">
        <v>0.223</v>
      </c>
      <c r="H69" s="441" t="n">
        <v>0.219</v>
      </c>
      <c r="I69" s="444" t="n">
        <v>0.239</v>
      </c>
      <c r="J69" s="438" t="n">
        <v>0.257</v>
      </c>
      <c r="K69" s="438" t="inlineStr"/>
      <c r="L69" s="438" t="inlineStr"/>
      <c r="M69" s="441" t="inlineStr"/>
      <c r="N69" s="444" t="n">
        <v>0.252</v>
      </c>
      <c r="O69" s="438" t="n">
        <v>0.228</v>
      </c>
      <c r="P69" s="438" t="n">
        <v>0.206</v>
      </c>
      <c r="Q69" s="438" t="n">
        <v>0.207</v>
      </c>
      <c r="R69" s="441" t="n">
        <v>0.207</v>
      </c>
      <c r="S69" s="444" t="n">
        <v>0.213</v>
      </c>
      <c r="T69" s="438" t="inlineStr"/>
      <c r="U69" s="438" t="inlineStr"/>
      <c r="V69" s="438" t="n">
        <v>0.2</v>
      </c>
      <c r="W69" s="441" t="n">
        <v>0.206</v>
      </c>
      <c r="X69" s="444" t="n">
        <v>0.233</v>
      </c>
      <c r="Y69" s="438" t="n">
        <v>0.229</v>
      </c>
      <c r="Z69" s="438" t="n">
        <v>0.202</v>
      </c>
      <c r="AA69" s="438" t="n">
        <v>0.204</v>
      </c>
      <c r="AB69" s="441" t="inlineStr"/>
      <c r="AC69" s="444" t="inlineStr"/>
      <c r="AD69" s="438" t="inlineStr"/>
      <c r="AE69" s="438" t="inlineStr"/>
      <c r="AF69" s="438" t="inlineStr"/>
      <c r="AG69" s="441" t="inlineStr"/>
      <c r="AH69" s="444" t="inlineStr"/>
      <c r="AI69" s="438" t="n">
        <v>0.205</v>
      </c>
      <c r="AJ69" s="438" t="n">
        <v>0.215</v>
      </c>
      <c r="AK69" s="438" t="n">
        <v>0.207</v>
      </c>
      <c r="AL69" s="441" t="n">
        <v>0.198</v>
      </c>
      <c r="AM69" s="444" t="inlineStr"/>
      <c r="AN69" s="438" t="n">
        <v>0.198</v>
      </c>
      <c r="AO69" s="438" t="n">
        <v>0.199</v>
      </c>
      <c r="AP69" s="438" t="n">
        <v>0.218</v>
      </c>
      <c r="AQ69" s="441" t="n">
        <v>0.237</v>
      </c>
      <c r="AR69" s="444" t="n">
        <v>0.209</v>
      </c>
      <c r="AS69" s="438" t="n">
        <v>0.219</v>
      </c>
      <c r="AT69" s="438" t="inlineStr"/>
      <c r="AU69" s="438" t="inlineStr"/>
      <c r="AV69" s="441" t="n">
        <v>0.201</v>
      </c>
      <c r="AW69" s="444" t="n">
        <v>0.198</v>
      </c>
      <c r="AX69" s="438" t="n">
        <v>0.202</v>
      </c>
      <c r="AY69" s="438" t="n">
        <v>0.203</v>
      </c>
      <c r="AZ69" s="438" t="n">
        <v>0.209</v>
      </c>
      <c r="BA69" s="441" t="n">
        <v>0.199</v>
      </c>
      <c r="BB69" s="444" t="inlineStr"/>
      <c r="BC69" s="438" t="inlineStr"/>
      <c r="BD69" s="438" t="inlineStr"/>
      <c r="BE69" s="438" t="n">
        <v>0.196</v>
      </c>
      <c r="BF69" s="441" t="n">
        <v>0.212</v>
      </c>
      <c r="BG69" s="444" t="n">
        <v>0.228</v>
      </c>
      <c r="BH69" s="438" t="n">
        <v>0.22</v>
      </c>
      <c r="BI69" s="438" t="n">
        <v>0.21</v>
      </c>
      <c r="BJ69" s="438" t="n">
        <v>0.209</v>
      </c>
      <c r="BK69" s="441" t="inlineStr"/>
      <c r="BL69" s="444" t="inlineStr"/>
      <c r="BM69" s="438" t="n">
        <v>0.211</v>
      </c>
      <c r="BN69" s="438" t="n">
        <v>0.22</v>
      </c>
      <c r="BO69" s="438" t="n">
        <v>0.23</v>
      </c>
      <c r="BP69" s="441" t="n">
        <v>0.227</v>
      </c>
      <c r="BQ69" s="444" t="n">
        <v>0.222</v>
      </c>
      <c r="BR69" s="438" t="n">
        <v>0.205</v>
      </c>
      <c r="BS69" s="438" t="inlineStr"/>
      <c r="BT69" s="441" t="inlineStr"/>
      <c r="BU69" s="457" t="n"/>
      <c r="BV69" s="457" t="n"/>
      <c r="BW69" s="238" t="n"/>
      <c r="BX69" s="238" t="n"/>
      <c r="BY69" s="238" t="n"/>
      <c r="BZ69" s="238" t="n"/>
      <c r="CA69" s="238" t="n"/>
      <c r="CB69" s="238" t="n"/>
      <c r="CC69" s="238" t="n"/>
      <c r="CD69" s="238" t="n"/>
      <c r="CE69" s="238" t="n"/>
      <c r="CF69" s="238" t="n"/>
      <c r="CG69" s="238" t="n"/>
      <c r="CH69" s="238" t="n"/>
      <c r="CI69" s="238" t="n"/>
      <c r="CJ69" s="238" t="n"/>
      <c r="CK69" s="238" t="n"/>
      <c r="CL69" s="238" t="n"/>
      <c r="CM69" s="238" t="n"/>
      <c r="CN69" s="238" t="n"/>
      <c r="CO69" s="238" t="n"/>
      <c r="CP69" s="238" t="n"/>
      <c r="CQ69" s="238" t="n"/>
      <c r="CR69" s="238" t="n"/>
      <c r="CS69" s="238" t="n"/>
      <c r="CT69" s="238" t="n"/>
      <c r="CU69" s="238" t="n"/>
      <c r="CV69" s="238" t="n"/>
      <c r="CW69" s="238" t="n"/>
      <c r="CX69" s="238" t="n"/>
      <c r="CY69" s="238" t="n"/>
      <c r="CZ69" s="238" t="n"/>
      <c r="DA69" s="238" t="n"/>
      <c r="DB69" s="238" t="n"/>
      <c r="DC69" s="238" t="n"/>
      <c r="DD69" s="238" t="n"/>
      <c r="DE69" s="238" t="n"/>
      <c r="DF69" s="238" t="n"/>
      <c r="DG69" s="238" t="n"/>
      <c r="DH69" s="238" t="n"/>
      <c r="DI69" s="238" t="n"/>
      <c r="DJ69" s="238" t="n"/>
      <c r="DK69" s="238" t="n"/>
      <c r="DL69" s="238" t="n"/>
      <c r="DM69" s="238" t="n"/>
      <c r="DN69" s="238" t="n"/>
      <c r="DO69" s="238" t="n"/>
      <c r="DP69" s="238" t="n"/>
      <c r="DQ69" s="238" t="n"/>
      <c r="DR69" s="238" t="n"/>
      <c r="DS69" s="238" t="n"/>
      <c r="DT69" s="238" t="n"/>
      <c r="DU69" s="238" t="n"/>
      <c r="DV69" s="238" t="n"/>
      <c r="DW69" s="238" t="n"/>
      <c r="DX69" s="238" t="n"/>
      <c r="DY69" s="238" t="n"/>
      <c r="DZ69" s="23" t="n"/>
      <c r="FQ69" s="212" t="n"/>
      <c r="FR69" s="212" t="n"/>
      <c r="FS69" s="212" t="n"/>
      <c r="FT69" s="212" t="n"/>
      <c r="FU69" s="212" t="n"/>
      <c r="FV69" s="212" t="n"/>
      <c r="FW69" s="212" t="n"/>
      <c r="FX69" s="212" t="n"/>
      <c r="FY69" s="212" t="n"/>
      <c r="FZ69" s="212" t="n"/>
    </row>
    <row r="70" ht="39.95" customFormat="1" customHeight="1" s="5">
      <c r="A70" s="10" t="inlineStr">
        <is>
          <t>A</t>
        </is>
      </c>
      <c r="B70" s="6" t="n"/>
      <c r="C70" s="11" t="inlineStr">
        <is>
          <t>L</t>
        </is>
      </c>
      <c r="D70" s="433" t="n">
        <v>0.212</v>
      </c>
      <c r="E70" s="436" t="n">
        <v>0.227</v>
      </c>
      <c r="F70" s="436" t="inlineStr">
        <is>
          <t>RF</t>
        </is>
      </c>
      <c r="G70" s="436" t="n">
        <v>0.223</v>
      </c>
      <c r="H70" s="439" t="n">
        <v>0.208</v>
      </c>
      <c r="I70" s="442" t="n">
        <v>0.26</v>
      </c>
      <c r="J70" s="436" t="n">
        <v>0.269</v>
      </c>
      <c r="K70" s="436" t="n">
        <v>0.266</v>
      </c>
      <c r="L70" s="436" t="n">
        <v>0.284</v>
      </c>
      <c r="M70" s="439" t="n">
        <v>0.279</v>
      </c>
      <c r="N70" s="442" t="n">
        <v>0.263</v>
      </c>
      <c r="O70" s="436" t="n">
        <v>0.226</v>
      </c>
      <c r="P70" s="436" t="n">
        <v>0.218</v>
      </c>
      <c r="Q70" s="436" t="n">
        <v>0.238</v>
      </c>
      <c r="R70" s="439" t="n">
        <v>0.218</v>
      </c>
      <c r="S70" s="442" t="n">
        <v>0.212</v>
      </c>
      <c r="T70" s="436" t="n">
        <v>0.21</v>
      </c>
      <c r="U70" s="436" t="n">
        <v>0.224</v>
      </c>
      <c r="V70" s="436" t="n">
        <v>0.217</v>
      </c>
      <c r="W70" s="439" t="n">
        <v>0.215</v>
      </c>
      <c r="X70" s="442" t="n">
        <v>0.227</v>
      </c>
      <c r="Y70" s="436" t="n">
        <v>0.205</v>
      </c>
      <c r="Z70" s="436" t="n">
        <v>0.213</v>
      </c>
      <c r="AA70" s="436" t="n">
        <v>0.212</v>
      </c>
      <c r="AB70" s="439" t="n">
        <v>0.224</v>
      </c>
      <c r="AC70" s="442" t="n">
        <v>0.207</v>
      </c>
      <c r="AD70" s="436" t="n">
        <v>0.209</v>
      </c>
      <c r="AE70" s="436" t="n">
        <v>0.208</v>
      </c>
      <c r="AF70" s="436" t="n">
        <v>0.21</v>
      </c>
      <c r="AG70" s="439" t="n">
        <v>0.236</v>
      </c>
      <c r="AH70" s="442" t="n">
        <v>0.207</v>
      </c>
      <c r="AI70" s="436" t="n">
        <v>0.215</v>
      </c>
      <c r="AJ70" s="436" t="n">
        <v>0.225</v>
      </c>
      <c r="AK70" s="436" t="n">
        <v>0.219</v>
      </c>
      <c r="AL70" s="439" t="n">
        <v>0.211</v>
      </c>
      <c r="AM70" s="442" t="n">
        <v>0.204</v>
      </c>
      <c r="AN70" s="436" t="n">
        <v>0.199</v>
      </c>
      <c r="AO70" s="436" t="n">
        <v>0.204</v>
      </c>
      <c r="AP70" s="436" t="n">
        <v>0.2</v>
      </c>
      <c r="AQ70" s="439" t="n">
        <v>0.202</v>
      </c>
      <c r="AR70" s="442" t="n">
        <v>0.2</v>
      </c>
      <c r="AS70" s="436" t="n">
        <v>0.204</v>
      </c>
      <c r="AT70" s="436" t="n">
        <v>0.214</v>
      </c>
      <c r="AU70" s="436" t="n">
        <v>0.201</v>
      </c>
      <c r="AV70" s="439" t="n">
        <v>0.208</v>
      </c>
      <c r="AW70" s="442" t="n">
        <v>0.196</v>
      </c>
      <c r="AX70" s="436" t="n">
        <v>0.2</v>
      </c>
      <c r="AY70" s="436" t="n">
        <v>0.228</v>
      </c>
      <c r="AZ70" s="436" t="n">
        <v>0.219</v>
      </c>
      <c r="BA70" s="439" t="n">
        <v>0.209</v>
      </c>
      <c r="BB70" s="442" t="n">
        <v>0.205</v>
      </c>
      <c r="BC70" s="436" t="n">
        <v>0.219</v>
      </c>
      <c r="BD70" s="436" t="n">
        <v>0.203</v>
      </c>
      <c r="BE70" s="436" t="n">
        <v>0.206</v>
      </c>
      <c r="BF70" s="439" t="n">
        <v>0.204</v>
      </c>
      <c r="BG70" s="442" t="n">
        <v>0.175</v>
      </c>
      <c r="BH70" s="436" t="n">
        <v>0.21</v>
      </c>
      <c r="BI70" s="436" t="n">
        <v>0.214</v>
      </c>
      <c r="BJ70" s="436" t="n">
        <v>0.21</v>
      </c>
      <c r="BK70" s="439" t="n">
        <v>0.213</v>
      </c>
      <c r="BL70" s="442" t="n">
        <v>0.205</v>
      </c>
      <c r="BM70" s="436" t="n">
        <v>0.216</v>
      </c>
      <c r="BN70" s="436" t="n">
        <v>0.218</v>
      </c>
      <c r="BO70" s="436" t="n">
        <v>0.215</v>
      </c>
      <c r="BP70" s="439" t="n">
        <v>0.208</v>
      </c>
      <c r="BQ70" s="442" t="n">
        <v>0.222</v>
      </c>
      <c r="BR70" s="436" t="n">
        <v>0.223</v>
      </c>
      <c r="BS70" s="436" t="n">
        <v>0.19</v>
      </c>
      <c r="BT70" s="439" t="inlineStr">
        <is>
          <t>RF</t>
        </is>
      </c>
      <c r="BU70" s="454">
        <f>IFERROR(AVERAGE(D70:BT72),0)</f>
        <v/>
      </c>
      <c r="BV70" s="454">
        <f>MIN(D70:BT72)</f>
        <v/>
      </c>
      <c r="BW70" s="238" t="n"/>
      <c r="BX70" s="238" t="n"/>
      <c r="BY70" s="238" t="n"/>
      <c r="BZ70" s="238" t="n"/>
      <c r="CA70" s="238" t="n"/>
      <c r="CB70" s="238" t="n"/>
      <c r="CC70" s="238" t="n"/>
      <c r="CD70" s="238" t="n"/>
      <c r="CE70" s="238" t="n"/>
      <c r="CF70" s="238" t="n"/>
      <c r="CG70" s="238" t="n"/>
      <c r="CH70" s="238" t="n"/>
      <c r="CI70" s="238" t="n"/>
      <c r="CJ70" s="238" t="n"/>
      <c r="CK70" s="238" t="n"/>
      <c r="CL70" s="238" t="n"/>
      <c r="CM70" s="238" t="n"/>
      <c r="CN70" s="238" t="n"/>
      <c r="CO70" s="238" t="n"/>
      <c r="CP70" s="238" t="n"/>
      <c r="CQ70" s="238" t="n"/>
      <c r="CR70" s="238" t="n"/>
      <c r="CS70" s="238" t="n"/>
      <c r="CT70" s="238" t="n"/>
      <c r="CU70" s="238" t="n"/>
      <c r="CV70" s="238" t="n"/>
      <c r="CW70" s="238" t="n"/>
      <c r="CX70" s="238" t="n"/>
      <c r="CY70" s="238" t="n"/>
      <c r="CZ70" s="238" t="n"/>
      <c r="DA70" s="238" t="n"/>
      <c r="DB70" s="238" t="n"/>
      <c r="DC70" s="238" t="n"/>
      <c r="DD70" s="238" t="n"/>
      <c r="DE70" s="238" t="n"/>
      <c r="DF70" s="238" t="n"/>
      <c r="DG70" s="238" t="n"/>
      <c r="DH70" s="238" t="n"/>
      <c r="DI70" s="238" t="n"/>
      <c r="DJ70" s="238" t="n"/>
      <c r="DK70" s="238" t="n"/>
      <c r="DL70" s="238" t="n"/>
      <c r="DM70" s="238" t="n"/>
      <c r="DN70" s="238" t="n"/>
      <c r="DO70" s="238" t="n"/>
      <c r="DP70" s="238" t="n"/>
      <c r="DQ70" s="238" t="n"/>
      <c r="DR70" s="238" t="n"/>
      <c r="DS70" s="238" t="n"/>
      <c r="DT70" s="238" t="n"/>
      <c r="DU70" s="238" t="n"/>
      <c r="DV70" s="238" t="n"/>
      <c r="DW70" s="238" t="n"/>
      <c r="DX70" s="238" t="n"/>
      <c r="DY70" s="238" t="n"/>
      <c r="DZ70" s="23" t="n"/>
      <c r="FQ70" s="212" t="n"/>
      <c r="FR70" s="212" t="n"/>
      <c r="FS70" s="212" t="n"/>
      <c r="FT70" s="212" t="n"/>
      <c r="FU70" s="212" t="n"/>
      <c r="FV70" s="212" t="n"/>
      <c r="FW70" s="212" t="n"/>
      <c r="FX70" s="212" t="n"/>
      <c r="FY70" s="212" t="n"/>
      <c r="FZ70" s="212" t="n"/>
    </row>
    <row r="71" ht="39.95" customFormat="1" customHeight="1" s="5">
      <c r="A71" s="182" t="n">
        <v>0.083</v>
      </c>
      <c r="B71" s="7" t="inlineStr">
        <is>
          <t>-9 IN</t>
        </is>
      </c>
      <c r="C71" s="11" t="inlineStr">
        <is>
          <t>C</t>
        </is>
      </c>
      <c r="D71" s="434" t="inlineStr">
        <is>
          <t>RF</t>
        </is>
      </c>
      <c r="E71" s="437" t="n">
        <v>0.221</v>
      </c>
      <c r="F71" s="437" t="n">
        <v>0.227</v>
      </c>
      <c r="G71" s="437" t="n">
        <v>0.213</v>
      </c>
      <c r="H71" s="440" t="n">
        <v>0.218</v>
      </c>
      <c r="I71" s="443" t="n">
        <v>0.261</v>
      </c>
      <c r="J71" s="437" t="n">
        <v>0.269</v>
      </c>
      <c r="K71" s="437" t="n">
        <v>0.276</v>
      </c>
      <c r="L71" s="437" t="n">
        <v>0.271</v>
      </c>
      <c r="M71" s="440" t="n">
        <v>0.266</v>
      </c>
      <c r="N71" s="443" t="n">
        <v>0.261</v>
      </c>
      <c r="O71" s="437" t="n">
        <v>0.254</v>
      </c>
      <c r="P71" s="437" t="n">
        <v>0.215</v>
      </c>
      <c r="Q71" s="437" t="n">
        <v>0.221</v>
      </c>
      <c r="R71" s="440" t="n">
        <v>0.232</v>
      </c>
      <c r="S71" s="443" t="n">
        <v>0.228</v>
      </c>
      <c r="T71" s="437" t="n">
        <v>0.208</v>
      </c>
      <c r="U71" s="437" t="n">
        <v>0.215</v>
      </c>
      <c r="V71" s="437" t="n">
        <v>0.198</v>
      </c>
      <c r="W71" s="440" t="n">
        <v>0.203</v>
      </c>
      <c r="X71" s="443" t="n">
        <v>0.221</v>
      </c>
      <c r="Y71" s="437" t="n">
        <v>0.205</v>
      </c>
      <c r="Z71" s="437" t="n">
        <v>0.208</v>
      </c>
      <c r="AA71" s="437" t="n">
        <v>0.212</v>
      </c>
      <c r="AB71" s="440" t="n">
        <v>0.223</v>
      </c>
      <c r="AC71" s="443" t="n">
        <v>0.207</v>
      </c>
      <c r="AD71" s="437" t="n">
        <v>0.206</v>
      </c>
      <c r="AE71" s="437" t="n">
        <v>0.21</v>
      </c>
      <c r="AF71" s="437" t="n">
        <v>0.23</v>
      </c>
      <c r="AG71" s="440" t="n">
        <v>0.21</v>
      </c>
      <c r="AH71" s="443" t="n">
        <v>0.201</v>
      </c>
      <c r="AI71" s="437" t="n">
        <v>0.19</v>
      </c>
      <c r="AJ71" s="437" t="n">
        <v>0.197</v>
      </c>
      <c r="AK71" s="437" t="n">
        <v>0.205</v>
      </c>
      <c r="AL71" s="440" t="n">
        <v>0.217</v>
      </c>
      <c r="AM71" s="443" t="n">
        <v>0.21</v>
      </c>
      <c r="AN71" s="437" t="n">
        <v>0.214</v>
      </c>
      <c r="AO71" s="437" t="n">
        <v>0.189</v>
      </c>
      <c r="AP71" s="437" t="n">
        <v>0.248</v>
      </c>
      <c r="AQ71" s="440" t="n">
        <v>0.194</v>
      </c>
      <c r="AR71" s="443" t="n">
        <v>0.206</v>
      </c>
      <c r="AS71" s="437" t="n">
        <v>0.197</v>
      </c>
      <c r="AT71" s="437" t="n">
        <v>0.222</v>
      </c>
      <c r="AU71" s="437" t="n">
        <v>0.196</v>
      </c>
      <c r="AV71" s="440" t="n">
        <v>0.202</v>
      </c>
      <c r="AW71" s="443" t="n">
        <v>0.196</v>
      </c>
      <c r="AX71" s="437" t="n">
        <v>0.21</v>
      </c>
      <c r="AY71" s="437" t="n">
        <v>0.202</v>
      </c>
      <c r="AZ71" s="437" t="n">
        <v>0.214</v>
      </c>
      <c r="BA71" s="440" t="n">
        <v>0.194</v>
      </c>
      <c r="BB71" s="443" t="n">
        <v>0.207</v>
      </c>
      <c r="BC71" s="437" t="n">
        <v>0.202</v>
      </c>
      <c r="BD71" s="437" t="n">
        <v>0.207</v>
      </c>
      <c r="BE71" s="437" t="n">
        <v>0.192</v>
      </c>
      <c r="BF71" s="440" t="n">
        <v>0.192</v>
      </c>
      <c r="BG71" s="443" t="n">
        <v>0.205</v>
      </c>
      <c r="BH71" s="437" t="n">
        <v>0.196</v>
      </c>
      <c r="BI71" s="437" t="n">
        <v>0.215</v>
      </c>
      <c r="BJ71" s="437" t="n">
        <v>0.2</v>
      </c>
      <c r="BK71" s="440" t="n">
        <v>0.222</v>
      </c>
      <c r="BL71" s="443" t="n">
        <v>0.215</v>
      </c>
      <c r="BM71" s="437" t="n">
        <v>0.221</v>
      </c>
      <c r="BN71" s="437" t="n">
        <v>0.218</v>
      </c>
      <c r="BO71" s="437" t="n">
        <v>0.208</v>
      </c>
      <c r="BP71" s="440" t="n">
        <v>0.213</v>
      </c>
      <c r="BQ71" s="443" t="n">
        <v>0.222</v>
      </c>
      <c r="BR71" s="437" t="n">
        <v>0.223</v>
      </c>
      <c r="BS71" s="437" t="n">
        <v>0.186</v>
      </c>
      <c r="BT71" s="440" t="n">
        <v>0.222</v>
      </c>
      <c r="BU71" s="455" t="n"/>
      <c r="BV71" s="455" t="n"/>
      <c r="BW71" s="238" t="n"/>
      <c r="BX71" s="238" t="n"/>
      <c r="BY71" s="238" t="n"/>
      <c r="BZ71" s="238" t="n"/>
      <c r="CA71" s="238" t="n"/>
      <c r="CB71" s="238" t="n"/>
      <c r="CC71" s="238" t="n"/>
      <c r="CD71" s="238" t="n"/>
      <c r="CE71" s="238" t="n"/>
      <c r="CF71" s="238" t="n"/>
      <c r="CG71" s="238" t="n"/>
      <c r="CH71" s="238" t="n"/>
      <c r="CI71" s="238" t="n"/>
      <c r="CJ71" s="238" t="n"/>
      <c r="CK71" s="238" t="n"/>
      <c r="CL71" s="238" t="n"/>
      <c r="CM71" s="238" t="n"/>
      <c r="CN71" s="238" t="n"/>
      <c r="CO71" s="238" t="n"/>
      <c r="CP71" s="238" t="n"/>
      <c r="CQ71" s="238" t="n"/>
      <c r="CR71" s="238" t="n"/>
      <c r="CS71" s="238" t="n"/>
      <c r="CT71" s="238" t="n"/>
      <c r="CU71" s="238" t="n"/>
      <c r="CV71" s="238" t="n"/>
      <c r="CW71" s="238" t="n"/>
      <c r="CX71" s="238" t="n"/>
      <c r="CY71" s="238" t="n"/>
      <c r="CZ71" s="238" t="n"/>
      <c r="DA71" s="238" t="n"/>
      <c r="DB71" s="238" t="n"/>
      <c r="DC71" s="238" t="n"/>
      <c r="DD71" s="238" t="n"/>
      <c r="DE71" s="238" t="n"/>
      <c r="DF71" s="238" t="n"/>
      <c r="DG71" s="238" t="n"/>
      <c r="DH71" s="238" t="n"/>
      <c r="DI71" s="238" t="n"/>
      <c r="DJ71" s="238" t="n"/>
      <c r="DK71" s="238" t="n"/>
      <c r="DL71" s="238" t="n"/>
      <c r="DM71" s="238" t="n"/>
      <c r="DN71" s="238" t="n"/>
      <c r="DO71" s="238" t="n"/>
      <c r="DP71" s="238" t="n"/>
      <c r="DQ71" s="238" t="n"/>
      <c r="DR71" s="238" t="n"/>
      <c r="DS71" s="238" t="n"/>
      <c r="DT71" s="238" t="n"/>
      <c r="DU71" s="238" t="n"/>
      <c r="DV71" s="238" t="n"/>
      <c r="DW71" s="238" t="n"/>
      <c r="DX71" s="238" t="n"/>
      <c r="DY71" s="238" t="n"/>
      <c r="DZ71" s="23" t="n"/>
      <c r="FQ71" s="212" t="n"/>
      <c r="FR71" s="212" t="n"/>
      <c r="FS71" s="212" t="n"/>
      <c r="FT71" s="212" t="n"/>
      <c r="FU71" s="212" t="n"/>
      <c r="FV71" s="212" t="n"/>
      <c r="FW71" s="212" t="n"/>
      <c r="FX71" s="212" t="n"/>
      <c r="FY71" s="212" t="n"/>
      <c r="FZ71" s="212" t="n"/>
    </row>
    <row r="72" ht="39.95" customFormat="1" customHeight="1" s="5">
      <c r="A72" s="456" t="n"/>
      <c r="B72" s="8" t="n"/>
      <c r="C72" s="12" t="inlineStr">
        <is>
          <t>R</t>
        </is>
      </c>
      <c r="D72" s="435" t="inlineStr">
        <is>
          <t>RF</t>
        </is>
      </c>
      <c r="E72" s="438" t="n">
        <v>0.222</v>
      </c>
      <c r="F72" s="438" t="n">
        <v>0.227</v>
      </c>
      <c r="G72" s="438" t="n">
        <v>0.207</v>
      </c>
      <c r="H72" s="441" t="n">
        <v>0.212</v>
      </c>
      <c r="I72" s="444" t="n">
        <v>0.262</v>
      </c>
      <c r="J72" s="438" t="n">
        <v>0.263</v>
      </c>
      <c r="K72" s="438" t="n">
        <v>0.275</v>
      </c>
      <c r="L72" s="438" t="n">
        <v>0.259</v>
      </c>
      <c r="M72" s="441" t="n">
        <v>0.267</v>
      </c>
      <c r="N72" s="444" t="n">
        <v>0.251</v>
      </c>
      <c r="O72" s="438" t="n">
        <v>0.218</v>
      </c>
      <c r="P72" s="438" t="n">
        <v>0.221</v>
      </c>
      <c r="Q72" s="438" t="n">
        <v>0.221</v>
      </c>
      <c r="R72" s="441" t="n">
        <v>0.219</v>
      </c>
      <c r="S72" s="444" t="n">
        <v>0.217</v>
      </c>
      <c r="T72" s="438" t="n">
        <v>0.219</v>
      </c>
      <c r="U72" s="438" t="n">
        <v>0.221</v>
      </c>
      <c r="V72" s="438" t="n">
        <v>0.204</v>
      </c>
      <c r="W72" s="441" t="n">
        <v>0.194</v>
      </c>
      <c r="X72" s="444" t="n">
        <v>0.214</v>
      </c>
      <c r="Y72" s="438" t="n">
        <v>0.239</v>
      </c>
      <c r="Z72" s="438" t="n">
        <v>0.211</v>
      </c>
      <c r="AA72" s="438" t="n">
        <v>0.213</v>
      </c>
      <c r="AB72" s="441" t="n">
        <v>0.221</v>
      </c>
      <c r="AC72" s="444" t="n">
        <v>0.215</v>
      </c>
      <c r="AD72" s="438" t="n">
        <v>0.214</v>
      </c>
      <c r="AE72" s="438" t="n">
        <v>0.211</v>
      </c>
      <c r="AF72" s="438" t="n">
        <v>0.211</v>
      </c>
      <c r="AG72" s="441" t="n">
        <v>0.227</v>
      </c>
      <c r="AH72" s="444" t="n">
        <v>0.208</v>
      </c>
      <c r="AI72" s="438" t="n">
        <v>0.197</v>
      </c>
      <c r="AJ72" s="438" t="n">
        <v>0.232</v>
      </c>
      <c r="AK72" s="438" t="n">
        <v>0.236</v>
      </c>
      <c r="AL72" s="441" t="n">
        <v>0.217</v>
      </c>
      <c r="AM72" s="444" t="n">
        <v>0.216</v>
      </c>
      <c r="AN72" s="438" t="n">
        <v>0.196</v>
      </c>
      <c r="AO72" s="438" t="n">
        <v>0.207</v>
      </c>
      <c r="AP72" s="438" t="n">
        <v>0.217</v>
      </c>
      <c r="AQ72" s="441" t="n">
        <v>0.227</v>
      </c>
      <c r="AR72" s="444" t="n">
        <v>0.204</v>
      </c>
      <c r="AS72" s="438" t="n">
        <v>0.224</v>
      </c>
      <c r="AT72" s="438" t="n">
        <v>0.217</v>
      </c>
      <c r="AU72" s="438" t="n">
        <v>0.198</v>
      </c>
      <c r="AV72" s="441" t="n">
        <v>0.194</v>
      </c>
      <c r="AW72" s="444" t="n">
        <v>0.194</v>
      </c>
      <c r="AX72" s="438" t="n">
        <v>0.216</v>
      </c>
      <c r="AY72" s="438" t="n">
        <v>0.204</v>
      </c>
      <c r="AZ72" s="438" t="n">
        <v>0.215</v>
      </c>
      <c r="BA72" s="441" t="n">
        <v>0.202</v>
      </c>
      <c r="BB72" s="444" t="n">
        <v>0.199</v>
      </c>
      <c r="BC72" s="438" t="n">
        <v>0.203</v>
      </c>
      <c r="BD72" s="438" t="n">
        <v>0.196</v>
      </c>
      <c r="BE72" s="438" t="n">
        <v>0.185</v>
      </c>
      <c r="BF72" s="441" t="n">
        <v>0.181</v>
      </c>
      <c r="BG72" s="444" t="n">
        <v>0.211</v>
      </c>
      <c r="BH72" s="438" t="n">
        <v>0.193</v>
      </c>
      <c r="BI72" s="438" t="n">
        <v>0.211</v>
      </c>
      <c r="BJ72" s="438" t="n">
        <v>0.211</v>
      </c>
      <c r="BK72" s="441" t="n">
        <v>0.223</v>
      </c>
      <c r="BL72" s="444" t="n">
        <v>0.218</v>
      </c>
      <c r="BM72" s="438" t="n">
        <v>0.221</v>
      </c>
      <c r="BN72" s="438" t="n">
        <v>0.233</v>
      </c>
      <c r="BO72" s="438" t="inlineStr">
        <is>
          <t>RF</t>
        </is>
      </c>
      <c r="BP72" s="441" t="inlineStr">
        <is>
          <t>RF</t>
        </is>
      </c>
      <c r="BQ72" s="444" t="n">
        <v>0.227</v>
      </c>
      <c r="BR72" s="438" t="n">
        <v>0.219</v>
      </c>
      <c r="BS72" s="438" t="inlineStr">
        <is>
          <t>RF</t>
        </is>
      </c>
      <c r="BT72" s="441" t="n">
        <v>0.223</v>
      </c>
      <c r="BU72" s="457" t="n"/>
      <c r="BV72" s="457" t="n"/>
      <c r="BW72" s="238" t="n"/>
      <c r="BX72" s="238" t="n"/>
      <c r="BY72" s="238" t="n"/>
      <c r="BZ72" s="238" t="n"/>
      <c r="CA72" s="238" t="n"/>
      <c r="CB72" s="238" t="n"/>
      <c r="CC72" s="238" t="n"/>
      <c r="CD72" s="238" t="n"/>
      <c r="CE72" s="238" t="n"/>
      <c r="CF72" s="238" t="n"/>
      <c r="CG72" s="238" t="n"/>
      <c r="CH72" s="238" t="n"/>
      <c r="CI72" s="238" t="n"/>
      <c r="CJ72" s="238" t="n"/>
      <c r="CK72" s="238" t="n"/>
      <c r="CL72" s="238" t="n"/>
      <c r="CM72" s="238" t="n"/>
      <c r="CN72" s="238" t="n"/>
      <c r="CO72" s="238" t="n"/>
      <c r="CP72" s="238" t="n"/>
      <c r="CQ72" s="238" t="n"/>
      <c r="CR72" s="238" t="n"/>
      <c r="CS72" s="238" t="n"/>
      <c r="CT72" s="238" t="n"/>
      <c r="CU72" s="238" t="n"/>
      <c r="CV72" s="238" t="n"/>
      <c r="CW72" s="238" t="n"/>
      <c r="CX72" s="238" t="n"/>
      <c r="CY72" s="238" t="n"/>
      <c r="CZ72" s="238" t="n"/>
      <c r="DA72" s="238" t="n"/>
      <c r="DB72" s="238" t="n"/>
      <c r="DC72" s="238" t="n"/>
      <c r="DD72" s="238" t="n"/>
      <c r="DE72" s="238" t="n"/>
      <c r="DF72" s="238" t="n"/>
      <c r="DG72" s="238" t="n"/>
      <c r="DH72" s="238" t="n"/>
      <c r="DI72" s="238" t="n"/>
      <c r="DJ72" s="238" t="n"/>
      <c r="DK72" s="238" t="n"/>
      <c r="DL72" s="238" t="n"/>
      <c r="DM72" s="238" t="n"/>
      <c r="DN72" s="238" t="n"/>
      <c r="DO72" s="238" t="n"/>
      <c r="DP72" s="238" t="n"/>
      <c r="DQ72" s="238" t="n"/>
      <c r="DR72" s="238" t="n"/>
      <c r="DS72" s="238" t="n"/>
      <c r="DT72" s="238" t="n"/>
      <c r="DU72" s="238" t="n"/>
      <c r="DV72" s="238" t="n"/>
      <c r="DW72" s="238" t="n"/>
      <c r="DX72" s="238" t="n"/>
      <c r="DY72" s="238" t="n"/>
      <c r="DZ72" s="23" t="n"/>
      <c r="FQ72" s="212" t="n"/>
      <c r="FR72" s="212" t="n"/>
      <c r="FS72" s="212" t="n"/>
      <c r="FT72" s="212" t="n"/>
      <c r="FU72" s="212" t="n"/>
      <c r="FV72" s="212" t="n"/>
      <c r="FW72" s="212" t="n"/>
      <c r="FX72" s="212" t="n"/>
      <c r="FY72" s="212" t="n"/>
      <c r="FZ72" s="212" t="n"/>
    </row>
    <row r="73" ht="39.95" customFormat="1" customHeight="1" s="5">
      <c r="A73" s="10" t="inlineStr">
        <is>
          <t>A</t>
        </is>
      </c>
      <c r="B73" s="6" t="inlineStr">
        <is>
          <t>POSITION 'C'</t>
        </is>
      </c>
      <c r="C73" s="11" t="inlineStr">
        <is>
          <t>L</t>
        </is>
      </c>
      <c r="D73" s="433" t="inlineStr"/>
      <c r="E73" s="436" t="n">
        <v>0.228</v>
      </c>
      <c r="F73" s="436" t="n">
        <v>0.228</v>
      </c>
      <c r="G73" s="436" t="n">
        <v>0.229</v>
      </c>
      <c r="H73" s="439" t="n">
        <v>0.216</v>
      </c>
      <c r="I73" s="442" t="n">
        <v>0.224</v>
      </c>
      <c r="J73" s="436" t="n">
        <v>0.254</v>
      </c>
      <c r="K73" s="436" t="inlineStr"/>
      <c r="L73" s="436" t="inlineStr"/>
      <c r="M73" s="439" t="inlineStr"/>
      <c r="N73" s="442" t="n">
        <v>0.255</v>
      </c>
      <c r="O73" s="436" t="n">
        <v>0.236</v>
      </c>
      <c r="P73" s="436" t="n">
        <v>0.214</v>
      </c>
      <c r="Q73" s="436" t="n">
        <v>0.242</v>
      </c>
      <c r="R73" s="439" t="n">
        <v>0.22</v>
      </c>
      <c r="S73" s="442" t="n">
        <v>0.221</v>
      </c>
      <c r="T73" s="436" t="inlineStr"/>
      <c r="U73" s="436" t="inlineStr"/>
      <c r="V73" s="436" t="n">
        <v>0.23</v>
      </c>
      <c r="W73" s="439" t="n">
        <v>0.206</v>
      </c>
      <c r="X73" s="442" t="n">
        <v>0.206</v>
      </c>
      <c r="Y73" s="436" t="n">
        <v>0.216</v>
      </c>
      <c r="Z73" s="436" t="n">
        <v>0.213</v>
      </c>
      <c r="AA73" s="436" t="n">
        <v>0.207</v>
      </c>
      <c r="AB73" s="439" t="inlineStr"/>
      <c r="AC73" s="442" t="inlineStr"/>
      <c r="AD73" s="436" t="inlineStr"/>
      <c r="AE73" s="436" t="inlineStr"/>
      <c r="AF73" s="436" t="inlineStr"/>
      <c r="AG73" s="439" t="inlineStr"/>
      <c r="AH73" s="442" t="inlineStr"/>
      <c r="AI73" s="436" t="n">
        <v>0.205</v>
      </c>
      <c r="AJ73" s="436" t="n">
        <v>0.209</v>
      </c>
      <c r="AK73" s="436" t="n">
        <v>0.206</v>
      </c>
      <c r="AL73" s="439" t="n">
        <v>0.214</v>
      </c>
      <c r="AM73" s="442" t="inlineStr"/>
      <c r="AN73" s="436" t="n">
        <v>0.199</v>
      </c>
      <c r="AO73" s="436" t="n">
        <v>0.201</v>
      </c>
      <c r="AP73" s="436" t="n">
        <v>0.198</v>
      </c>
      <c r="AQ73" s="439" t="n">
        <v>0.217</v>
      </c>
      <c r="AR73" s="442" t="n">
        <v>0.202</v>
      </c>
      <c r="AS73" s="436" t="n">
        <v>0.206</v>
      </c>
      <c r="AT73" s="436" t="inlineStr"/>
      <c r="AU73" s="436" t="inlineStr"/>
      <c r="AV73" s="439" t="n">
        <v>0.205</v>
      </c>
      <c r="AW73" s="442" t="n">
        <v>0.198</v>
      </c>
      <c r="AX73" s="436" t="n">
        <v>0.203</v>
      </c>
      <c r="AY73" s="436" t="n">
        <v>0.207</v>
      </c>
      <c r="AZ73" s="436" t="n">
        <v>0.213</v>
      </c>
      <c r="BA73" s="439" t="n">
        <v>0.207</v>
      </c>
      <c r="BB73" s="442" t="inlineStr"/>
      <c r="BC73" s="436" t="inlineStr"/>
      <c r="BD73" s="436" t="inlineStr"/>
      <c r="BE73" s="436" t="n">
        <v>0.18</v>
      </c>
      <c r="BF73" s="439" t="n">
        <v>0.2</v>
      </c>
      <c r="BG73" s="442" t="n">
        <v>0.204</v>
      </c>
      <c r="BH73" s="436" t="n">
        <v>0.218</v>
      </c>
      <c r="BI73" s="436" t="n">
        <v>0.221</v>
      </c>
      <c r="BJ73" s="436" t="n">
        <v>0.213</v>
      </c>
      <c r="BK73" s="439" t="inlineStr"/>
      <c r="BL73" s="442" t="inlineStr"/>
      <c r="BM73" s="436" t="n">
        <v>0.209</v>
      </c>
      <c r="BN73" s="436" t="n">
        <v>0.235</v>
      </c>
      <c r="BO73" s="436" t="n">
        <v>0.217</v>
      </c>
      <c r="BP73" s="439" t="n">
        <v>0.206</v>
      </c>
      <c r="BQ73" s="442" t="n">
        <v>0.218</v>
      </c>
      <c r="BR73" s="436" t="n">
        <v>0.222</v>
      </c>
      <c r="BS73" s="436" t="inlineStr"/>
      <c r="BT73" s="439" t="inlineStr"/>
      <c r="BU73" s="454">
        <f>IFERROR(AVERAGE(D73:BT75),0)</f>
        <v/>
      </c>
      <c r="BV73" s="454">
        <f>MIN(D73:BT75)</f>
        <v/>
      </c>
      <c r="BW73" s="238" t="n"/>
      <c r="BX73" s="238" t="n"/>
      <c r="BY73" s="238" t="n"/>
      <c r="BZ73" s="238" t="n"/>
      <c r="CA73" s="238" t="n"/>
      <c r="CB73" s="238" t="n"/>
      <c r="CC73" s="238" t="n"/>
      <c r="CD73" s="238" t="n"/>
      <c r="CE73" s="238" t="n"/>
      <c r="CF73" s="238" t="n"/>
      <c r="CG73" s="238" t="n"/>
      <c r="CH73" s="238" t="n"/>
      <c r="CI73" s="238" t="n"/>
      <c r="CJ73" s="238" t="n"/>
      <c r="CK73" s="238" t="n"/>
      <c r="CL73" s="238" t="n"/>
      <c r="CM73" s="238" t="n"/>
      <c r="CN73" s="238" t="n"/>
      <c r="CO73" s="238" t="n"/>
      <c r="CP73" s="238" t="n"/>
      <c r="CQ73" s="238" t="n"/>
      <c r="CR73" s="238" t="n"/>
      <c r="CS73" s="238" t="n"/>
      <c r="CT73" s="238" t="n"/>
      <c r="CU73" s="238" t="n"/>
      <c r="CV73" s="238" t="n"/>
      <c r="CW73" s="238" t="n"/>
      <c r="CX73" s="238" t="n"/>
      <c r="CY73" s="238" t="n"/>
      <c r="CZ73" s="238" t="n"/>
      <c r="DA73" s="238" t="n"/>
      <c r="DB73" s="238" t="n"/>
      <c r="DC73" s="238" t="n"/>
      <c r="DD73" s="238" t="n"/>
      <c r="DE73" s="238" t="n"/>
      <c r="DF73" s="238" t="n"/>
      <c r="DG73" s="238" t="n"/>
      <c r="DH73" s="238" t="n"/>
      <c r="DI73" s="238" t="n"/>
      <c r="DJ73" s="238" t="n"/>
      <c r="DK73" s="238" t="n"/>
      <c r="DL73" s="238" t="n"/>
      <c r="DM73" s="238" t="n"/>
      <c r="DN73" s="238" t="n"/>
      <c r="DO73" s="238" t="n"/>
      <c r="DP73" s="238" t="n"/>
      <c r="DQ73" s="238" t="n"/>
      <c r="DR73" s="238" t="n"/>
      <c r="DS73" s="238" t="n"/>
      <c r="DT73" s="238" t="n"/>
      <c r="DU73" s="238" t="n"/>
      <c r="DV73" s="238" t="n"/>
      <c r="DW73" s="238" t="n"/>
      <c r="DX73" s="238" t="n"/>
      <c r="DY73" s="238" t="n"/>
      <c r="DZ73" s="23" t="n"/>
      <c r="FQ73" s="212" t="n"/>
      <c r="FR73" s="212" t="n"/>
      <c r="FS73" s="212" t="n"/>
      <c r="FT73" s="212" t="n"/>
      <c r="FU73" s="212" t="n"/>
      <c r="FV73" s="212" t="n"/>
      <c r="FW73" s="212" t="n"/>
      <c r="FX73" s="212" t="n"/>
      <c r="FY73" s="212" t="n"/>
      <c r="FZ73" s="212" t="n"/>
    </row>
    <row r="74" ht="39.95" customFormat="1" customHeight="1" s="5">
      <c r="A74" s="182" t="n">
        <v>0.083</v>
      </c>
      <c r="B74" s="7" t="inlineStr">
        <is>
          <t xml:space="preserve">OF THE </t>
        </is>
      </c>
      <c r="C74" s="11" t="inlineStr">
        <is>
          <t>C</t>
        </is>
      </c>
      <c r="D74" s="434" t="inlineStr"/>
      <c r="E74" s="437" t="n">
        <v>0.211</v>
      </c>
      <c r="F74" s="437" t="n">
        <v>0.217</v>
      </c>
      <c r="G74" s="437" t="n">
        <v>0.216</v>
      </c>
      <c r="H74" s="440" t="n">
        <v>0.205</v>
      </c>
      <c r="I74" s="443" t="n">
        <v>0.23</v>
      </c>
      <c r="J74" s="437" t="n">
        <v>0.249</v>
      </c>
      <c r="K74" s="437" t="inlineStr"/>
      <c r="L74" s="437" t="inlineStr"/>
      <c r="M74" s="440" t="inlineStr"/>
      <c r="N74" s="443" t="n">
        <v>0.253</v>
      </c>
      <c r="O74" s="437" t="n">
        <v>0.224</v>
      </c>
      <c r="P74" s="437" t="n">
        <v>0.214</v>
      </c>
      <c r="Q74" s="437" t="n">
        <v>0.215</v>
      </c>
      <c r="R74" s="440" t="n">
        <v>0.215</v>
      </c>
      <c r="S74" s="443" t="n">
        <v>0.22</v>
      </c>
      <c r="T74" s="437" t="inlineStr"/>
      <c r="U74" s="437" t="inlineStr"/>
      <c r="V74" s="437" t="n">
        <v>0.213</v>
      </c>
      <c r="W74" s="440" t="n">
        <v>0.195</v>
      </c>
      <c r="X74" s="443" t="n">
        <v>0.211</v>
      </c>
      <c r="Y74" s="437" t="n">
        <v>0.222</v>
      </c>
      <c r="Z74" s="437" t="n">
        <v>0.21</v>
      </c>
      <c r="AA74" s="437" t="n">
        <v>0.205</v>
      </c>
      <c r="AB74" s="440" t="inlineStr"/>
      <c r="AC74" s="443" t="inlineStr"/>
      <c r="AD74" s="437" t="inlineStr"/>
      <c r="AE74" s="437" t="inlineStr"/>
      <c r="AF74" s="437" t="inlineStr"/>
      <c r="AG74" s="440" t="inlineStr"/>
      <c r="AH74" s="443" t="inlineStr"/>
      <c r="AI74" s="437" t="n">
        <v>0.217</v>
      </c>
      <c r="AJ74" s="437" t="n">
        <v>0.197</v>
      </c>
      <c r="AK74" s="437" t="n">
        <v>0.198</v>
      </c>
      <c r="AL74" s="440" t="n">
        <v>0.207</v>
      </c>
      <c r="AM74" s="443" t="inlineStr"/>
      <c r="AN74" s="437" t="n">
        <v>0.203</v>
      </c>
      <c r="AO74" s="437" t="n">
        <v>0.193</v>
      </c>
      <c r="AP74" s="437" t="n">
        <v>0.218</v>
      </c>
      <c r="AQ74" s="440" t="n">
        <v>0.187</v>
      </c>
      <c r="AR74" s="443" t="n">
        <v>0.205</v>
      </c>
      <c r="AS74" s="437" t="n">
        <v>0.199</v>
      </c>
      <c r="AT74" s="437" t="inlineStr"/>
      <c r="AU74" s="437" t="inlineStr"/>
      <c r="AV74" s="440" t="n">
        <v>0.201</v>
      </c>
      <c r="AW74" s="443" t="n">
        <v>0.188</v>
      </c>
      <c r="AX74" s="437" t="n">
        <v>0.188</v>
      </c>
      <c r="AY74" s="437" t="n">
        <v>0.197</v>
      </c>
      <c r="AZ74" s="437" t="n">
        <v>0.202</v>
      </c>
      <c r="BA74" s="440" t="n">
        <v>0.2</v>
      </c>
      <c r="BB74" s="443" t="inlineStr"/>
      <c r="BC74" s="437" t="inlineStr"/>
      <c r="BD74" s="437" t="inlineStr"/>
      <c r="BE74" s="437" t="n">
        <v>0.194</v>
      </c>
      <c r="BF74" s="440" t="n">
        <v>0.199</v>
      </c>
      <c r="BG74" s="443" t="n">
        <v>0.214</v>
      </c>
      <c r="BH74" s="437" t="n">
        <v>0.201</v>
      </c>
      <c r="BI74" s="437" t="n">
        <v>0.207</v>
      </c>
      <c r="BJ74" s="437" t="n">
        <v>0.208</v>
      </c>
      <c r="BK74" s="440" t="inlineStr"/>
      <c r="BL74" s="443" t="inlineStr"/>
      <c r="BM74" s="437" t="n">
        <v>0.21</v>
      </c>
      <c r="BN74" s="437" t="n">
        <v>0.229</v>
      </c>
      <c r="BO74" s="437" t="n">
        <v>0.201</v>
      </c>
      <c r="BP74" s="440" t="n">
        <v>0.198</v>
      </c>
      <c r="BQ74" s="443" t="n">
        <v>0.216</v>
      </c>
      <c r="BR74" s="437" t="n">
        <v>0.212</v>
      </c>
      <c r="BS74" s="437" t="inlineStr"/>
      <c r="BT74" s="440" t="inlineStr"/>
      <c r="BU74" s="455" t="n"/>
      <c r="BV74" s="455" t="n"/>
      <c r="BW74" s="238" t="n"/>
      <c r="BX74" s="238" t="n"/>
      <c r="BY74" s="238" t="n"/>
      <c r="BZ74" s="238" t="n"/>
      <c r="CA74" s="238" t="n"/>
      <c r="CB74" s="238" t="n"/>
      <c r="CC74" s="238" t="n"/>
      <c r="CD74" s="238" t="n"/>
      <c r="CE74" s="238" t="n"/>
      <c r="CF74" s="238" t="n"/>
      <c r="CG74" s="238" t="n"/>
      <c r="CH74" s="238" t="n"/>
      <c r="CI74" s="238" t="n"/>
      <c r="CJ74" s="238" t="n"/>
      <c r="CK74" s="238" t="n"/>
      <c r="CL74" s="238" t="n"/>
      <c r="CM74" s="238" t="n"/>
      <c r="CN74" s="238" t="n"/>
      <c r="CO74" s="238" t="n"/>
      <c r="CP74" s="238" t="n"/>
      <c r="CQ74" s="238" t="n"/>
      <c r="CR74" s="238" t="n"/>
      <c r="CS74" s="238" t="n"/>
      <c r="CT74" s="238" t="n"/>
      <c r="CU74" s="238" t="n"/>
      <c r="CV74" s="238" t="n"/>
      <c r="CW74" s="238" t="n"/>
      <c r="CX74" s="238" t="n"/>
      <c r="CY74" s="238" t="n"/>
      <c r="CZ74" s="238" t="n"/>
      <c r="DA74" s="238" t="n"/>
      <c r="DB74" s="238" t="n"/>
      <c r="DC74" s="238" t="n"/>
      <c r="DD74" s="238" t="n"/>
      <c r="DE74" s="238" t="n"/>
      <c r="DF74" s="238" t="n"/>
      <c r="DG74" s="238" t="n"/>
      <c r="DH74" s="238" t="n"/>
      <c r="DI74" s="238" t="n"/>
      <c r="DJ74" s="238" t="n"/>
      <c r="DK74" s="238" t="n"/>
      <c r="DL74" s="238" t="n"/>
      <c r="DM74" s="238" t="n"/>
      <c r="DN74" s="238" t="n"/>
      <c r="DO74" s="238" t="n"/>
      <c r="DP74" s="238" t="n"/>
      <c r="DQ74" s="238" t="n"/>
      <c r="DR74" s="238" t="n"/>
      <c r="DS74" s="238" t="n"/>
      <c r="DT74" s="238" t="n"/>
      <c r="DU74" s="238" t="n"/>
      <c r="DV74" s="238" t="n"/>
      <c r="DW74" s="238" t="n"/>
      <c r="DX74" s="238" t="n"/>
      <c r="DY74" s="238" t="n"/>
      <c r="DZ74" s="23" t="n"/>
      <c r="FQ74" s="212" t="n"/>
      <c r="FR74" s="212" t="n"/>
      <c r="FS74" s="212" t="n"/>
      <c r="FT74" s="212" t="n"/>
      <c r="FU74" s="212" t="n"/>
      <c r="FV74" s="212" t="n"/>
      <c r="FW74" s="212" t="n"/>
      <c r="FX74" s="212" t="n"/>
      <c r="FY74" s="212" t="n"/>
      <c r="FZ74" s="212" t="n"/>
    </row>
    <row r="75" ht="39.95" customFormat="1" customHeight="1" s="5">
      <c r="A75" s="456" t="n"/>
      <c r="B75" s="8" t="inlineStr">
        <is>
          <t>SECONDARIES</t>
        </is>
      </c>
      <c r="C75" s="12" t="inlineStr">
        <is>
          <t>R</t>
        </is>
      </c>
      <c r="D75" s="435" t="inlineStr"/>
      <c r="E75" s="438" t="n">
        <v>0.209</v>
      </c>
      <c r="F75" s="438" t="n">
        <v>0.212</v>
      </c>
      <c r="G75" s="438" t="n">
        <v>0.221</v>
      </c>
      <c r="H75" s="441" t="n">
        <v>0.211</v>
      </c>
      <c r="I75" s="444" t="n">
        <v>0.202</v>
      </c>
      <c r="J75" s="438" t="n">
        <v>0.254</v>
      </c>
      <c r="K75" s="438" t="inlineStr"/>
      <c r="L75" s="438" t="inlineStr"/>
      <c r="M75" s="441" t="inlineStr"/>
      <c r="N75" s="444" t="n">
        <v>0.265</v>
      </c>
      <c r="O75" s="438" t="n">
        <v>0.218</v>
      </c>
      <c r="P75" s="438" t="n">
        <v>0.203</v>
      </c>
      <c r="Q75" s="438" t="n">
        <v>0.201</v>
      </c>
      <c r="R75" s="441" t="n">
        <v>0.216</v>
      </c>
      <c r="S75" s="444" t="n">
        <v>0.222</v>
      </c>
      <c r="T75" s="438" t="inlineStr"/>
      <c r="U75" s="438" t="inlineStr"/>
      <c r="V75" s="438" t="n">
        <v>0.211</v>
      </c>
      <c r="W75" s="441" t="n">
        <v>0.195</v>
      </c>
      <c r="X75" s="444" t="n">
        <v>0.195</v>
      </c>
      <c r="Y75" s="438" t="n">
        <v>0.211</v>
      </c>
      <c r="Z75" s="438" t="n">
        <v>0.206</v>
      </c>
      <c r="AA75" s="438" t="n">
        <v>0.202</v>
      </c>
      <c r="AB75" s="441" t="inlineStr"/>
      <c r="AC75" s="444" t="inlineStr"/>
      <c r="AD75" s="438" t="inlineStr"/>
      <c r="AE75" s="438" t="inlineStr"/>
      <c r="AF75" s="438" t="inlineStr"/>
      <c r="AG75" s="441" t="inlineStr"/>
      <c r="AH75" s="444" t="inlineStr"/>
      <c r="AI75" s="438" t="n">
        <v>0.208</v>
      </c>
      <c r="AJ75" s="438" t="n">
        <v>0.206</v>
      </c>
      <c r="AK75" s="438" t="n">
        <v>0.209</v>
      </c>
      <c r="AL75" s="441" t="n">
        <v>0.202</v>
      </c>
      <c r="AM75" s="444" t="inlineStr"/>
      <c r="AN75" s="438" t="n">
        <v>0.205</v>
      </c>
      <c r="AO75" s="438" t="n">
        <v>0.19</v>
      </c>
      <c r="AP75" s="438" t="n">
        <v>0.219</v>
      </c>
      <c r="AQ75" s="441" t="n">
        <v>0.206</v>
      </c>
      <c r="AR75" s="444" t="n">
        <v>0.203</v>
      </c>
      <c r="AS75" s="438" t="n">
        <v>0.214</v>
      </c>
      <c r="AT75" s="438" t="inlineStr"/>
      <c r="AU75" s="438" t="inlineStr"/>
      <c r="AV75" s="441" t="n">
        <v>0.199</v>
      </c>
      <c r="AW75" s="444" t="n">
        <v>0.198</v>
      </c>
      <c r="AX75" s="438" t="n">
        <v>0.212</v>
      </c>
      <c r="AY75" s="438" t="n">
        <v>0.205</v>
      </c>
      <c r="AZ75" s="438" t="n">
        <v>0.193</v>
      </c>
      <c r="BA75" s="441" t="n">
        <v>0.204</v>
      </c>
      <c r="BB75" s="444" t="inlineStr"/>
      <c r="BC75" s="438" t="inlineStr"/>
      <c r="BD75" s="438" t="inlineStr"/>
      <c r="BE75" s="438" t="n">
        <v>0.176</v>
      </c>
      <c r="BF75" s="441" t="n">
        <v>0.16</v>
      </c>
      <c r="BG75" s="444" t="n">
        <v>0.199</v>
      </c>
      <c r="BH75" s="438" t="n">
        <v>0.195</v>
      </c>
      <c r="BI75" s="438" t="n">
        <v>0.211</v>
      </c>
      <c r="BJ75" s="438" t="n">
        <v>0.21</v>
      </c>
      <c r="BK75" s="441" t="inlineStr"/>
      <c r="BL75" s="444" t="inlineStr"/>
      <c r="BM75" s="438" t="n">
        <v>0.213</v>
      </c>
      <c r="BN75" s="438" t="n">
        <v>0.226</v>
      </c>
      <c r="BO75" s="438" t="n">
        <v>0.209</v>
      </c>
      <c r="BP75" s="441" t="n">
        <v>0.209</v>
      </c>
      <c r="BQ75" s="444" t="n">
        <v>0.219</v>
      </c>
      <c r="BR75" s="438" t="n">
        <v>0.218</v>
      </c>
      <c r="BS75" s="438" t="inlineStr"/>
      <c r="BT75" s="441" t="inlineStr"/>
      <c r="BU75" s="457" t="n"/>
      <c r="BV75" s="457" t="n"/>
      <c r="BW75" s="238" t="n"/>
      <c r="BX75" s="238" t="n"/>
      <c r="BY75" s="238" t="n"/>
      <c r="BZ75" s="238" t="n"/>
      <c r="CA75" s="238" t="n"/>
      <c r="CB75" s="238" t="n"/>
      <c r="CC75" s="238" t="n"/>
      <c r="CD75" s="238" t="n"/>
      <c r="CE75" s="238" t="n"/>
      <c r="CF75" s="238" t="n"/>
      <c r="CG75" s="238" t="n"/>
      <c r="CH75" s="238" t="n"/>
      <c r="CI75" s="238" t="n"/>
      <c r="CJ75" s="238" t="n"/>
      <c r="CK75" s="238" t="n"/>
      <c r="CL75" s="238" t="n"/>
      <c r="CM75" s="238" t="n"/>
      <c r="CN75" s="238" t="n"/>
      <c r="CO75" s="238" t="n"/>
      <c r="CP75" s="238" t="n"/>
      <c r="CQ75" s="238" t="n"/>
      <c r="CR75" s="238" t="n"/>
      <c r="CS75" s="238" t="n"/>
      <c r="CT75" s="238" t="n"/>
      <c r="CU75" s="238" t="n"/>
      <c r="CV75" s="238" t="n"/>
      <c r="CW75" s="238" t="n"/>
      <c r="CX75" s="238" t="n"/>
      <c r="CY75" s="238" t="n"/>
      <c r="CZ75" s="238" t="n"/>
      <c r="DA75" s="238" t="n"/>
      <c r="DB75" s="238" t="n"/>
      <c r="DC75" s="238" t="n"/>
      <c r="DD75" s="238" t="n"/>
      <c r="DE75" s="238" t="n"/>
      <c r="DF75" s="238" t="n"/>
      <c r="DG75" s="238" t="n"/>
      <c r="DH75" s="238" t="n"/>
      <c r="DI75" s="238" t="n"/>
      <c r="DJ75" s="238" t="n"/>
      <c r="DK75" s="238" t="n"/>
      <c r="DL75" s="238" t="n"/>
      <c r="DM75" s="238" t="n"/>
      <c r="DN75" s="238" t="n"/>
      <c r="DO75" s="238" t="n"/>
      <c r="DP75" s="238" t="n"/>
      <c r="DQ75" s="238" t="n"/>
      <c r="DR75" s="238" t="n"/>
      <c r="DS75" s="238" t="n"/>
      <c r="DT75" s="238" t="n"/>
      <c r="DU75" s="238" t="n"/>
      <c r="DV75" s="238" t="n"/>
      <c r="DW75" s="238" t="n"/>
      <c r="DX75" s="238" t="n"/>
      <c r="DY75" s="238" t="n"/>
      <c r="DZ75" s="23" t="n"/>
      <c r="FQ75" s="212" t="n"/>
      <c r="FR75" s="212" t="n"/>
      <c r="FS75" s="212" t="n"/>
      <c r="FT75" s="212" t="n"/>
      <c r="FU75" s="212" t="n"/>
      <c r="FV75" s="212" t="n"/>
      <c r="FW75" s="212" t="n"/>
      <c r="FX75" s="212" t="n"/>
      <c r="FY75" s="212" t="n"/>
      <c r="FZ75" s="212" t="n"/>
    </row>
    <row r="76" ht="39.95" customFormat="1" customHeight="1" s="5">
      <c r="A76" s="10" t="inlineStr">
        <is>
          <t>A</t>
        </is>
      </c>
      <c r="B76" s="6" t="n"/>
      <c r="C76" s="11" t="inlineStr">
        <is>
          <t>L</t>
        </is>
      </c>
      <c r="D76" s="433" t="n">
        <v>0.214</v>
      </c>
      <c r="E76" s="436" t="n">
        <v>0.227</v>
      </c>
      <c r="F76" s="436" t="n">
        <v>0.232</v>
      </c>
      <c r="G76" s="436" t="n">
        <v>0.228</v>
      </c>
      <c r="H76" s="439" t="n">
        <v>0.24</v>
      </c>
      <c r="I76" s="442" t="n">
        <v>0.303</v>
      </c>
      <c r="J76" s="436" t="n">
        <v>0.274</v>
      </c>
      <c r="K76" s="436" t="n">
        <v>0.276</v>
      </c>
      <c r="L76" s="436" t="n">
        <v>0.264</v>
      </c>
      <c r="M76" s="439" t="n">
        <v>0.265</v>
      </c>
      <c r="N76" s="442" t="n">
        <v>0.255</v>
      </c>
      <c r="O76" s="436" t="n">
        <v>0.221</v>
      </c>
      <c r="P76" s="436" t="n">
        <v>0.234</v>
      </c>
      <c r="Q76" s="436" t="n">
        <v>0.23</v>
      </c>
      <c r="R76" s="439" t="n">
        <v>0.231</v>
      </c>
      <c r="S76" s="442" t="n">
        <v>0.212</v>
      </c>
      <c r="T76" s="436" t="n">
        <v>0.225</v>
      </c>
      <c r="U76" s="436" t="n">
        <v>0.208</v>
      </c>
      <c r="V76" s="436" t="n">
        <v>0.211</v>
      </c>
      <c r="W76" s="439" t="n">
        <v>0.209</v>
      </c>
      <c r="X76" s="442" t="n">
        <v>0.214</v>
      </c>
      <c r="Y76" s="436" t="n">
        <v>0.218</v>
      </c>
      <c r="Z76" s="436" t="n">
        <v>0.206</v>
      </c>
      <c r="AA76" s="436" t="n">
        <v>0.214</v>
      </c>
      <c r="AB76" s="439" t="n">
        <v>0.214</v>
      </c>
      <c r="AC76" s="442" t="n">
        <v>0.21</v>
      </c>
      <c r="AD76" s="436" t="n">
        <v>0.206</v>
      </c>
      <c r="AE76" s="436" t="n">
        <v>0.212</v>
      </c>
      <c r="AF76" s="436" t="n">
        <v>0.212</v>
      </c>
      <c r="AG76" s="439" t="n">
        <v>0.214</v>
      </c>
      <c r="AH76" s="442" t="n">
        <v>0.207</v>
      </c>
      <c r="AI76" s="436" t="n">
        <v>0.229</v>
      </c>
      <c r="AJ76" s="436" t="n">
        <v>0.208</v>
      </c>
      <c r="AK76" s="436" t="n">
        <v>0.204</v>
      </c>
      <c r="AL76" s="439" t="n">
        <v>0.206</v>
      </c>
      <c r="AM76" s="442" t="n">
        <v>0.198</v>
      </c>
      <c r="AN76" s="436" t="n">
        <v>0.205</v>
      </c>
      <c r="AO76" s="436" t="n">
        <v>0.209</v>
      </c>
      <c r="AP76" s="436" t="n">
        <v>0.203</v>
      </c>
      <c r="AQ76" s="439" t="n">
        <v>0.205</v>
      </c>
      <c r="AR76" s="442" t="n">
        <v>0.211</v>
      </c>
      <c r="AS76" s="436" t="n">
        <v>0.209</v>
      </c>
      <c r="AT76" s="436" t="n">
        <v>0.199</v>
      </c>
      <c r="AU76" s="436" t="n">
        <v>0.206</v>
      </c>
      <c r="AV76" s="439" t="n">
        <v>0.199</v>
      </c>
      <c r="AW76" s="442" t="n">
        <v>0.209</v>
      </c>
      <c r="AX76" s="436" t="n">
        <v>0.206</v>
      </c>
      <c r="AY76" s="436" t="n">
        <v>0.207</v>
      </c>
      <c r="AZ76" s="436" t="n">
        <v>0.208</v>
      </c>
      <c r="BA76" s="439" t="n">
        <v>0.213</v>
      </c>
      <c r="BB76" s="442" t="n">
        <v>0.207</v>
      </c>
      <c r="BC76" s="436" t="n">
        <v>0.212</v>
      </c>
      <c r="BD76" s="436" t="n">
        <v>0.216</v>
      </c>
      <c r="BE76" s="436" t="n">
        <v>0.212</v>
      </c>
      <c r="BF76" s="439" t="n">
        <v>0.212</v>
      </c>
      <c r="BG76" s="442" t="n">
        <v>0.222</v>
      </c>
      <c r="BH76" s="436" t="n">
        <v>0.219</v>
      </c>
      <c r="BI76" s="436" t="n">
        <v>0.212</v>
      </c>
      <c r="BJ76" s="436" t="n">
        <v>0.193</v>
      </c>
      <c r="BK76" s="439" t="n">
        <v>0.219</v>
      </c>
      <c r="BL76" s="442" t="n">
        <v>0.223</v>
      </c>
      <c r="BM76" s="436" t="n">
        <v>0.213</v>
      </c>
      <c r="BN76" s="436" t="n">
        <v>0.226</v>
      </c>
      <c r="BO76" s="436" t="n">
        <v>0.215</v>
      </c>
      <c r="BP76" s="439" t="n">
        <v>0.21</v>
      </c>
      <c r="BQ76" s="442" t="n">
        <v>0.219</v>
      </c>
      <c r="BR76" s="436" t="n">
        <v>0.234</v>
      </c>
      <c r="BS76" s="436" t="n">
        <v>0.215</v>
      </c>
      <c r="BT76" s="439" t="n">
        <v>0.218</v>
      </c>
      <c r="BU76" s="454">
        <f>IFERROR(AVERAGE(D76:BT78),0)</f>
        <v/>
      </c>
      <c r="BV76" s="454">
        <f>MIN(D76:BT78)</f>
        <v/>
      </c>
      <c r="BW76" s="238" t="n"/>
      <c r="BX76" s="238" t="n"/>
      <c r="BY76" s="238" t="n"/>
      <c r="BZ76" s="238" t="n"/>
      <c r="CA76" s="238" t="n"/>
      <c r="CB76" s="238" t="n"/>
      <c r="CC76" s="238" t="n"/>
      <c r="CD76" s="238" t="n"/>
      <c r="CE76" s="238" t="n"/>
      <c r="CF76" s="238" t="n"/>
      <c r="CG76" s="238" t="n"/>
      <c r="CH76" s="238" t="n"/>
      <c r="CI76" s="238" t="n"/>
      <c r="CJ76" s="238" t="n"/>
      <c r="CK76" s="238" t="n"/>
      <c r="CL76" s="238" t="n"/>
      <c r="CM76" s="238" t="n"/>
      <c r="CN76" s="238" t="n"/>
      <c r="CO76" s="238" t="n"/>
      <c r="CP76" s="238" t="n"/>
      <c r="CQ76" s="238" t="n"/>
      <c r="CR76" s="238" t="n"/>
      <c r="CS76" s="238" t="n"/>
      <c r="CT76" s="238" t="n"/>
      <c r="CU76" s="238" t="n"/>
      <c r="CV76" s="238" t="n"/>
      <c r="CW76" s="238" t="n"/>
      <c r="CX76" s="238" t="n"/>
      <c r="CY76" s="238" t="n"/>
      <c r="CZ76" s="238" t="n"/>
      <c r="DA76" s="238" t="n"/>
      <c r="DB76" s="238" t="n"/>
      <c r="DC76" s="238" t="n"/>
      <c r="DD76" s="238" t="n"/>
      <c r="DE76" s="238" t="n"/>
      <c r="DF76" s="238" t="n"/>
      <c r="DG76" s="238" t="n"/>
      <c r="DH76" s="238" t="n"/>
      <c r="DI76" s="238" t="n"/>
      <c r="DJ76" s="238" t="n"/>
      <c r="DK76" s="238" t="n"/>
      <c r="DL76" s="238" t="n"/>
      <c r="DM76" s="238" t="n"/>
      <c r="DN76" s="238" t="n"/>
      <c r="DO76" s="238" t="n"/>
      <c r="DP76" s="238" t="n"/>
      <c r="DQ76" s="238" t="n"/>
      <c r="DR76" s="238" t="n"/>
      <c r="DS76" s="238" t="n"/>
      <c r="DT76" s="238" t="n"/>
      <c r="DU76" s="238" t="n"/>
      <c r="DV76" s="238" t="n"/>
      <c r="DW76" s="238" t="n"/>
      <c r="DX76" s="238" t="n"/>
      <c r="DY76" s="238" t="n"/>
      <c r="DZ76" s="23" t="n"/>
      <c r="FQ76" s="212" t="n"/>
      <c r="FR76" s="212" t="n"/>
      <c r="FS76" s="212" t="n"/>
      <c r="FT76" s="212" t="n"/>
      <c r="FU76" s="212" t="n"/>
      <c r="FV76" s="212" t="n"/>
      <c r="FW76" s="212" t="n"/>
      <c r="FX76" s="212" t="n"/>
      <c r="FY76" s="212" t="n"/>
      <c r="FZ76" s="212" t="n"/>
    </row>
    <row r="77" ht="39.95" customFormat="1" customHeight="1" s="5">
      <c r="A77" s="182" t="n">
        <v>0.083</v>
      </c>
      <c r="B77" s="7" t="inlineStr">
        <is>
          <t>-18 IN</t>
        </is>
      </c>
      <c r="C77" s="11" t="inlineStr">
        <is>
          <t>C</t>
        </is>
      </c>
      <c r="D77" s="434" t="n">
        <v>0.23</v>
      </c>
      <c r="E77" s="437" t="n">
        <v>0.221</v>
      </c>
      <c r="F77" s="437" t="n">
        <v>0.224</v>
      </c>
      <c r="G77" s="437" t="n">
        <v>0.244</v>
      </c>
      <c r="H77" s="440" t="n">
        <v>0.207</v>
      </c>
      <c r="I77" s="443" t="n">
        <v>0.294</v>
      </c>
      <c r="J77" s="437" t="n">
        <v>0.291</v>
      </c>
      <c r="K77" s="437" t="n">
        <v>0.298</v>
      </c>
      <c r="L77" s="437" t="n">
        <v>0.278</v>
      </c>
      <c r="M77" s="440" t="n">
        <v>0.256</v>
      </c>
      <c r="N77" s="443" t="n">
        <v>0.258</v>
      </c>
      <c r="O77" s="437" t="n">
        <v>0.223</v>
      </c>
      <c r="P77" s="437" t="n">
        <v>0.234</v>
      </c>
      <c r="Q77" s="437" t="n">
        <v>0.219</v>
      </c>
      <c r="R77" s="440" t="n">
        <v>0.231</v>
      </c>
      <c r="S77" s="443" t="n">
        <v>0.213</v>
      </c>
      <c r="T77" s="437" t="n">
        <v>0.245</v>
      </c>
      <c r="U77" s="437" t="n">
        <v>0.204</v>
      </c>
      <c r="V77" s="437" t="n">
        <v>0.216</v>
      </c>
      <c r="W77" s="440" t="n">
        <v>0.211</v>
      </c>
      <c r="X77" s="443" t="n">
        <v>0.212</v>
      </c>
      <c r="Y77" s="437" t="n">
        <v>0.217</v>
      </c>
      <c r="Z77" s="437" t="n">
        <v>0.207</v>
      </c>
      <c r="AA77" s="437" t="n">
        <v>0.218</v>
      </c>
      <c r="AB77" s="440" t="n">
        <v>0.217</v>
      </c>
      <c r="AC77" s="443" t="n">
        <v>0.216</v>
      </c>
      <c r="AD77" s="437" t="n">
        <v>0.21</v>
      </c>
      <c r="AE77" s="437" t="n">
        <v>0.235</v>
      </c>
      <c r="AF77" s="437" t="n">
        <v>0.212</v>
      </c>
      <c r="AG77" s="440" t="n">
        <v>0.209</v>
      </c>
      <c r="AH77" s="443" t="n">
        <v>0.208</v>
      </c>
      <c r="AI77" s="437" t="n">
        <v>0.205</v>
      </c>
      <c r="AJ77" s="437" t="n">
        <v>0.199</v>
      </c>
      <c r="AK77" s="437" t="n">
        <v>0.204</v>
      </c>
      <c r="AL77" s="440" t="n">
        <v>0.206</v>
      </c>
      <c r="AM77" s="443" t="n">
        <v>0.208</v>
      </c>
      <c r="AN77" s="437" t="n">
        <v>0.197</v>
      </c>
      <c r="AO77" s="437" t="n">
        <v>0.193</v>
      </c>
      <c r="AP77" s="437" t="n">
        <v>0.205</v>
      </c>
      <c r="AQ77" s="440" t="n">
        <v>0.201</v>
      </c>
      <c r="AR77" s="443" t="n">
        <v>0.199</v>
      </c>
      <c r="AS77" s="437" t="n">
        <v>0.194</v>
      </c>
      <c r="AT77" s="437" t="n">
        <v>0.208</v>
      </c>
      <c r="AU77" s="437" t="n">
        <v>0.214</v>
      </c>
      <c r="AV77" s="440" t="n">
        <v>0.19</v>
      </c>
      <c r="AW77" s="443" t="n">
        <v>0.203</v>
      </c>
      <c r="AX77" s="437" t="n">
        <v>0.196</v>
      </c>
      <c r="AY77" s="437" t="n">
        <v>0.21</v>
      </c>
      <c r="AZ77" s="437" t="n">
        <v>0.204</v>
      </c>
      <c r="BA77" s="440" t="n">
        <v>0.215</v>
      </c>
      <c r="BB77" s="443" t="n">
        <v>0.197</v>
      </c>
      <c r="BC77" s="437" t="n">
        <v>0.202</v>
      </c>
      <c r="BD77" s="437" t="n">
        <v>0.203</v>
      </c>
      <c r="BE77" s="437" t="n">
        <v>0.203</v>
      </c>
      <c r="BF77" s="440" t="n">
        <v>0.211</v>
      </c>
      <c r="BG77" s="443" t="n">
        <v>0.219</v>
      </c>
      <c r="BH77" s="437" t="n">
        <v>0.208</v>
      </c>
      <c r="BI77" s="437" t="n">
        <v>0.212</v>
      </c>
      <c r="BJ77" s="437" t="n">
        <v>0.208</v>
      </c>
      <c r="BK77" s="440" t="n">
        <v>0.218</v>
      </c>
      <c r="BL77" s="443" t="n">
        <v>0.208</v>
      </c>
      <c r="BM77" s="437" t="n">
        <v>0.21</v>
      </c>
      <c r="BN77" s="437" t="n">
        <v>0.226</v>
      </c>
      <c r="BO77" s="437" t="n">
        <v>0.218</v>
      </c>
      <c r="BP77" s="440" t="n">
        <v>0.211</v>
      </c>
      <c r="BQ77" s="443" t="n">
        <v>0.233</v>
      </c>
      <c r="BR77" s="437" t="n">
        <v>0.221</v>
      </c>
      <c r="BS77" s="437" t="n">
        <v>0.216</v>
      </c>
      <c r="BT77" s="440" t="n">
        <v>0.219</v>
      </c>
      <c r="BU77" s="455" t="n"/>
      <c r="BV77" s="455" t="n"/>
      <c r="BW77" s="238" t="n"/>
      <c r="BX77" s="238" t="n"/>
      <c r="BY77" s="238" t="n"/>
      <c r="BZ77" s="238" t="n"/>
      <c r="CA77" s="238" t="n"/>
      <c r="CB77" s="238" t="n"/>
      <c r="CC77" s="238" t="n"/>
      <c r="CD77" s="238" t="n"/>
      <c r="CE77" s="238" t="n"/>
      <c r="CF77" s="238" t="n"/>
      <c r="CG77" s="238" t="n"/>
      <c r="CH77" s="238" t="n"/>
      <c r="CI77" s="238" t="n"/>
      <c r="CJ77" s="238" t="n"/>
      <c r="CK77" s="238" t="n"/>
      <c r="CL77" s="238" t="n"/>
      <c r="CM77" s="238" t="n"/>
      <c r="CN77" s="238" t="n"/>
      <c r="CO77" s="238" t="n"/>
      <c r="CP77" s="238" t="n"/>
      <c r="CQ77" s="238" t="n"/>
      <c r="CR77" s="238" t="n"/>
      <c r="CS77" s="238" t="n"/>
      <c r="CT77" s="238" t="n"/>
      <c r="CU77" s="238" t="n"/>
      <c r="CV77" s="238" t="n"/>
      <c r="CW77" s="238" t="n"/>
      <c r="CX77" s="238" t="n"/>
      <c r="CY77" s="238" t="n"/>
      <c r="CZ77" s="238" t="n"/>
      <c r="DA77" s="238" t="n"/>
      <c r="DB77" s="238" t="n"/>
      <c r="DC77" s="238" t="n"/>
      <c r="DD77" s="238" t="n"/>
      <c r="DE77" s="238" t="n"/>
      <c r="DF77" s="238" t="n"/>
      <c r="DG77" s="238" t="n"/>
      <c r="DH77" s="238" t="n"/>
      <c r="DI77" s="238" t="n"/>
      <c r="DJ77" s="238" t="n"/>
      <c r="DK77" s="238" t="n"/>
      <c r="DL77" s="238" t="n"/>
      <c r="DM77" s="238" t="n"/>
      <c r="DN77" s="238" t="n"/>
      <c r="DO77" s="238" t="n"/>
      <c r="DP77" s="238" t="n"/>
      <c r="DQ77" s="238" t="n"/>
      <c r="DR77" s="238" t="n"/>
      <c r="DS77" s="238" t="n"/>
      <c r="DT77" s="238" t="n"/>
      <c r="DU77" s="238" t="n"/>
      <c r="DV77" s="238" t="n"/>
      <c r="DW77" s="238" t="n"/>
      <c r="DX77" s="238" t="n"/>
      <c r="DY77" s="238" t="n"/>
      <c r="DZ77" s="23" t="n"/>
      <c r="FQ77" s="212" t="n"/>
      <c r="FR77" s="212" t="n"/>
      <c r="FS77" s="212" t="n"/>
      <c r="FT77" s="212" t="n"/>
      <c r="FU77" s="212" t="n"/>
      <c r="FV77" s="212" t="n"/>
      <c r="FW77" s="212" t="n"/>
      <c r="FX77" s="212" t="n"/>
      <c r="FY77" s="212" t="n"/>
      <c r="FZ77" s="212" t="n"/>
    </row>
    <row r="78" ht="39.95" customFormat="1" customHeight="1" s="5">
      <c r="A78" s="456" t="n"/>
      <c r="B78" s="8" t="n"/>
      <c r="C78" s="12" t="inlineStr">
        <is>
          <t>R</t>
        </is>
      </c>
      <c r="D78" s="435" t="inlineStr">
        <is>
          <t>RF</t>
        </is>
      </c>
      <c r="E78" s="438" t="n">
        <v>0.226</v>
      </c>
      <c r="F78" s="438" t="n">
        <v>0.218</v>
      </c>
      <c r="G78" s="438" t="n">
        <v>0.241</v>
      </c>
      <c r="H78" s="441" t="n">
        <v>0.233</v>
      </c>
      <c r="I78" s="444" t="n">
        <v>0.271</v>
      </c>
      <c r="J78" s="438" t="n">
        <v>0.292</v>
      </c>
      <c r="K78" s="438" t="n">
        <v>0.302</v>
      </c>
      <c r="L78" s="438" t="n">
        <v>0.261</v>
      </c>
      <c r="M78" s="441" t="n">
        <v>0.252</v>
      </c>
      <c r="N78" s="444" t="n">
        <v>0.256</v>
      </c>
      <c r="O78" s="438" t="n">
        <v>0.209</v>
      </c>
      <c r="P78" s="438" t="n">
        <v>0.215</v>
      </c>
      <c r="Q78" s="438" t="n">
        <v>0.219</v>
      </c>
      <c r="R78" s="441" t="n">
        <v>0.213</v>
      </c>
      <c r="S78" s="444" t="n">
        <v>0.218</v>
      </c>
      <c r="T78" s="438" t="n">
        <v>0.221</v>
      </c>
      <c r="U78" s="438" t="n">
        <v>0.239</v>
      </c>
      <c r="V78" s="438" t="n">
        <v>0.217</v>
      </c>
      <c r="W78" s="441" t="n">
        <v>0.217</v>
      </c>
      <c r="X78" s="444" t="n">
        <v>0.208</v>
      </c>
      <c r="Y78" s="438" t="n">
        <v>0.236</v>
      </c>
      <c r="Z78" s="438" t="n">
        <v>0.214</v>
      </c>
      <c r="AA78" s="438" t="n">
        <v>0.22</v>
      </c>
      <c r="AB78" s="441" t="n">
        <v>0.214</v>
      </c>
      <c r="AC78" s="444" t="n">
        <v>0.216</v>
      </c>
      <c r="AD78" s="438" t="n">
        <v>0.215</v>
      </c>
      <c r="AE78" s="438" t="n">
        <v>0.234</v>
      </c>
      <c r="AF78" s="438" t="n">
        <v>0.213</v>
      </c>
      <c r="AG78" s="441" t="n">
        <v>0.211</v>
      </c>
      <c r="AH78" s="444" t="n">
        <v>0.213</v>
      </c>
      <c r="AI78" s="438" t="n">
        <v>0.217</v>
      </c>
      <c r="AJ78" s="438" t="n">
        <v>0.22</v>
      </c>
      <c r="AK78" s="438" t="n">
        <v>0.226</v>
      </c>
      <c r="AL78" s="441" t="n">
        <v>0.211</v>
      </c>
      <c r="AM78" s="444" t="n">
        <v>0.214</v>
      </c>
      <c r="AN78" s="438" t="n">
        <v>0.203</v>
      </c>
      <c r="AO78" s="438" t="n">
        <v>0.196</v>
      </c>
      <c r="AP78" s="438" t="n">
        <v>0.201</v>
      </c>
      <c r="AQ78" s="441" t="n">
        <v>0.198</v>
      </c>
      <c r="AR78" s="444" t="n">
        <v>0.193</v>
      </c>
      <c r="AS78" s="438" t="n">
        <v>0.229</v>
      </c>
      <c r="AT78" s="438" t="n">
        <v>0.2</v>
      </c>
      <c r="AU78" s="438" t="n">
        <v>0.196</v>
      </c>
      <c r="AV78" s="441" t="n">
        <v>0.193</v>
      </c>
      <c r="AW78" s="444" t="n">
        <v>0.202</v>
      </c>
      <c r="AX78" s="438" t="n">
        <v>0.196</v>
      </c>
      <c r="AY78" s="438" t="n">
        <v>0.207</v>
      </c>
      <c r="AZ78" s="438" t="n">
        <v>0.204</v>
      </c>
      <c r="BA78" s="441" t="n">
        <v>0.217</v>
      </c>
      <c r="BB78" s="444" t="n">
        <v>0.202</v>
      </c>
      <c r="BC78" s="438" t="n">
        <v>0.204</v>
      </c>
      <c r="BD78" s="438" t="n">
        <v>0.2</v>
      </c>
      <c r="BE78" s="438" t="n">
        <v>0.209</v>
      </c>
      <c r="BF78" s="441" t="n">
        <v>0.21</v>
      </c>
      <c r="BG78" s="444" t="n">
        <v>0.225</v>
      </c>
      <c r="BH78" s="438" t="n">
        <v>0.221</v>
      </c>
      <c r="BI78" s="438" t="n">
        <v>0.223</v>
      </c>
      <c r="BJ78" s="438" t="n">
        <v>0.215</v>
      </c>
      <c r="BK78" s="441" t="n">
        <v>0.221</v>
      </c>
      <c r="BL78" s="444" t="n">
        <v>0.21</v>
      </c>
      <c r="BM78" s="438" t="n">
        <v>0.222</v>
      </c>
      <c r="BN78" s="438" t="n">
        <v>0.233</v>
      </c>
      <c r="BO78" s="438" t="n">
        <v>0.228</v>
      </c>
      <c r="BP78" s="441" t="n">
        <v>0.247</v>
      </c>
      <c r="BQ78" s="444" t="n">
        <v>0.222</v>
      </c>
      <c r="BR78" s="438" t="n">
        <v>0.222</v>
      </c>
      <c r="BS78" s="438" t="n">
        <v>0.226</v>
      </c>
      <c r="BT78" s="441" t="n">
        <v>0.21</v>
      </c>
      <c r="BU78" s="457" t="n"/>
      <c r="BV78" s="457" t="n"/>
      <c r="BW78" s="238" t="n"/>
      <c r="BX78" s="238" t="n"/>
      <c r="BY78" s="238" t="n"/>
      <c r="BZ78" s="238" t="n"/>
      <c r="CA78" s="238" t="n"/>
      <c r="CB78" s="238" t="n"/>
      <c r="CC78" s="238" t="n"/>
      <c r="CD78" s="238" t="n"/>
      <c r="CE78" s="238" t="n"/>
      <c r="CF78" s="238" t="n"/>
      <c r="CG78" s="238" t="n"/>
      <c r="CH78" s="238" t="n"/>
      <c r="CI78" s="238" t="n"/>
      <c r="CJ78" s="238" t="n"/>
      <c r="CK78" s="238" t="n"/>
      <c r="CL78" s="238" t="n"/>
      <c r="CM78" s="238" t="n"/>
      <c r="CN78" s="238" t="n"/>
      <c r="CO78" s="238" t="n"/>
      <c r="CP78" s="238" t="n"/>
      <c r="CQ78" s="238" t="n"/>
      <c r="CR78" s="238" t="n"/>
      <c r="CS78" s="238" t="n"/>
      <c r="CT78" s="238" t="n"/>
      <c r="CU78" s="238" t="n"/>
      <c r="CV78" s="238" t="n"/>
      <c r="CW78" s="238" t="n"/>
      <c r="CX78" s="238" t="n"/>
      <c r="CY78" s="238" t="n"/>
      <c r="CZ78" s="238" t="n"/>
      <c r="DA78" s="238" t="n"/>
      <c r="DB78" s="238" t="n"/>
      <c r="DC78" s="238" t="n"/>
      <c r="DD78" s="238" t="n"/>
      <c r="DE78" s="238" t="n"/>
      <c r="DF78" s="238" t="n"/>
      <c r="DG78" s="238" t="n"/>
      <c r="DH78" s="238" t="n"/>
      <c r="DI78" s="238" t="n"/>
      <c r="DJ78" s="238" t="n"/>
      <c r="DK78" s="238" t="n"/>
      <c r="DL78" s="238" t="n"/>
      <c r="DM78" s="238" t="n"/>
      <c r="DN78" s="238" t="n"/>
      <c r="DO78" s="238" t="n"/>
      <c r="DP78" s="238" t="n"/>
      <c r="DQ78" s="238" t="n"/>
      <c r="DR78" s="238" t="n"/>
      <c r="DS78" s="238" t="n"/>
      <c r="DT78" s="238" t="n"/>
      <c r="DU78" s="238" t="n"/>
      <c r="DV78" s="238" t="n"/>
      <c r="DW78" s="238" t="n"/>
      <c r="DX78" s="238" t="n"/>
      <c r="DY78" s="238" t="n"/>
      <c r="DZ78" s="23" t="n"/>
      <c r="FQ78" s="212" t="n"/>
      <c r="FR78" s="212" t="n"/>
      <c r="FS78" s="212" t="n"/>
      <c r="FT78" s="212" t="n"/>
      <c r="FU78" s="212" t="n"/>
      <c r="FV78" s="212" t="n"/>
      <c r="FW78" s="212" t="n"/>
      <c r="FX78" s="212" t="n"/>
      <c r="FY78" s="212" t="n"/>
      <c r="FZ78" s="212" t="n"/>
    </row>
    <row r="79" ht="39.95" customFormat="1" customHeight="1" s="5">
      <c r="A79" s="10" t="inlineStr">
        <is>
          <t>A</t>
        </is>
      </c>
      <c r="B79" s="6" t="n"/>
      <c r="C79" s="11" t="inlineStr">
        <is>
          <t>L</t>
        </is>
      </c>
      <c r="D79" s="433" t="n">
        <v>0.206</v>
      </c>
      <c r="E79" s="436" t="inlineStr">
        <is>
          <t>RF</t>
        </is>
      </c>
      <c r="F79" s="436" t="n">
        <v>0.228</v>
      </c>
      <c r="G79" s="436" t="n">
        <v>0.237</v>
      </c>
      <c r="H79" s="439" t="n">
        <v>0.226</v>
      </c>
      <c r="I79" s="442" t="n">
        <v>0.262</v>
      </c>
      <c r="J79" s="436" t="n">
        <v>0.297</v>
      </c>
      <c r="K79" s="436" t="n">
        <v>0.266</v>
      </c>
      <c r="L79" s="436" t="n">
        <v>0.261</v>
      </c>
      <c r="M79" s="439" t="n">
        <v>0.25</v>
      </c>
      <c r="N79" s="442" t="n">
        <v>0.264</v>
      </c>
      <c r="O79" s="436" t="n">
        <v>0.225</v>
      </c>
      <c r="P79" s="436" t="n">
        <v>0.236</v>
      </c>
      <c r="Q79" s="436" t="n">
        <v>0.23</v>
      </c>
      <c r="R79" s="439" t="n">
        <v>0.226</v>
      </c>
      <c r="S79" s="442" t="n">
        <v>0.22</v>
      </c>
      <c r="T79" s="436" t="n">
        <v>0.215</v>
      </c>
      <c r="U79" s="436" t="n">
        <v>0.206</v>
      </c>
      <c r="V79" s="436" t="n">
        <v>0.217</v>
      </c>
      <c r="W79" s="439" t="n">
        <v>0.211</v>
      </c>
      <c r="X79" s="442" t="n">
        <v>0.215</v>
      </c>
      <c r="Y79" s="436" t="n">
        <v>0.212</v>
      </c>
      <c r="Z79" s="436" t="n">
        <v>0.216</v>
      </c>
      <c r="AA79" s="436" t="n">
        <v>0.216</v>
      </c>
      <c r="AB79" s="439" t="n">
        <v>0.202</v>
      </c>
      <c r="AC79" s="442" t="n">
        <v>0.213</v>
      </c>
      <c r="AD79" s="436" t="n">
        <v>0.214</v>
      </c>
      <c r="AE79" s="436" t="n">
        <v>0.215</v>
      </c>
      <c r="AF79" s="436" t="n">
        <v>0.215</v>
      </c>
      <c r="AG79" s="439" t="n">
        <v>0.217</v>
      </c>
      <c r="AH79" s="442" t="n">
        <v>0.207</v>
      </c>
      <c r="AI79" s="436" t="n">
        <v>0.208</v>
      </c>
      <c r="AJ79" s="436" t="n">
        <v>0.217</v>
      </c>
      <c r="AK79" s="436" t="n">
        <v>0.211</v>
      </c>
      <c r="AL79" s="439" t="n">
        <v>0.215</v>
      </c>
      <c r="AM79" s="442" t="n">
        <v>0.204</v>
      </c>
      <c r="AN79" s="436" t="n">
        <v>0.201</v>
      </c>
      <c r="AO79" s="436" t="n">
        <v>0.204</v>
      </c>
      <c r="AP79" s="436" t="n">
        <v>0.21</v>
      </c>
      <c r="AQ79" s="439" t="n">
        <v>0.205</v>
      </c>
      <c r="AR79" s="442" t="n">
        <v>0.211</v>
      </c>
      <c r="AS79" s="436" t="n">
        <v>0.21</v>
      </c>
      <c r="AT79" s="436" t="n">
        <v>0.221</v>
      </c>
      <c r="AU79" s="436" t="n">
        <v>0.216</v>
      </c>
      <c r="AV79" s="439" t="n">
        <v>0.211</v>
      </c>
      <c r="AW79" s="442" t="n">
        <v>0.213</v>
      </c>
      <c r="AX79" s="436" t="n">
        <v>0.21</v>
      </c>
      <c r="AY79" s="436" t="n">
        <v>0.217</v>
      </c>
      <c r="AZ79" s="436" t="n">
        <v>0.224</v>
      </c>
      <c r="BA79" s="439" t="n">
        <v>0.215</v>
      </c>
      <c r="BB79" s="442" t="n">
        <v>0.214</v>
      </c>
      <c r="BC79" s="436" t="n">
        <v>0.21</v>
      </c>
      <c r="BD79" s="436" t="n">
        <v>0.21</v>
      </c>
      <c r="BE79" s="436" t="n">
        <v>0.215</v>
      </c>
      <c r="BF79" s="439" t="n">
        <v>0.208</v>
      </c>
      <c r="BG79" s="442" t="n">
        <v>0.227</v>
      </c>
      <c r="BH79" s="436" t="n">
        <v>0.22</v>
      </c>
      <c r="BI79" s="436" t="n">
        <v>0.221</v>
      </c>
      <c r="BJ79" s="436" t="n">
        <v>0.211</v>
      </c>
      <c r="BK79" s="439" t="n">
        <v>0.216</v>
      </c>
      <c r="BL79" s="442" t="n">
        <v>0.216</v>
      </c>
      <c r="BM79" s="436" t="n">
        <v>0.208</v>
      </c>
      <c r="BN79" s="436" t="n">
        <v>0.207</v>
      </c>
      <c r="BO79" s="436" t="n">
        <v>0.227</v>
      </c>
      <c r="BP79" s="439" t="n">
        <v>0.219</v>
      </c>
      <c r="BQ79" s="442" t="n">
        <v>0.224</v>
      </c>
      <c r="BR79" s="436" t="n">
        <v>0.222</v>
      </c>
      <c r="BS79" s="436" t="n">
        <v>0.214</v>
      </c>
      <c r="BT79" s="439" t="inlineStr">
        <is>
          <t>RF</t>
        </is>
      </c>
      <c r="BU79" s="454">
        <f>IFERROR(AVERAGE(D79:BT81),0)</f>
        <v/>
      </c>
      <c r="BV79" s="454">
        <f>MIN(D79:BT81)</f>
        <v/>
      </c>
      <c r="BW79" s="238" t="n"/>
      <c r="BX79" s="238" t="n"/>
      <c r="BY79" s="238" t="n"/>
      <c r="BZ79" s="238" t="n"/>
      <c r="CA79" s="238" t="n"/>
      <c r="CB79" s="238" t="n"/>
      <c r="CC79" s="238" t="n"/>
      <c r="CD79" s="238" t="n"/>
      <c r="CE79" s="238" t="n"/>
      <c r="CF79" s="238" t="n"/>
      <c r="CG79" s="238" t="n"/>
      <c r="CH79" s="238" t="n"/>
      <c r="CI79" s="238" t="n"/>
      <c r="CJ79" s="238" t="n"/>
      <c r="CK79" s="238" t="n"/>
      <c r="CL79" s="238" t="n"/>
      <c r="CM79" s="238" t="n"/>
      <c r="CN79" s="238" t="n"/>
      <c r="CO79" s="238" t="n"/>
      <c r="CP79" s="238" t="n"/>
      <c r="CQ79" s="238" t="n"/>
      <c r="CR79" s="238" t="n"/>
      <c r="CS79" s="238" t="n"/>
      <c r="CT79" s="238" t="n"/>
      <c r="CU79" s="238" t="n"/>
      <c r="CV79" s="238" t="n"/>
      <c r="CW79" s="238" t="n"/>
      <c r="CX79" s="238" t="n"/>
      <c r="CY79" s="238" t="n"/>
      <c r="CZ79" s="238" t="n"/>
      <c r="DA79" s="238" t="n"/>
      <c r="DB79" s="238" t="n"/>
      <c r="DC79" s="238" t="n"/>
      <c r="DD79" s="238" t="n"/>
      <c r="DE79" s="238" t="n"/>
      <c r="DF79" s="238" t="n"/>
      <c r="DG79" s="238" t="n"/>
      <c r="DH79" s="238" t="n"/>
      <c r="DI79" s="238" t="n"/>
      <c r="DJ79" s="238" t="n"/>
      <c r="DK79" s="238" t="n"/>
      <c r="DL79" s="238" t="n"/>
      <c r="DM79" s="238" t="n"/>
      <c r="DN79" s="238" t="n"/>
      <c r="DO79" s="238" t="n"/>
      <c r="DP79" s="238" t="n"/>
      <c r="DQ79" s="238" t="n"/>
      <c r="DR79" s="238" t="n"/>
      <c r="DS79" s="238" t="n"/>
      <c r="DT79" s="238" t="n"/>
      <c r="DU79" s="238" t="n"/>
      <c r="DV79" s="238" t="n"/>
      <c r="DW79" s="238" t="n"/>
      <c r="DX79" s="238" t="n"/>
      <c r="DY79" s="238" t="n"/>
      <c r="DZ79" s="23" t="n"/>
      <c r="FQ79" s="212" t="n"/>
      <c r="FR79" s="212" t="n"/>
      <c r="FS79" s="212" t="n"/>
      <c r="FT79" s="212" t="n"/>
      <c r="FU79" s="212" t="n"/>
      <c r="FV79" s="212" t="n"/>
      <c r="FW79" s="212" t="n"/>
      <c r="FX79" s="212" t="n"/>
      <c r="FY79" s="212" t="n"/>
      <c r="FZ79" s="212" t="n"/>
    </row>
    <row r="80" ht="39.95" customFormat="1" customHeight="1" s="5">
      <c r="A80" s="182" t="n">
        <v>0.083</v>
      </c>
      <c r="B80" s="7" t="inlineStr">
        <is>
          <t>-27 IN</t>
        </is>
      </c>
      <c r="C80" s="11" t="inlineStr">
        <is>
          <t>C</t>
        </is>
      </c>
      <c r="D80" s="434" t="inlineStr">
        <is>
          <t>RF</t>
        </is>
      </c>
      <c r="E80" s="437" t="n">
        <v>0.229</v>
      </c>
      <c r="F80" s="437" t="n">
        <v>0.249</v>
      </c>
      <c r="G80" s="437" t="n">
        <v>0.231</v>
      </c>
      <c r="H80" s="440" t="n">
        <v>0.226</v>
      </c>
      <c r="I80" s="443" t="n">
        <v>0.267</v>
      </c>
      <c r="J80" s="437" t="n">
        <v>0.273</v>
      </c>
      <c r="K80" s="437" t="n">
        <v>0.294</v>
      </c>
      <c r="L80" s="437" t="n">
        <v>0.3</v>
      </c>
      <c r="M80" s="440" t="n">
        <v>0.262</v>
      </c>
      <c r="N80" s="443" t="n">
        <v>0.264</v>
      </c>
      <c r="O80" s="437" t="n">
        <v>0.226</v>
      </c>
      <c r="P80" s="437" t="n">
        <v>0.22</v>
      </c>
      <c r="Q80" s="437" t="n">
        <v>0.23</v>
      </c>
      <c r="R80" s="440" t="n">
        <v>0.219</v>
      </c>
      <c r="S80" s="443" t="n">
        <v>0.218</v>
      </c>
      <c r="T80" s="437" t="n">
        <v>0.213</v>
      </c>
      <c r="U80" s="437" t="n">
        <v>0.214</v>
      </c>
      <c r="V80" s="437" t="n">
        <v>0.225</v>
      </c>
      <c r="W80" s="440" t="n">
        <v>0.215</v>
      </c>
      <c r="X80" s="443" t="n">
        <v>0.214</v>
      </c>
      <c r="Y80" s="437" t="n">
        <v>0.209</v>
      </c>
      <c r="Z80" s="437" t="n">
        <v>0.219</v>
      </c>
      <c r="AA80" s="437" t="n">
        <v>0.214</v>
      </c>
      <c r="AB80" s="440" t="n">
        <v>0.213</v>
      </c>
      <c r="AC80" s="443" t="n">
        <v>0.212</v>
      </c>
      <c r="AD80" s="437" t="n">
        <v>0.207</v>
      </c>
      <c r="AE80" s="437" t="n">
        <v>0.209</v>
      </c>
      <c r="AF80" s="437" t="n">
        <v>0.213</v>
      </c>
      <c r="AG80" s="440" t="n">
        <v>0.208</v>
      </c>
      <c r="AH80" s="443" t="n">
        <v>0.211</v>
      </c>
      <c r="AI80" s="437" t="n">
        <v>0.207</v>
      </c>
      <c r="AJ80" s="437" t="n">
        <v>0.206</v>
      </c>
      <c r="AK80" s="437" t="n">
        <v>0.204</v>
      </c>
      <c r="AL80" s="440" t="n">
        <v>0.198</v>
      </c>
      <c r="AM80" s="443" t="n">
        <v>0.208</v>
      </c>
      <c r="AN80" s="437" t="n">
        <v>0.201</v>
      </c>
      <c r="AO80" s="437" t="n">
        <v>0.212</v>
      </c>
      <c r="AP80" s="437" t="n">
        <v>0.212</v>
      </c>
      <c r="AQ80" s="440" t="n">
        <v>0.209</v>
      </c>
      <c r="AR80" s="443" t="n">
        <v>0.205</v>
      </c>
      <c r="AS80" s="437" t="n">
        <v>0.205</v>
      </c>
      <c r="AT80" s="437" t="n">
        <v>0.228</v>
      </c>
      <c r="AU80" s="437" t="n">
        <v>0.235</v>
      </c>
      <c r="AV80" s="440" t="n">
        <v>0.228</v>
      </c>
      <c r="AW80" s="443" t="n">
        <v>0.216</v>
      </c>
      <c r="AX80" s="437" t="n">
        <v>0.205</v>
      </c>
      <c r="AY80" s="437" t="n">
        <v>0.221</v>
      </c>
      <c r="AZ80" s="437" t="n">
        <v>0.215</v>
      </c>
      <c r="BA80" s="440" t="n">
        <v>0.212</v>
      </c>
      <c r="BB80" s="443" t="n">
        <v>0.221</v>
      </c>
      <c r="BC80" s="437" t="n">
        <v>0.206</v>
      </c>
      <c r="BD80" s="437" t="n">
        <v>0.213</v>
      </c>
      <c r="BE80" s="437" t="n">
        <v>0.207</v>
      </c>
      <c r="BF80" s="440" t="n">
        <v>0.211</v>
      </c>
      <c r="BG80" s="443" t="n">
        <v>0.206</v>
      </c>
      <c r="BH80" s="437" t="n">
        <v>0.21</v>
      </c>
      <c r="BI80" s="437" t="n">
        <v>0.211</v>
      </c>
      <c r="BJ80" s="437" t="n">
        <v>0.219</v>
      </c>
      <c r="BK80" s="440" t="n">
        <v>0.21</v>
      </c>
      <c r="BL80" s="443" t="n">
        <v>0.216</v>
      </c>
      <c r="BM80" s="437" t="n">
        <v>0.203</v>
      </c>
      <c r="BN80" s="437" t="n">
        <v>0.202</v>
      </c>
      <c r="BO80" s="437" t="n">
        <v>0.216</v>
      </c>
      <c r="BP80" s="440" t="n">
        <v>0.221</v>
      </c>
      <c r="BQ80" s="443" t="n">
        <v>0.228</v>
      </c>
      <c r="BR80" s="437" t="n">
        <v>0.216</v>
      </c>
      <c r="BS80" s="437" t="n">
        <v>0.21</v>
      </c>
      <c r="BT80" s="440" t="inlineStr">
        <is>
          <t>RF</t>
        </is>
      </c>
      <c r="BU80" s="455" t="n"/>
      <c r="BV80" s="455" t="n"/>
      <c r="BW80" s="238" t="n"/>
      <c r="BX80" s="238" t="n"/>
      <c r="BY80" s="238" t="n"/>
      <c r="BZ80" s="238" t="n"/>
      <c r="CA80" s="238" t="n"/>
      <c r="CB80" s="238" t="n"/>
      <c r="CC80" s="238" t="n"/>
      <c r="CD80" s="238" t="n"/>
      <c r="CE80" s="238" t="n"/>
      <c r="CF80" s="238" t="n"/>
      <c r="CG80" s="238" t="n"/>
      <c r="CH80" s="238" t="n"/>
      <c r="CI80" s="238" t="n"/>
      <c r="CJ80" s="238" t="n"/>
      <c r="CK80" s="238" t="n"/>
      <c r="CL80" s="238" t="n"/>
      <c r="CM80" s="238" t="n"/>
      <c r="CN80" s="238" t="n"/>
      <c r="CO80" s="238" t="n"/>
      <c r="CP80" s="238" t="n"/>
      <c r="CQ80" s="238" t="n"/>
      <c r="CR80" s="238" t="n"/>
      <c r="CS80" s="238" t="n"/>
      <c r="CT80" s="238" t="n"/>
      <c r="CU80" s="238" t="n"/>
      <c r="CV80" s="238" t="n"/>
      <c r="CW80" s="238" t="n"/>
      <c r="CX80" s="238" t="n"/>
      <c r="CY80" s="238" t="n"/>
      <c r="CZ80" s="238" t="n"/>
      <c r="DA80" s="238" t="n"/>
      <c r="DB80" s="238" t="n"/>
      <c r="DC80" s="238" t="n"/>
      <c r="DD80" s="238" t="n"/>
      <c r="DE80" s="238" t="n"/>
      <c r="DF80" s="238" t="n"/>
      <c r="DG80" s="238" t="n"/>
      <c r="DH80" s="238" t="n"/>
      <c r="DI80" s="238" t="n"/>
      <c r="DJ80" s="238" t="n"/>
      <c r="DK80" s="238" t="n"/>
      <c r="DL80" s="238" t="n"/>
      <c r="DM80" s="238" t="n"/>
      <c r="DN80" s="238" t="n"/>
      <c r="DO80" s="238" t="n"/>
      <c r="DP80" s="238" t="n"/>
      <c r="DQ80" s="238" t="n"/>
      <c r="DR80" s="238" t="n"/>
      <c r="DS80" s="238" t="n"/>
      <c r="DT80" s="238" t="n"/>
      <c r="DU80" s="238" t="n"/>
      <c r="DV80" s="238" t="n"/>
      <c r="DW80" s="238" t="n"/>
      <c r="DX80" s="238" t="n"/>
      <c r="DY80" s="238" t="n"/>
      <c r="DZ80" s="23" t="n"/>
      <c r="FQ80" s="212" t="n"/>
      <c r="FR80" s="212" t="n"/>
      <c r="FS80" s="212" t="n"/>
      <c r="FT80" s="212" t="n"/>
      <c r="FU80" s="212" t="n"/>
      <c r="FV80" s="212" t="n"/>
      <c r="FW80" s="212" t="n"/>
      <c r="FX80" s="212" t="n"/>
      <c r="FY80" s="212" t="n"/>
      <c r="FZ80" s="212" t="n"/>
    </row>
    <row r="81" ht="39.95" customFormat="1" customHeight="1" s="5">
      <c r="A81" s="456" t="n"/>
      <c r="B81" s="8" t="n"/>
      <c r="C81" s="12" t="inlineStr">
        <is>
          <t>R</t>
        </is>
      </c>
      <c r="D81" s="435" t="inlineStr">
        <is>
          <t>RF</t>
        </is>
      </c>
      <c r="E81" s="438" t="n">
        <v>0.226</v>
      </c>
      <c r="F81" s="438" t="n">
        <v>0.301</v>
      </c>
      <c r="G81" s="438" t="n">
        <v>0.223</v>
      </c>
      <c r="H81" s="441" t="n">
        <v>0.232</v>
      </c>
      <c r="I81" s="444" t="n">
        <v>0.259</v>
      </c>
      <c r="J81" s="438" t="n">
        <v>0.264</v>
      </c>
      <c r="K81" s="438" t="n">
        <v>0.262</v>
      </c>
      <c r="L81" s="438" t="n">
        <v>0.269</v>
      </c>
      <c r="M81" s="441" t="n">
        <v>0.26</v>
      </c>
      <c r="N81" s="444" t="n">
        <v>0.265</v>
      </c>
      <c r="O81" s="438" t="n">
        <v>0.231</v>
      </c>
      <c r="P81" s="438" t="n">
        <v>0.222</v>
      </c>
      <c r="Q81" s="438" t="n">
        <v>0.231</v>
      </c>
      <c r="R81" s="441" t="n">
        <v>0.212</v>
      </c>
      <c r="S81" s="444" t="n">
        <v>0.223</v>
      </c>
      <c r="T81" s="438" t="n">
        <v>0.212</v>
      </c>
      <c r="U81" s="438" t="n">
        <v>0.216</v>
      </c>
      <c r="V81" s="438" t="n">
        <v>0.215</v>
      </c>
      <c r="W81" s="441" t="n">
        <v>0.226</v>
      </c>
      <c r="X81" s="444" t="n">
        <v>0.215</v>
      </c>
      <c r="Y81" s="438" t="n">
        <v>0.216</v>
      </c>
      <c r="Z81" s="438" t="n">
        <v>0.216</v>
      </c>
      <c r="AA81" s="438" t="n">
        <v>0.217</v>
      </c>
      <c r="AB81" s="441" t="n">
        <v>0.216</v>
      </c>
      <c r="AC81" s="444" t="n">
        <v>0.215</v>
      </c>
      <c r="AD81" s="438" t="n">
        <v>0.215</v>
      </c>
      <c r="AE81" s="438" t="n">
        <v>0.216</v>
      </c>
      <c r="AF81" s="438" t="n">
        <v>0.208</v>
      </c>
      <c r="AG81" s="441" t="n">
        <v>0.225</v>
      </c>
      <c r="AH81" s="444" t="n">
        <v>0.215</v>
      </c>
      <c r="AI81" s="438" t="n">
        <v>0.227</v>
      </c>
      <c r="AJ81" s="438" t="n">
        <v>0.217</v>
      </c>
      <c r="AK81" s="438" t="n">
        <v>0.225</v>
      </c>
      <c r="AL81" s="441" t="n">
        <v>0.213</v>
      </c>
      <c r="AM81" s="444" t="n">
        <v>0.235</v>
      </c>
      <c r="AN81" s="438" t="n">
        <v>0.201</v>
      </c>
      <c r="AO81" s="438" t="n">
        <v>0.223</v>
      </c>
      <c r="AP81" s="438" t="n">
        <v>0.217</v>
      </c>
      <c r="AQ81" s="441" t="n">
        <v>0.199</v>
      </c>
      <c r="AR81" s="444" t="n">
        <v>0.206</v>
      </c>
      <c r="AS81" s="438" t="n">
        <v>0.209</v>
      </c>
      <c r="AT81" s="438" t="n">
        <v>0.223</v>
      </c>
      <c r="AU81" s="438" t="n">
        <v>0.215</v>
      </c>
      <c r="AV81" s="441" t="n">
        <v>0.204</v>
      </c>
      <c r="AW81" s="444" t="n">
        <v>0.203</v>
      </c>
      <c r="AX81" s="438" t="n">
        <v>0.206</v>
      </c>
      <c r="AY81" s="438" t="n">
        <v>0.217</v>
      </c>
      <c r="AZ81" s="438" t="n">
        <v>0.211</v>
      </c>
      <c r="BA81" s="441" t="n">
        <v>0.211</v>
      </c>
      <c r="BB81" s="444" t="n">
        <v>0.214</v>
      </c>
      <c r="BC81" s="438" t="n">
        <v>0.204</v>
      </c>
      <c r="BD81" s="438" t="n">
        <v>0.212</v>
      </c>
      <c r="BE81" s="438" t="n">
        <v>0.213</v>
      </c>
      <c r="BF81" s="441" t="n">
        <v>0.213</v>
      </c>
      <c r="BG81" s="444" t="n">
        <v>0.217</v>
      </c>
      <c r="BH81" s="438" t="n">
        <v>0.234</v>
      </c>
      <c r="BI81" s="438" t="n">
        <v>0.211</v>
      </c>
      <c r="BJ81" s="438" t="n">
        <v>0.216</v>
      </c>
      <c r="BK81" s="441" t="n">
        <v>0.223</v>
      </c>
      <c r="BL81" s="444" t="n">
        <v>0.216</v>
      </c>
      <c r="BM81" s="438" t="n">
        <v>0.212</v>
      </c>
      <c r="BN81" s="438" t="n">
        <v>0.21</v>
      </c>
      <c r="BO81" s="438" t="n">
        <v>0.226</v>
      </c>
      <c r="BP81" s="441" t="n">
        <v>0.226</v>
      </c>
      <c r="BQ81" s="444" t="n">
        <v>0.218</v>
      </c>
      <c r="BR81" s="438" t="n">
        <v>0.22</v>
      </c>
      <c r="BS81" s="438" t="n">
        <v>0.232</v>
      </c>
      <c r="BT81" s="441" t="n">
        <v>0.234</v>
      </c>
      <c r="BU81" s="457" t="n"/>
      <c r="BV81" s="457" t="n"/>
      <c r="BW81" s="238" t="n"/>
      <c r="BX81" s="238" t="n"/>
      <c r="BY81" s="238" t="n"/>
      <c r="BZ81" s="238" t="n"/>
      <c r="CA81" s="238" t="n"/>
      <c r="CB81" s="238" t="n"/>
      <c r="CC81" s="238" t="n"/>
      <c r="CD81" s="238" t="n"/>
      <c r="CE81" s="238" t="n"/>
      <c r="CF81" s="238" t="n"/>
      <c r="CG81" s="238" t="n"/>
      <c r="CH81" s="238" t="n"/>
      <c r="CI81" s="238" t="n"/>
      <c r="CJ81" s="238" t="n"/>
      <c r="CK81" s="238" t="n"/>
      <c r="CL81" s="238" t="n"/>
      <c r="CM81" s="238" t="n"/>
      <c r="CN81" s="238" t="n"/>
      <c r="CO81" s="238" t="n"/>
      <c r="CP81" s="238" t="n"/>
      <c r="CQ81" s="238" t="n"/>
      <c r="CR81" s="238" t="n"/>
      <c r="CS81" s="238" t="n"/>
      <c r="CT81" s="238" t="n"/>
      <c r="CU81" s="238" t="n"/>
      <c r="CV81" s="238" t="n"/>
      <c r="CW81" s="238" t="n"/>
      <c r="CX81" s="238" t="n"/>
      <c r="CY81" s="238" t="n"/>
      <c r="CZ81" s="238" t="n"/>
      <c r="DA81" s="238" t="n"/>
      <c r="DB81" s="238" t="n"/>
      <c r="DC81" s="238" t="n"/>
      <c r="DD81" s="238" t="n"/>
      <c r="DE81" s="238" t="n"/>
      <c r="DF81" s="238" t="n"/>
      <c r="DG81" s="238" t="n"/>
      <c r="DH81" s="238" t="n"/>
      <c r="DI81" s="238" t="n"/>
      <c r="DJ81" s="238" t="n"/>
      <c r="DK81" s="238" t="n"/>
      <c r="DL81" s="238" t="n"/>
      <c r="DM81" s="238" t="n"/>
      <c r="DN81" s="238" t="n"/>
      <c r="DO81" s="238" t="n"/>
      <c r="DP81" s="238" t="n"/>
      <c r="DQ81" s="238" t="n"/>
      <c r="DR81" s="238" t="n"/>
      <c r="DS81" s="238" t="n"/>
      <c r="DT81" s="238" t="n"/>
      <c r="DU81" s="238" t="n"/>
      <c r="DV81" s="238" t="n"/>
      <c r="DW81" s="238" t="n"/>
      <c r="DX81" s="238" t="n"/>
      <c r="DY81" s="238" t="n"/>
      <c r="DZ81" s="23" t="n"/>
      <c r="FQ81" s="212" t="n"/>
      <c r="FR81" s="212" t="n"/>
      <c r="FS81" s="212" t="n"/>
      <c r="FT81" s="212" t="n"/>
      <c r="FU81" s="212" t="n"/>
      <c r="FV81" s="212" t="n"/>
      <c r="FW81" s="212" t="n"/>
      <c r="FX81" s="212" t="n"/>
      <c r="FY81" s="212" t="n"/>
      <c r="FZ81" s="212" t="n"/>
    </row>
    <row r="82" ht="39.95" customFormat="1" customHeight="1" s="5">
      <c r="A82" s="10" t="inlineStr">
        <is>
          <t>A</t>
        </is>
      </c>
      <c r="B82" s="6" t="n"/>
      <c r="C82" s="11" t="inlineStr">
        <is>
          <t>L</t>
        </is>
      </c>
      <c r="D82" s="433" t="n">
        <v>0.229</v>
      </c>
      <c r="E82" s="436" t="inlineStr">
        <is>
          <t>RF</t>
        </is>
      </c>
      <c r="F82" s="436" t="n">
        <v>0.227</v>
      </c>
      <c r="G82" s="436" t="n">
        <v>0.228</v>
      </c>
      <c r="H82" s="439" t="n">
        <v>0.218</v>
      </c>
      <c r="I82" s="442" t="n">
        <v>0.256</v>
      </c>
      <c r="J82" s="436" t="n">
        <v>0.275</v>
      </c>
      <c r="K82" s="436" t="n">
        <v>0.263</v>
      </c>
      <c r="L82" s="436" t="n">
        <v>0.263</v>
      </c>
      <c r="M82" s="439" t="n">
        <v>0.259</v>
      </c>
      <c r="N82" s="442" t="n">
        <v>0.262</v>
      </c>
      <c r="O82" s="436" t="n">
        <v>0.225</v>
      </c>
      <c r="P82" s="436" t="n">
        <v>0.227</v>
      </c>
      <c r="Q82" s="436" t="n">
        <v>0.245</v>
      </c>
      <c r="R82" s="439" t="n">
        <v>0.218</v>
      </c>
      <c r="S82" s="442" t="n">
        <v>0.224</v>
      </c>
      <c r="T82" s="436" t="n">
        <v>0.208</v>
      </c>
      <c r="U82" s="436" t="n">
        <v>0.217</v>
      </c>
      <c r="V82" s="436" t="n">
        <v>0.217</v>
      </c>
      <c r="W82" s="439" t="n">
        <v>0.205</v>
      </c>
      <c r="X82" s="442" t="n">
        <v>0.245</v>
      </c>
      <c r="Y82" s="436" t="n">
        <v>0.21</v>
      </c>
      <c r="Z82" s="436" t="n">
        <v>0.217</v>
      </c>
      <c r="AA82" s="436" t="n">
        <v>0.222</v>
      </c>
      <c r="AB82" s="439" t="n">
        <v>0.216</v>
      </c>
      <c r="AC82" s="442" t="n">
        <v>0.214</v>
      </c>
      <c r="AD82" s="436" t="n">
        <v>0.213</v>
      </c>
      <c r="AE82" s="436" t="n">
        <v>0.216</v>
      </c>
      <c r="AF82" s="436" t="n">
        <v>0.22</v>
      </c>
      <c r="AG82" s="439" t="n">
        <v>0.206</v>
      </c>
      <c r="AH82" s="442" t="n">
        <v>0.206</v>
      </c>
      <c r="AI82" s="436" t="n">
        <v>0.209</v>
      </c>
      <c r="AJ82" s="436" t="n">
        <v>0.216</v>
      </c>
      <c r="AK82" s="436" t="n">
        <v>0.215</v>
      </c>
      <c r="AL82" s="439" t="n">
        <v>0.234</v>
      </c>
      <c r="AM82" s="442" t="n">
        <v>0.215</v>
      </c>
      <c r="AN82" s="436" t="n">
        <v>0.211</v>
      </c>
      <c r="AO82" s="436" t="n">
        <v>0.213</v>
      </c>
      <c r="AP82" s="436" t="n">
        <v>0.211</v>
      </c>
      <c r="AQ82" s="439" t="n">
        <v>0.216</v>
      </c>
      <c r="AR82" s="442" t="n">
        <v>0.217</v>
      </c>
      <c r="AS82" s="436" t="n">
        <v>0.226</v>
      </c>
      <c r="AT82" s="436" t="n">
        <v>0.226</v>
      </c>
      <c r="AU82" s="436" t="n">
        <v>0.215</v>
      </c>
      <c r="AV82" s="439" t="n">
        <v>0.216</v>
      </c>
      <c r="AW82" s="442" t="n">
        <v>0.225</v>
      </c>
      <c r="AX82" s="436" t="n">
        <v>0.216</v>
      </c>
      <c r="AY82" s="436" t="n">
        <v>0.226</v>
      </c>
      <c r="AZ82" s="436" t="n">
        <v>0.222</v>
      </c>
      <c r="BA82" s="439" t="n">
        <v>0.204</v>
      </c>
      <c r="BB82" s="442" t="n">
        <v>0.204</v>
      </c>
      <c r="BC82" s="436" t="n">
        <v>0.22</v>
      </c>
      <c r="BD82" s="436" t="n">
        <v>0.22</v>
      </c>
      <c r="BE82" s="436" t="n">
        <v>0.215</v>
      </c>
      <c r="BF82" s="439" t="n">
        <v>0.214</v>
      </c>
      <c r="BG82" s="442" t="n">
        <v>0.213</v>
      </c>
      <c r="BH82" s="436" t="n">
        <v>0.225</v>
      </c>
      <c r="BI82" s="436" t="n">
        <v>0.225</v>
      </c>
      <c r="BJ82" s="436" t="n">
        <v>0.214</v>
      </c>
      <c r="BK82" s="439" t="n">
        <v>0.224</v>
      </c>
      <c r="BL82" s="442" t="n">
        <v>0.221</v>
      </c>
      <c r="BM82" s="436" t="n">
        <v>0.215</v>
      </c>
      <c r="BN82" s="436" t="n">
        <v>0.223</v>
      </c>
      <c r="BO82" s="436" t="n">
        <v>0.222</v>
      </c>
      <c r="BP82" s="439" t="n">
        <v>0.254</v>
      </c>
      <c r="BQ82" s="442" t="n">
        <v>0.225</v>
      </c>
      <c r="BR82" s="436" t="n">
        <v>0.222</v>
      </c>
      <c r="BS82" s="436" t="n">
        <v>0.243</v>
      </c>
      <c r="BT82" s="439" t="n">
        <v>0.23</v>
      </c>
      <c r="BU82" s="454">
        <f>IFERROR(AVERAGE(D82:BT84),0)</f>
        <v/>
      </c>
      <c r="BV82" s="454">
        <f>MIN(D82:BT84)</f>
        <v/>
      </c>
      <c r="BW82" s="437" t="n"/>
      <c r="BX82" s="437" t="n"/>
      <c r="BY82" s="437" t="n"/>
      <c r="BZ82" s="437" t="n"/>
      <c r="CA82" s="437" t="n"/>
      <c r="CB82" s="437" t="n"/>
      <c r="CC82" s="437" t="n"/>
      <c r="CD82" s="437" t="n"/>
      <c r="CE82" s="437" t="n"/>
      <c r="CF82" s="437" t="n"/>
      <c r="CG82" s="437" t="n"/>
      <c r="CH82" s="437" t="n"/>
      <c r="CI82" s="437" t="n"/>
      <c r="CJ82" s="437" t="n"/>
      <c r="CK82" s="437" t="n"/>
      <c r="CL82" s="437" t="n"/>
      <c r="CM82" s="437" t="n"/>
      <c r="CN82" s="437" t="n"/>
      <c r="CO82" s="437" t="n"/>
      <c r="CP82" s="437" t="n"/>
      <c r="CQ82" s="437" t="n"/>
      <c r="CR82" s="437" t="n"/>
      <c r="CS82" s="437" t="n"/>
      <c r="CT82" s="437" t="n"/>
      <c r="CU82" s="437" t="n"/>
      <c r="CV82" s="437" t="n"/>
      <c r="CW82" s="437" t="n"/>
      <c r="CX82" s="437" t="n"/>
      <c r="CY82" s="437" t="n"/>
      <c r="CZ82" s="437" t="n"/>
      <c r="DA82" s="437" t="n"/>
      <c r="DB82" s="437" t="n"/>
      <c r="DC82" s="437" t="n"/>
      <c r="DD82" s="437" t="n"/>
      <c r="DE82" s="437" t="n"/>
      <c r="DF82" s="437" t="n"/>
      <c r="DG82" s="437" t="n"/>
      <c r="DH82" s="437" t="n"/>
      <c r="DI82" s="437" t="n"/>
      <c r="DJ82" s="437" t="n"/>
      <c r="DK82" s="437" t="n"/>
      <c r="DL82" s="437" t="n"/>
      <c r="DM82" s="437" t="n"/>
      <c r="DN82" s="437" t="n"/>
      <c r="DO82" s="437" t="n"/>
      <c r="DP82" s="437" t="n"/>
      <c r="DQ82" s="437" t="n"/>
      <c r="DR82" s="437" t="n"/>
      <c r="DS82" s="437" t="n"/>
      <c r="DT82" s="437" t="n"/>
      <c r="DU82" s="437" t="n"/>
      <c r="DV82" s="437" t="n"/>
      <c r="DW82" s="437" t="n"/>
      <c r="DX82" s="437" t="n"/>
      <c r="DY82" s="238" t="n"/>
      <c r="DZ82" s="23" t="n"/>
      <c r="FQ82" s="212" t="n"/>
      <c r="FR82" s="212" t="n"/>
      <c r="FS82" s="212" t="n"/>
      <c r="FT82" s="212" t="n"/>
      <c r="FU82" s="212" t="n"/>
      <c r="FV82" s="212" t="n"/>
      <c r="FW82" s="212" t="n"/>
      <c r="FX82" s="212" t="n"/>
      <c r="FY82" s="212" t="n"/>
      <c r="FZ82" s="212" t="n"/>
    </row>
    <row r="83" ht="39.95" customFormat="1" customHeight="1" s="5">
      <c r="A83" s="182" t="n">
        <v>0.083</v>
      </c>
      <c r="B83" s="7" t="inlineStr">
        <is>
          <t>-36 IN</t>
        </is>
      </c>
      <c r="C83" s="11" t="inlineStr">
        <is>
          <t>C</t>
        </is>
      </c>
      <c r="D83" s="434" t="inlineStr">
        <is>
          <t>RF</t>
        </is>
      </c>
      <c r="E83" s="437" t="n">
        <v>0.22</v>
      </c>
      <c r="F83" s="437" t="n">
        <v>0.226</v>
      </c>
      <c r="G83" s="437" t="n">
        <v>0.228</v>
      </c>
      <c r="H83" s="440" t="n">
        <v>0.218</v>
      </c>
      <c r="I83" s="443" t="n">
        <v>0.269</v>
      </c>
      <c r="J83" s="437" t="n">
        <v>0.29</v>
      </c>
      <c r="K83" s="437" t="n">
        <v>0.266</v>
      </c>
      <c r="L83" s="437" t="n">
        <v>0.256</v>
      </c>
      <c r="M83" s="440" t="n">
        <v>0.251</v>
      </c>
      <c r="N83" s="443" t="n">
        <v>0.261</v>
      </c>
      <c r="O83" s="437" t="n">
        <v>0.227</v>
      </c>
      <c r="P83" s="437" t="n">
        <v>0.218</v>
      </c>
      <c r="Q83" s="437" t="n">
        <v>0.217</v>
      </c>
      <c r="R83" s="440" t="n">
        <v>0.219</v>
      </c>
      <c r="S83" s="443" t="n">
        <v>0.233</v>
      </c>
      <c r="T83" s="437" t="n">
        <v>0.216</v>
      </c>
      <c r="U83" s="437" t="n">
        <v>0.222</v>
      </c>
      <c r="V83" s="437" t="n">
        <v>0.222</v>
      </c>
      <c r="W83" s="440" t="n">
        <v>0.2</v>
      </c>
      <c r="X83" s="443" t="n">
        <v>0.243</v>
      </c>
      <c r="Y83" s="437" t="n">
        <v>0.214</v>
      </c>
      <c r="Z83" s="437" t="n">
        <v>0.213</v>
      </c>
      <c r="AA83" s="437" t="n">
        <v>0.219</v>
      </c>
      <c r="AB83" s="440" t="n">
        <v>0.216</v>
      </c>
      <c r="AC83" s="443" t="n">
        <v>0.21</v>
      </c>
      <c r="AD83" s="437" t="n">
        <v>0.219</v>
      </c>
      <c r="AE83" s="437" t="n">
        <v>0.245</v>
      </c>
      <c r="AF83" s="437" t="n">
        <v>0.217</v>
      </c>
      <c r="AG83" s="440" t="n">
        <v>0.208</v>
      </c>
      <c r="AH83" s="443" t="n">
        <v>0.203</v>
      </c>
      <c r="AI83" s="437" t="n">
        <v>0.207</v>
      </c>
      <c r="AJ83" s="437" t="n">
        <v>0.225</v>
      </c>
      <c r="AK83" s="437" t="n">
        <v>0.224</v>
      </c>
      <c r="AL83" s="440" t="n">
        <v>0.208</v>
      </c>
      <c r="AM83" s="443" t="n">
        <v>0.215</v>
      </c>
      <c r="AN83" s="437" t="n">
        <v>0.225</v>
      </c>
      <c r="AO83" s="437" t="n">
        <v>0.217</v>
      </c>
      <c r="AP83" s="437" t="n">
        <v>0.212</v>
      </c>
      <c r="AQ83" s="440" t="n">
        <v>0.214</v>
      </c>
      <c r="AR83" s="443" t="n">
        <v>0.209</v>
      </c>
      <c r="AS83" s="437" t="n">
        <v>0.226</v>
      </c>
      <c r="AT83" s="437" t="n">
        <v>0.218</v>
      </c>
      <c r="AU83" s="437" t="n">
        <v>0.207</v>
      </c>
      <c r="AV83" s="440" t="n">
        <v>0.229</v>
      </c>
      <c r="AW83" s="443" t="n">
        <v>0.226</v>
      </c>
      <c r="AX83" s="437" t="n">
        <v>0.219</v>
      </c>
      <c r="AY83" s="437" t="n">
        <v>0.224</v>
      </c>
      <c r="AZ83" s="437" t="n">
        <v>0.226</v>
      </c>
      <c r="BA83" s="440" t="n">
        <v>0.214</v>
      </c>
      <c r="BB83" s="443" t="n">
        <v>0.208</v>
      </c>
      <c r="BC83" s="437" t="n">
        <v>0.222</v>
      </c>
      <c r="BD83" s="437" t="n">
        <v>0.22</v>
      </c>
      <c r="BE83" s="437" t="n">
        <v>0.229</v>
      </c>
      <c r="BF83" s="440" t="n">
        <v>0.215</v>
      </c>
      <c r="BG83" s="443" t="n">
        <v>0.212</v>
      </c>
      <c r="BH83" s="437" t="n">
        <v>0.229</v>
      </c>
      <c r="BI83" s="437" t="n">
        <v>0.214</v>
      </c>
      <c r="BJ83" s="437" t="n">
        <v>0.214</v>
      </c>
      <c r="BK83" s="440" t="n">
        <v>0.224</v>
      </c>
      <c r="BL83" s="443" t="n">
        <v>0.213</v>
      </c>
      <c r="BM83" s="437" t="n">
        <v>0.213</v>
      </c>
      <c r="BN83" s="437" t="n">
        <v>0.217</v>
      </c>
      <c r="BO83" s="437" t="n">
        <v>0.227</v>
      </c>
      <c r="BP83" s="440" t="n">
        <v>0.222</v>
      </c>
      <c r="BQ83" s="443" t="n">
        <v>0.221</v>
      </c>
      <c r="BR83" s="437" t="n">
        <v>0.228</v>
      </c>
      <c r="BS83" s="437" t="n">
        <v>0.219</v>
      </c>
      <c r="BT83" s="440" t="n">
        <v>0.227</v>
      </c>
      <c r="BU83" s="455" t="n"/>
      <c r="BV83" s="455" t="n"/>
      <c r="BW83" s="437" t="n"/>
      <c r="BX83" s="437" t="n"/>
      <c r="BY83" s="437" t="n"/>
      <c r="BZ83" s="437" t="n"/>
      <c r="CA83" s="437" t="n"/>
      <c r="CB83" s="437" t="n"/>
      <c r="CC83" s="437" t="n"/>
      <c r="CD83" s="437" t="n"/>
      <c r="CE83" s="437" t="n"/>
      <c r="CF83" s="437" t="n"/>
      <c r="CG83" s="437" t="n"/>
      <c r="CH83" s="437" t="n"/>
      <c r="CI83" s="437" t="n"/>
      <c r="CJ83" s="437" t="n"/>
      <c r="CK83" s="437" t="n"/>
      <c r="CL83" s="437" t="n"/>
      <c r="CM83" s="437" t="n"/>
      <c r="CN83" s="437" t="n"/>
      <c r="CO83" s="437" t="n"/>
      <c r="CP83" s="437" t="n"/>
      <c r="CQ83" s="437" t="n"/>
      <c r="CR83" s="437" t="n"/>
      <c r="CS83" s="437" t="n"/>
      <c r="CT83" s="437" t="n"/>
      <c r="CU83" s="437" t="n"/>
      <c r="CV83" s="437" t="n"/>
      <c r="CW83" s="437" t="n"/>
      <c r="CX83" s="437" t="n"/>
      <c r="CY83" s="437" t="n"/>
      <c r="CZ83" s="437" t="n"/>
      <c r="DA83" s="437" t="n"/>
      <c r="DB83" s="437" t="n"/>
      <c r="DC83" s="437" t="n"/>
      <c r="DD83" s="437" t="n"/>
      <c r="DE83" s="437" t="n"/>
      <c r="DF83" s="437" t="n"/>
      <c r="DG83" s="437" t="n"/>
      <c r="DH83" s="437" t="n"/>
      <c r="DI83" s="437" t="n"/>
      <c r="DJ83" s="437" t="n"/>
      <c r="DK83" s="437" t="n"/>
      <c r="DL83" s="437" t="n"/>
      <c r="DM83" s="437" t="n"/>
      <c r="DN83" s="437" t="n"/>
      <c r="DO83" s="437" t="n"/>
      <c r="DP83" s="437" t="n"/>
      <c r="DQ83" s="437" t="n"/>
      <c r="DR83" s="437" t="n"/>
      <c r="DS83" s="437" t="n"/>
      <c r="DT83" s="437" t="n"/>
      <c r="DU83" s="437" t="n"/>
      <c r="DV83" s="437" t="n"/>
      <c r="DW83" s="437" t="n"/>
      <c r="DX83" s="437" t="n"/>
      <c r="DY83" s="238" t="n"/>
      <c r="DZ83" s="23" t="n"/>
      <c r="FQ83" s="212" t="n"/>
      <c r="FR83" s="212" t="n"/>
      <c r="FS83" s="212" t="n"/>
      <c r="FT83" s="212" t="n"/>
      <c r="FU83" s="212" t="n"/>
      <c r="FV83" s="212" t="n"/>
      <c r="FW83" s="212" t="n"/>
      <c r="FX83" s="212" t="n"/>
      <c r="FY83" s="212" t="n"/>
      <c r="FZ83" s="212" t="n"/>
    </row>
    <row r="84" ht="39.95" customFormat="1" customHeight="1" s="5">
      <c r="A84" s="456" t="n"/>
      <c r="B84" s="8" t="n"/>
      <c r="C84" s="12" t="inlineStr">
        <is>
          <t>R</t>
        </is>
      </c>
      <c r="D84" s="435" t="inlineStr">
        <is>
          <t>RF</t>
        </is>
      </c>
      <c r="E84" s="438" t="n">
        <v>0.219</v>
      </c>
      <c r="F84" s="438" t="n">
        <v>0.225</v>
      </c>
      <c r="G84" s="438" t="n">
        <v>0.226</v>
      </c>
      <c r="H84" s="441" t="n">
        <v>0.22</v>
      </c>
      <c r="I84" s="444" t="n">
        <v>0.268</v>
      </c>
      <c r="J84" s="438" t="n">
        <v>0.267</v>
      </c>
      <c r="K84" s="438" t="n">
        <v>0.267</v>
      </c>
      <c r="L84" s="438" t="n">
        <v>0.258</v>
      </c>
      <c r="M84" s="441" t="n">
        <v>0.251</v>
      </c>
      <c r="N84" s="444" t="n">
        <v>0.266</v>
      </c>
      <c r="O84" s="438" t="n">
        <v>0.225</v>
      </c>
      <c r="P84" s="438" t="n">
        <v>0.22</v>
      </c>
      <c r="Q84" s="438" t="n">
        <v>0.218</v>
      </c>
      <c r="R84" s="441" t="n">
        <v>0.223</v>
      </c>
      <c r="S84" s="444" t="n">
        <v>0.217</v>
      </c>
      <c r="T84" s="438" t="n">
        <v>0.206</v>
      </c>
      <c r="U84" s="438" t="n">
        <v>0.218</v>
      </c>
      <c r="V84" s="438" t="n">
        <v>0.222</v>
      </c>
      <c r="W84" s="441" t="n">
        <v>0.212</v>
      </c>
      <c r="X84" s="444" t="n">
        <v>0.225</v>
      </c>
      <c r="Y84" s="438" t="n">
        <v>0.212</v>
      </c>
      <c r="Z84" s="438" t="n">
        <v>0.205</v>
      </c>
      <c r="AA84" s="438" t="n">
        <v>0.217</v>
      </c>
      <c r="AB84" s="441" t="n">
        <v>0.217</v>
      </c>
      <c r="AC84" s="444" t="n">
        <v>0.205</v>
      </c>
      <c r="AD84" s="438" t="n">
        <v>0.217</v>
      </c>
      <c r="AE84" s="438" t="n">
        <v>0.218</v>
      </c>
      <c r="AF84" s="438" t="n">
        <v>0.22</v>
      </c>
      <c r="AG84" s="441" t="n">
        <v>0.21</v>
      </c>
      <c r="AH84" s="444" t="n">
        <v>0.208</v>
      </c>
      <c r="AI84" s="438" t="n">
        <v>0.213</v>
      </c>
      <c r="AJ84" s="438" t="n">
        <v>0.222</v>
      </c>
      <c r="AK84" s="438" t="n">
        <v>0.221</v>
      </c>
      <c r="AL84" s="441" t="n">
        <v>0.214</v>
      </c>
      <c r="AM84" s="444" t="n">
        <v>0.209</v>
      </c>
      <c r="AN84" s="438" t="n">
        <v>0.214</v>
      </c>
      <c r="AO84" s="438" t="n">
        <v>0.221</v>
      </c>
      <c r="AP84" s="438" t="n">
        <v>0.218</v>
      </c>
      <c r="AQ84" s="441" t="n">
        <v>0.214</v>
      </c>
      <c r="AR84" s="444" t="n">
        <v>0.21</v>
      </c>
      <c r="AS84" s="438" t="n">
        <v>0.212</v>
      </c>
      <c r="AT84" s="438" t="n">
        <v>0.216</v>
      </c>
      <c r="AU84" s="438" t="n">
        <v>0.214</v>
      </c>
      <c r="AV84" s="441" t="n">
        <v>0.21</v>
      </c>
      <c r="AW84" s="444" t="n">
        <v>0.221</v>
      </c>
      <c r="AX84" s="438" t="n">
        <v>0.225</v>
      </c>
      <c r="AY84" s="438" t="n">
        <v>0.225</v>
      </c>
      <c r="AZ84" s="438" t="n">
        <v>0.211</v>
      </c>
      <c r="BA84" s="441" t="n">
        <v>0.217</v>
      </c>
      <c r="BB84" s="444" t="n">
        <v>0.213</v>
      </c>
      <c r="BC84" s="438" t="n">
        <v>0.218</v>
      </c>
      <c r="BD84" s="438" t="n">
        <v>0.215</v>
      </c>
      <c r="BE84" s="438" t="n">
        <v>0.22</v>
      </c>
      <c r="BF84" s="441" t="n">
        <v>0.228</v>
      </c>
      <c r="BG84" s="444" t="n">
        <v>0.225</v>
      </c>
      <c r="BH84" s="438" t="n">
        <v>0.213</v>
      </c>
      <c r="BI84" s="438" t="n">
        <v>0.214</v>
      </c>
      <c r="BJ84" s="438" t="n">
        <v>0.219</v>
      </c>
      <c r="BK84" s="441" t="n">
        <v>0.224</v>
      </c>
      <c r="BL84" s="444" t="n">
        <v>0.215</v>
      </c>
      <c r="BM84" s="438" t="n">
        <v>0.218</v>
      </c>
      <c r="BN84" s="438" t="n">
        <v>0.213</v>
      </c>
      <c r="BO84" s="438" t="n">
        <v>0.232</v>
      </c>
      <c r="BP84" s="441" t="n">
        <v>0.223</v>
      </c>
      <c r="BQ84" s="444" t="n">
        <v>0.214</v>
      </c>
      <c r="BR84" s="438" t="n">
        <v>0.227</v>
      </c>
      <c r="BS84" s="438" t="n">
        <v>0.219</v>
      </c>
      <c r="BT84" s="441" t="n">
        <v>0.226</v>
      </c>
      <c r="BU84" s="457" t="n"/>
      <c r="BV84" s="457" t="n"/>
      <c r="BW84" s="437" t="n"/>
      <c r="BX84" s="437" t="n"/>
      <c r="BY84" s="437" t="n"/>
      <c r="BZ84" s="437" t="n"/>
      <c r="CA84" s="437" t="n"/>
      <c r="CB84" s="437" t="n"/>
      <c r="CC84" s="437" t="n"/>
      <c r="CD84" s="437" t="n"/>
      <c r="CE84" s="437" t="n"/>
      <c r="CF84" s="437" t="n"/>
      <c r="CG84" s="437" t="n"/>
      <c r="CH84" s="437" t="n"/>
      <c r="CI84" s="437" t="n"/>
      <c r="CJ84" s="437" t="n"/>
      <c r="CK84" s="437" t="n"/>
      <c r="CL84" s="437" t="n"/>
      <c r="CM84" s="437" t="n"/>
      <c r="CN84" s="437" t="n"/>
      <c r="CO84" s="437" t="n"/>
      <c r="CP84" s="437" t="n"/>
      <c r="CQ84" s="437" t="n"/>
      <c r="CR84" s="437" t="n"/>
      <c r="CS84" s="437" t="n"/>
      <c r="CT84" s="437" t="n"/>
      <c r="CU84" s="437" t="n"/>
      <c r="CV84" s="437" t="n"/>
      <c r="CW84" s="437" t="n"/>
      <c r="CX84" s="437" t="n"/>
      <c r="CY84" s="437" t="n"/>
      <c r="CZ84" s="437" t="n"/>
      <c r="DA84" s="437" t="n"/>
      <c r="DB84" s="437" t="n"/>
      <c r="DC84" s="437" t="n"/>
      <c r="DD84" s="437" t="n"/>
      <c r="DE84" s="437" t="n"/>
      <c r="DF84" s="437" t="n"/>
      <c r="DG84" s="437" t="n"/>
      <c r="DH84" s="437" t="n"/>
      <c r="DI84" s="437" t="n"/>
      <c r="DJ84" s="437" t="n"/>
      <c r="DK84" s="437" t="n"/>
      <c r="DL84" s="437" t="n"/>
      <c r="DM84" s="437" t="n"/>
      <c r="DN84" s="437" t="n"/>
      <c r="DO84" s="437" t="n"/>
      <c r="DP84" s="437" t="n"/>
      <c r="DQ84" s="437" t="n"/>
      <c r="DR84" s="437" t="n"/>
      <c r="DS84" s="437" t="n"/>
      <c r="DT84" s="437" t="n"/>
      <c r="DU84" s="437" t="n"/>
      <c r="DV84" s="437" t="n"/>
      <c r="DW84" s="437" t="n"/>
      <c r="DX84" s="437" t="n"/>
      <c r="DY84" s="238" t="n"/>
      <c r="DZ84" s="23" t="n"/>
      <c r="FQ84" s="212" t="n"/>
      <c r="FR84" s="212" t="n"/>
      <c r="FS84" s="212" t="n"/>
      <c r="FT84" s="212" t="n"/>
      <c r="FU84" s="212" t="n"/>
      <c r="FV84" s="212" t="n"/>
      <c r="FW84" s="212" t="n"/>
      <c r="FX84" s="212" t="n"/>
      <c r="FY84" s="212" t="n"/>
      <c r="FZ84" s="212" t="n"/>
    </row>
    <row r="85" ht="39.95" customFormat="1" customHeight="1" s="5">
      <c r="A85" s="10" t="inlineStr">
        <is>
          <t>A</t>
        </is>
      </c>
      <c r="B85" s="6" t="n"/>
      <c r="C85" s="11" t="inlineStr">
        <is>
          <t>L</t>
        </is>
      </c>
      <c r="D85" s="433" t="n">
        <v>0.227</v>
      </c>
      <c r="E85" s="436" t="n">
        <v>0.226</v>
      </c>
      <c r="F85" s="436" t="n">
        <v>0.249</v>
      </c>
      <c r="G85" s="436" t="n">
        <v>0.235</v>
      </c>
      <c r="H85" s="439" t="inlineStr">
        <is>
          <t>RF</t>
        </is>
      </c>
      <c r="I85" s="442" t="n">
        <v>0.244</v>
      </c>
      <c r="J85" s="436" t="n">
        <v>0.27</v>
      </c>
      <c r="K85" s="436" t="n">
        <v>0.266</v>
      </c>
      <c r="L85" s="436" t="n">
        <v>0.284</v>
      </c>
      <c r="M85" s="439" t="n">
        <v>0.267</v>
      </c>
      <c r="N85" s="442" t="n">
        <v>0.258</v>
      </c>
      <c r="O85" s="436" t="n">
        <v>0.234</v>
      </c>
      <c r="P85" s="436" t="n">
        <v>0.218</v>
      </c>
      <c r="Q85" s="436" t="n">
        <v>0.226</v>
      </c>
      <c r="R85" s="439" t="n">
        <v>0.223</v>
      </c>
      <c r="S85" s="442" t="n">
        <v>0.214</v>
      </c>
      <c r="T85" s="436" t="n">
        <v>0.217</v>
      </c>
      <c r="U85" s="436" t="n">
        <v>0.22</v>
      </c>
      <c r="V85" s="436" t="n">
        <v>0.215</v>
      </c>
      <c r="W85" s="439" t="n">
        <v>0.199</v>
      </c>
      <c r="X85" s="442" t="n">
        <v>0.213</v>
      </c>
      <c r="Y85" s="436" t="n">
        <v>0.229</v>
      </c>
      <c r="Z85" s="436" t="n">
        <v>0.235</v>
      </c>
      <c r="AA85" s="436" t="n">
        <v>0.227</v>
      </c>
      <c r="AB85" s="439" t="n">
        <v>0.219</v>
      </c>
      <c r="AC85" s="442" t="n">
        <v>0.206</v>
      </c>
      <c r="AD85" s="436" t="n">
        <v>0.218</v>
      </c>
      <c r="AE85" s="436" t="n">
        <v>0.24</v>
      </c>
      <c r="AF85" s="436" t="n">
        <v>0.212</v>
      </c>
      <c r="AG85" s="439" t="n">
        <v>0.223</v>
      </c>
      <c r="AH85" s="442" t="n">
        <v>0.208</v>
      </c>
      <c r="AI85" s="436" t="n">
        <v>0.208</v>
      </c>
      <c r="AJ85" s="436" t="n">
        <v>0.198</v>
      </c>
      <c r="AK85" s="436" t="n">
        <v>0.213</v>
      </c>
      <c r="AL85" s="439" t="n">
        <v>0.22</v>
      </c>
      <c r="AM85" s="442" t="n">
        <v>0.222</v>
      </c>
      <c r="AN85" s="436" t="n">
        <v>0.219</v>
      </c>
      <c r="AO85" s="436" t="n">
        <v>0.211</v>
      </c>
      <c r="AP85" s="436" t="n">
        <v>0.21</v>
      </c>
      <c r="AQ85" s="439" t="n">
        <v>0.22</v>
      </c>
      <c r="AR85" s="442" t="n">
        <v>0.21</v>
      </c>
      <c r="AS85" s="436" t="n">
        <v>0.217</v>
      </c>
      <c r="AT85" s="436" t="n">
        <v>0.223</v>
      </c>
      <c r="AU85" s="436" t="n">
        <v>0.218</v>
      </c>
      <c r="AV85" s="439" t="n">
        <v>0.208</v>
      </c>
      <c r="AW85" s="442" t="n">
        <v>0.23</v>
      </c>
      <c r="AX85" s="436" t="n">
        <v>0.217</v>
      </c>
      <c r="AY85" s="436" t="n">
        <v>0.212</v>
      </c>
      <c r="AZ85" s="436" t="n">
        <v>0.219</v>
      </c>
      <c r="BA85" s="439" t="n">
        <v>0.215</v>
      </c>
      <c r="BB85" s="442" t="n">
        <v>0.219</v>
      </c>
      <c r="BC85" s="436" t="n">
        <v>0.219</v>
      </c>
      <c r="BD85" s="436" t="n">
        <v>0.207</v>
      </c>
      <c r="BE85" s="436" t="n">
        <v>0.21</v>
      </c>
      <c r="BF85" s="439" t="n">
        <v>0.224</v>
      </c>
      <c r="BG85" s="442" t="n">
        <v>0.218</v>
      </c>
      <c r="BH85" s="436" t="n">
        <v>0.218</v>
      </c>
      <c r="BI85" s="436" t="n">
        <v>0.218</v>
      </c>
      <c r="BJ85" s="436" t="n">
        <v>0.211</v>
      </c>
      <c r="BK85" s="439" t="n">
        <v>0.219</v>
      </c>
      <c r="BL85" s="442" t="n">
        <v>0.213</v>
      </c>
      <c r="BM85" s="436" t="n">
        <v>0.229</v>
      </c>
      <c r="BN85" s="436" t="n">
        <v>0.199</v>
      </c>
      <c r="BO85" s="436" t="n">
        <v>0.219</v>
      </c>
      <c r="BP85" s="439" t="n">
        <v>0.218</v>
      </c>
      <c r="BQ85" s="442" t="n">
        <v>0.203</v>
      </c>
      <c r="BR85" s="436" t="n">
        <v>0.215</v>
      </c>
      <c r="BS85" s="436" t="n">
        <v>0.212</v>
      </c>
      <c r="BT85" s="439" t="n">
        <v>0.228</v>
      </c>
      <c r="BU85" s="454">
        <f>IFERROR(AVERAGE(D85:BT87),0)</f>
        <v/>
      </c>
      <c r="BV85" s="454">
        <f>MIN(D85:BT87)</f>
        <v/>
      </c>
      <c r="BW85" s="437" t="n"/>
      <c r="BX85" s="437" t="n"/>
      <c r="BY85" s="437" t="n"/>
      <c r="BZ85" s="437" t="n"/>
      <c r="CA85" s="437" t="n"/>
      <c r="CB85" s="437" t="n"/>
      <c r="CC85" s="437" t="n"/>
      <c r="CD85" s="437" t="n"/>
      <c r="CE85" s="437" t="n"/>
      <c r="CF85" s="437" t="n"/>
      <c r="CG85" s="437" t="n"/>
      <c r="CH85" s="437" t="n"/>
      <c r="CI85" s="437" t="n"/>
      <c r="CJ85" s="437" t="n"/>
      <c r="CK85" s="437" t="n"/>
      <c r="CL85" s="437" t="n"/>
      <c r="CM85" s="437" t="n"/>
      <c r="CN85" s="437" t="n"/>
      <c r="CO85" s="437" t="n"/>
      <c r="CP85" s="437" t="n"/>
      <c r="CQ85" s="437" t="n"/>
      <c r="CR85" s="437" t="n"/>
      <c r="CS85" s="437" t="n"/>
      <c r="CT85" s="437" t="n"/>
      <c r="CU85" s="437" t="n"/>
      <c r="CV85" s="437" t="n"/>
      <c r="CW85" s="437" t="n"/>
      <c r="CX85" s="437" t="n"/>
      <c r="CY85" s="437" t="n"/>
      <c r="CZ85" s="437" t="n"/>
      <c r="DA85" s="437" t="n"/>
      <c r="DB85" s="437" t="n"/>
      <c r="DC85" s="437" t="n"/>
      <c r="DD85" s="437" t="n"/>
      <c r="DE85" s="437" t="n"/>
      <c r="DF85" s="437" t="n"/>
      <c r="DG85" s="437" t="n"/>
      <c r="DH85" s="437" t="n"/>
      <c r="DI85" s="437" t="n"/>
      <c r="DJ85" s="437" t="n"/>
      <c r="DK85" s="437" t="n"/>
      <c r="DL85" s="437" t="n"/>
      <c r="DM85" s="437" t="n"/>
      <c r="DN85" s="437" t="n"/>
      <c r="DO85" s="437" t="n"/>
      <c r="DP85" s="437" t="n"/>
      <c r="DQ85" s="437" t="n"/>
      <c r="DR85" s="437" t="n"/>
      <c r="DS85" s="437" t="n"/>
      <c r="DT85" s="437" t="n"/>
      <c r="DU85" s="437" t="n"/>
      <c r="DV85" s="437" t="n"/>
      <c r="DW85" s="437" t="n"/>
      <c r="DX85" s="437" t="n"/>
      <c r="DY85" s="238" t="n"/>
      <c r="DZ85" s="23" t="n"/>
      <c r="FQ85" s="212" t="n"/>
      <c r="FR85" s="212" t="n"/>
      <c r="FS85" s="212" t="n"/>
      <c r="FT85" s="212" t="n"/>
      <c r="FU85" s="212" t="n"/>
      <c r="FV85" s="212" t="n"/>
      <c r="FW85" s="212" t="n"/>
      <c r="FX85" s="212" t="n"/>
      <c r="FY85" s="212" t="n"/>
      <c r="FZ85" s="212" t="n"/>
    </row>
    <row r="86" ht="39.95" customFormat="1" customHeight="1" s="5">
      <c r="A86" s="182" t="n">
        <v>0.083</v>
      </c>
      <c r="B86" s="7" t="inlineStr">
        <is>
          <t>-45 IN</t>
        </is>
      </c>
      <c r="C86" s="11" t="inlineStr">
        <is>
          <t>C</t>
        </is>
      </c>
      <c r="D86" s="434" t="inlineStr">
        <is>
          <t>RF</t>
        </is>
      </c>
      <c r="E86" s="437" t="n">
        <v>0.228</v>
      </c>
      <c r="F86" s="437" t="n">
        <v>0.225</v>
      </c>
      <c r="G86" s="437" t="n">
        <v>0.225</v>
      </c>
      <c r="H86" s="440" t="n">
        <v>0.228</v>
      </c>
      <c r="I86" s="443" t="n">
        <v>0.272</v>
      </c>
      <c r="J86" s="437" t="n">
        <v>0.265</v>
      </c>
      <c r="K86" s="437" t="n">
        <v>0.285</v>
      </c>
      <c r="L86" s="437" t="n">
        <v>0.252</v>
      </c>
      <c r="M86" s="440" t="n">
        <v>0.27</v>
      </c>
      <c r="N86" s="443" t="n">
        <v>0.263</v>
      </c>
      <c r="O86" s="437" t="n">
        <v>0.223</v>
      </c>
      <c r="P86" s="437" t="n">
        <v>0.22</v>
      </c>
      <c r="Q86" s="437" t="n">
        <v>0.222</v>
      </c>
      <c r="R86" s="440" t="n">
        <v>0.236</v>
      </c>
      <c r="S86" s="443" t="n">
        <v>0.22</v>
      </c>
      <c r="T86" s="437" t="n">
        <v>0.219</v>
      </c>
      <c r="U86" s="437" t="n">
        <v>0.219</v>
      </c>
      <c r="V86" s="437" t="n">
        <v>0.235</v>
      </c>
      <c r="W86" s="440" t="n">
        <v>0.214</v>
      </c>
      <c r="X86" s="443" t="n">
        <v>0.213</v>
      </c>
      <c r="Y86" s="437" t="n">
        <v>0.228</v>
      </c>
      <c r="Z86" s="437" t="n">
        <v>0.211</v>
      </c>
      <c r="AA86" s="437" t="n">
        <v>0.217</v>
      </c>
      <c r="AB86" s="440" t="n">
        <v>0.233</v>
      </c>
      <c r="AC86" s="443" t="n">
        <v>0.203</v>
      </c>
      <c r="AD86" s="437" t="n">
        <v>0.227</v>
      </c>
      <c r="AE86" s="437" t="n">
        <v>0.216</v>
      </c>
      <c r="AF86" s="437" t="n">
        <v>0.214</v>
      </c>
      <c r="AG86" s="440" t="n">
        <v>0.216</v>
      </c>
      <c r="AH86" s="443" t="n">
        <v>0.211</v>
      </c>
      <c r="AI86" s="437" t="n">
        <v>0.209</v>
      </c>
      <c r="AJ86" s="437" t="n">
        <v>0.226</v>
      </c>
      <c r="AK86" s="437" t="n">
        <v>0.221</v>
      </c>
      <c r="AL86" s="440" t="n">
        <v>0.22</v>
      </c>
      <c r="AM86" s="443" t="n">
        <v>0.218</v>
      </c>
      <c r="AN86" s="437" t="n">
        <v>0.218</v>
      </c>
      <c r="AO86" s="437" t="n">
        <v>0.209</v>
      </c>
      <c r="AP86" s="437" t="n">
        <v>0.222</v>
      </c>
      <c r="AQ86" s="440" t="n">
        <v>0.232</v>
      </c>
      <c r="AR86" s="443" t="n">
        <v>0.211</v>
      </c>
      <c r="AS86" s="437" t="n">
        <v>0.239</v>
      </c>
      <c r="AT86" s="437" t="n">
        <v>0.229</v>
      </c>
      <c r="AU86" s="437" t="n">
        <v>0.218</v>
      </c>
      <c r="AV86" s="440" t="n">
        <v>0.208</v>
      </c>
      <c r="AW86" s="443" t="n">
        <v>0.23</v>
      </c>
      <c r="AX86" s="437" t="n">
        <v>0.222</v>
      </c>
      <c r="AY86" s="437" t="n">
        <v>0.223</v>
      </c>
      <c r="AZ86" s="437" t="n">
        <v>0.211</v>
      </c>
      <c r="BA86" s="440" t="n">
        <v>0.214</v>
      </c>
      <c r="BB86" s="443" t="n">
        <v>0.211</v>
      </c>
      <c r="BC86" s="437" t="n">
        <v>0.22</v>
      </c>
      <c r="BD86" s="437" t="n">
        <v>0.218</v>
      </c>
      <c r="BE86" s="437" t="n">
        <v>0.218</v>
      </c>
      <c r="BF86" s="440" t="n">
        <v>0.217</v>
      </c>
      <c r="BG86" s="443" t="n">
        <v>0.211</v>
      </c>
      <c r="BH86" s="437" t="n">
        <v>0.223</v>
      </c>
      <c r="BI86" s="437" t="n">
        <v>0.211</v>
      </c>
      <c r="BJ86" s="437" t="n">
        <v>0.213</v>
      </c>
      <c r="BK86" s="440" t="n">
        <v>0.229</v>
      </c>
      <c r="BL86" s="443" t="n">
        <v>0.244</v>
      </c>
      <c r="BM86" s="437" t="n">
        <v>0.221</v>
      </c>
      <c r="BN86" s="437" t="n">
        <v>0.211</v>
      </c>
      <c r="BO86" s="437" t="n">
        <v>0.214</v>
      </c>
      <c r="BP86" s="440" t="n">
        <v>0.205</v>
      </c>
      <c r="BQ86" s="443" t="n">
        <v>0.214</v>
      </c>
      <c r="BR86" s="437" t="n">
        <v>0.244</v>
      </c>
      <c r="BS86" s="437" t="n">
        <v>0.217</v>
      </c>
      <c r="BT86" s="440" t="n">
        <v>0.215</v>
      </c>
      <c r="BU86" s="455" t="n"/>
      <c r="BV86" s="455" t="n"/>
      <c r="BW86" s="437" t="n"/>
      <c r="BX86" s="437" t="n"/>
      <c r="BY86" s="437" t="n"/>
      <c r="BZ86" s="437" t="n"/>
      <c r="CA86" s="437" t="n"/>
      <c r="CB86" s="437" t="n"/>
      <c r="CC86" s="437" t="n"/>
      <c r="CD86" s="437" t="n"/>
      <c r="CE86" s="437" t="n"/>
      <c r="CF86" s="437" t="n"/>
      <c r="CG86" s="437" t="n"/>
      <c r="CH86" s="437" t="n"/>
      <c r="CI86" s="437" t="n"/>
      <c r="CJ86" s="437" t="n"/>
      <c r="CK86" s="437" t="n"/>
      <c r="CL86" s="437" t="n"/>
      <c r="CM86" s="437" t="n"/>
      <c r="CN86" s="437" t="n"/>
      <c r="CO86" s="437" t="n"/>
      <c r="CP86" s="437" t="n"/>
      <c r="CQ86" s="437" t="n"/>
      <c r="CR86" s="437" t="n"/>
      <c r="CS86" s="437" t="n"/>
      <c r="CT86" s="437" t="n"/>
      <c r="CU86" s="437" t="n"/>
      <c r="CV86" s="437" t="n"/>
      <c r="CW86" s="437" t="n"/>
      <c r="CX86" s="437" t="n"/>
      <c r="CY86" s="437" t="n"/>
      <c r="CZ86" s="437" t="n"/>
      <c r="DA86" s="437" t="n"/>
      <c r="DB86" s="437" t="n"/>
      <c r="DC86" s="437" t="n"/>
      <c r="DD86" s="437" t="n"/>
      <c r="DE86" s="437" t="n"/>
      <c r="DF86" s="437" t="n"/>
      <c r="DG86" s="437" t="n"/>
      <c r="DH86" s="437" t="n"/>
      <c r="DI86" s="437" t="n"/>
      <c r="DJ86" s="437" t="n"/>
      <c r="DK86" s="437" t="n"/>
      <c r="DL86" s="437" t="n"/>
      <c r="DM86" s="437" t="n"/>
      <c r="DN86" s="437" t="n"/>
      <c r="DO86" s="437" t="n"/>
      <c r="DP86" s="437" t="n"/>
      <c r="DQ86" s="437" t="n"/>
      <c r="DR86" s="437" t="n"/>
      <c r="DS86" s="437" t="n"/>
      <c r="DT86" s="437" t="n"/>
      <c r="DU86" s="437" t="n"/>
      <c r="DV86" s="437" t="n"/>
      <c r="DW86" s="437" t="n"/>
      <c r="DX86" s="437" t="n"/>
      <c r="DY86" s="238" t="n"/>
      <c r="DZ86" s="23" t="n"/>
      <c r="FQ86" s="212" t="n"/>
      <c r="FR86" s="212" t="n"/>
      <c r="FS86" s="212" t="n"/>
      <c r="FT86" s="212" t="n"/>
      <c r="FU86" s="212" t="n"/>
      <c r="FV86" s="212" t="n"/>
      <c r="FW86" s="212" t="n"/>
      <c r="FX86" s="212" t="n"/>
      <c r="FY86" s="212" t="n"/>
      <c r="FZ86" s="212" t="n"/>
    </row>
    <row r="87" ht="39.95" customFormat="1" customHeight="1" s="5">
      <c r="A87" s="456" t="n"/>
      <c r="B87" s="8" t="n"/>
      <c r="C87" s="12" t="inlineStr">
        <is>
          <t>R</t>
        </is>
      </c>
      <c r="D87" s="435" t="inlineStr">
        <is>
          <t>RF</t>
        </is>
      </c>
      <c r="E87" s="438" t="n">
        <v>0.231</v>
      </c>
      <c r="F87" s="438" t="n">
        <v>0.244</v>
      </c>
      <c r="G87" s="438" t="n">
        <v>0.231</v>
      </c>
      <c r="H87" s="441" t="n">
        <v>0.222</v>
      </c>
      <c r="I87" s="444" t="n">
        <v>0.265</v>
      </c>
      <c r="J87" s="438" t="n">
        <v>0.271</v>
      </c>
      <c r="K87" s="438" t="n">
        <v>0.269</v>
      </c>
      <c r="L87" s="438" t="n">
        <v>0.253</v>
      </c>
      <c r="M87" s="441" t="n">
        <v>0.252</v>
      </c>
      <c r="N87" s="444" t="n">
        <v>0.28</v>
      </c>
      <c r="O87" s="438" t="n">
        <v>0.222</v>
      </c>
      <c r="P87" s="438" t="n">
        <v>0.222</v>
      </c>
      <c r="Q87" s="438" t="n">
        <v>0.22</v>
      </c>
      <c r="R87" s="441" t="n">
        <v>0.219</v>
      </c>
      <c r="S87" s="444" t="n">
        <v>0.224</v>
      </c>
      <c r="T87" s="438" t="n">
        <v>0.224</v>
      </c>
      <c r="U87" s="438" t="n">
        <v>0.22</v>
      </c>
      <c r="V87" s="438" t="n">
        <v>0.22</v>
      </c>
      <c r="W87" s="441" t="n">
        <v>0.217</v>
      </c>
      <c r="X87" s="444" t="n">
        <v>0.228</v>
      </c>
      <c r="Y87" s="438" t="n">
        <v>0.214</v>
      </c>
      <c r="Z87" s="438" t="n">
        <v>0.217</v>
      </c>
      <c r="AA87" s="438" t="n">
        <v>0.217</v>
      </c>
      <c r="AB87" s="441" t="n">
        <v>0.224</v>
      </c>
      <c r="AC87" s="444" t="n">
        <v>0.216</v>
      </c>
      <c r="AD87" s="438" t="n">
        <v>0.224</v>
      </c>
      <c r="AE87" s="438" t="n">
        <v>0.217</v>
      </c>
      <c r="AF87" s="438" t="n">
        <v>0.213</v>
      </c>
      <c r="AG87" s="441" t="n">
        <v>0.225</v>
      </c>
      <c r="AH87" s="444" t="n">
        <v>0.219</v>
      </c>
      <c r="AI87" s="438" t="n">
        <v>0.232</v>
      </c>
      <c r="AJ87" s="438" t="n">
        <v>0.214</v>
      </c>
      <c r="AK87" s="438" t="n">
        <v>0.233</v>
      </c>
      <c r="AL87" s="441" t="n">
        <v>0.216</v>
      </c>
      <c r="AM87" s="444" t="n">
        <v>0.21</v>
      </c>
      <c r="AN87" s="438" t="n">
        <v>0.215</v>
      </c>
      <c r="AO87" s="438" t="n">
        <v>0.213</v>
      </c>
      <c r="AP87" s="438" t="n">
        <v>0.23</v>
      </c>
      <c r="AQ87" s="441" t="n">
        <v>0.225</v>
      </c>
      <c r="AR87" s="444" t="n">
        <v>0.224</v>
      </c>
      <c r="AS87" s="438" t="n">
        <v>0.209</v>
      </c>
      <c r="AT87" s="438" t="n">
        <v>0.227</v>
      </c>
      <c r="AU87" s="438" t="n">
        <v>0.213</v>
      </c>
      <c r="AV87" s="441" t="n">
        <v>0.207</v>
      </c>
      <c r="AW87" s="444" t="n">
        <v>0.218</v>
      </c>
      <c r="AX87" s="438" t="n">
        <v>0.212</v>
      </c>
      <c r="AY87" s="438" t="n">
        <v>0.215</v>
      </c>
      <c r="AZ87" s="438" t="n">
        <v>0.212</v>
      </c>
      <c r="BA87" s="441" t="n">
        <v>0.225</v>
      </c>
      <c r="BB87" s="444" t="n">
        <v>0.213</v>
      </c>
      <c r="BC87" s="438" t="n">
        <v>0.209</v>
      </c>
      <c r="BD87" s="438" t="n">
        <v>0.213</v>
      </c>
      <c r="BE87" s="438" t="n">
        <v>0.217</v>
      </c>
      <c r="BF87" s="441" t="n">
        <v>0.218</v>
      </c>
      <c r="BG87" s="444" t="n">
        <v>0.212</v>
      </c>
      <c r="BH87" s="438" t="n">
        <v>0.226</v>
      </c>
      <c r="BI87" s="438" t="n">
        <v>0.212</v>
      </c>
      <c r="BJ87" s="438" t="n">
        <v>0.223</v>
      </c>
      <c r="BK87" s="441" t="n">
        <v>0.222</v>
      </c>
      <c r="BL87" s="444" t="n">
        <v>0.241</v>
      </c>
      <c r="BM87" s="438" t="n">
        <v>0.2</v>
      </c>
      <c r="BN87" s="438" t="n">
        <v>0.208</v>
      </c>
      <c r="BO87" s="438" t="n">
        <v>0.214</v>
      </c>
      <c r="BP87" s="441" t="n">
        <v>0.205</v>
      </c>
      <c r="BQ87" s="444" t="n">
        <v>0.21</v>
      </c>
      <c r="BR87" s="438" t="n">
        <v>0.217</v>
      </c>
      <c r="BS87" s="438" t="n">
        <v>0.212</v>
      </c>
      <c r="BT87" s="441" t="n">
        <v>0.215</v>
      </c>
      <c r="BU87" s="457" t="n"/>
      <c r="BV87" s="457" t="n"/>
      <c r="BW87" s="437" t="n"/>
      <c r="BX87" s="437" t="n"/>
      <c r="BY87" s="437" t="n"/>
      <c r="BZ87" s="437" t="n"/>
      <c r="CA87" s="437" t="n"/>
      <c r="CB87" s="437" t="n"/>
      <c r="CC87" s="437" t="n"/>
      <c r="CD87" s="437" t="n"/>
      <c r="CE87" s="437" t="n"/>
      <c r="CF87" s="437" t="n"/>
      <c r="CG87" s="437" t="n"/>
      <c r="CH87" s="437" t="n"/>
      <c r="CI87" s="437" t="n"/>
      <c r="CJ87" s="437" t="n"/>
      <c r="CK87" s="437" t="n"/>
      <c r="CL87" s="437" t="n"/>
      <c r="CM87" s="437" t="n"/>
      <c r="CN87" s="437" t="n"/>
      <c r="CO87" s="437" t="n"/>
      <c r="CP87" s="437" t="n"/>
      <c r="CQ87" s="437" t="n"/>
      <c r="CR87" s="437" t="n"/>
      <c r="CS87" s="437" t="n"/>
      <c r="CT87" s="437" t="n"/>
      <c r="CU87" s="437" t="n"/>
      <c r="CV87" s="437" t="n"/>
      <c r="CW87" s="437" t="n"/>
      <c r="CX87" s="437" t="n"/>
      <c r="CY87" s="437" t="n"/>
      <c r="CZ87" s="437" t="n"/>
      <c r="DA87" s="437" t="n"/>
      <c r="DB87" s="437" t="n"/>
      <c r="DC87" s="437" t="n"/>
      <c r="DD87" s="437" t="n"/>
      <c r="DE87" s="437" t="n"/>
      <c r="DF87" s="437" t="n"/>
      <c r="DG87" s="437" t="n"/>
      <c r="DH87" s="437" t="n"/>
      <c r="DI87" s="437" t="n"/>
      <c r="DJ87" s="437" t="n"/>
      <c r="DK87" s="437" t="n"/>
      <c r="DL87" s="437" t="n"/>
      <c r="DM87" s="437" t="n"/>
      <c r="DN87" s="437" t="n"/>
      <c r="DO87" s="437" t="n"/>
      <c r="DP87" s="437" t="n"/>
      <c r="DQ87" s="437" t="n"/>
      <c r="DR87" s="437" t="n"/>
      <c r="DS87" s="437" t="n"/>
      <c r="DT87" s="437" t="n"/>
      <c r="DU87" s="437" t="n"/>
      <c r="DV87" s="437" t="n"/>
      <c r="DW87" s="437" t="n"/>
      <c r="DX87" s="437" t="n"/>
      <c r="DY87" s="238" t="n"/>
      <c r="DZ87" s="23" t="n"/>
      <c r="FQ87" s="212" t="n"/>
      <c r="FR87" s="212" t="n"/>
      <c r="FS87" s="212" t="n"/>
      <c r="FT87" s="212" t="n"/>
      <c r="FU87" s="212" t="n"/>
      <c r="FV87" s="212" t="n"/>
      <c r="FW87" s="212" t="n"/>
      <c r="FX87" s="212" t="n"/>
      <c r="FY87" s="212" t="n"/>
      <c r="FZ87" s="212" t="n"/>
    </row>
    <row r="88" ht="39.95" customFormat="1" customHeight="1" s="5">
      <c r="A88" s="10" t="inlineStr">
        <is>
          <t>A</t>
        </is>
      </c>
      <c r="B88" s="6" t="n"/>
      <c r="C88" s="11" t="inlineStr">
        <is>
          <t>L</t>
        </is>
      </c>
      <c r="D88" s="433" t="n">
        <v>0.225</v>
      </c>
      <c r="E88" s="436" t="inlineStr">
        <is>
          <t>RF</t>
        </is>
      </c>
      <c r="F88" s="436" t="inlineStr">
        <is>
          <t>RF</t>
        </is>
      </c>
      <c r="G88" s="436" t="n">
        <v>0.227</v>
      </c>
      <c r="H88" s="439" t="n">
        <v>0.235</v>
      </c>
      <c r="I88" s="442" t="n">
        <v>0.25</v>
      </c>
      <c r="J88" s="436" t="n">
        <v>0.276</v>
      </c>
      <c r="K88" s="436" t="n">
        <v>0.278</v>
      </c>
      <c r="L88" s="436" t="n">
        <v>0.253</v>
      </c>
      <c r="M88" s="439" t="n">
        <v>0.267</v>
      </c>
      <c r="N88" s="442" t="n">
        <v>0.271</v>
      </c>
      <c r="O88" s="436" t="n">
        <v>0.216</v>
      </c>
      <c r="P88" s="436" t="n">
        <v>0.218</v>
      </c>
      <c r="Q88" s="436" t="n">
        <v>0.219</v>
      </c>
      <c r="R88" s="439" t="n">
        <v>0.219</v>
      </c>
      <c r="S88" s="442" t="n">
        <v>0.218</v>
      </c>
      <c r="T88" s="436" t="n">
        <v>0.225</v>
      </c>
      <c r="U88" s="436" t="n">
        <v>0.228</v>
      </c>
      <c r="V88" s="436" t="n">
        <v>0.224</v>
      </c>
      <c r="W88" s="439" t="n">
        <v>0.211</v>
      </c>
      <c r="X88" s="442" t="n">
        <v>0.213</v>
      </c>
      <c r="Y88" s="436" t="n">
        <v>0.215</v>
      </c>
      <c r="Z88" s="436" t="n">
        <v>0.214</v>
      </c>
      <c r="AA88" s="436" t="n">
        <v>0.216</v>
      </c>
      <c r="AB88" s="439" t="n">
        <v>0.216</v>
      </c>
      <c r="AC88" s="442" t="n">
        <v>0.211</v>
      </c>
      <c r="AD88" s="436" t="n">
        <v>0.211</v>
      </c>
      <c r="AE88" s="436" t="n">
        <v>0.221</v>
      </c>
      <c r="AF88" s="436" t="n">
        <v>0.215</v>
      </c>
      <c r="AG88" s="439" t="n">
        <v>0.216</v>
      </c>
      <c r="AH88" s="442" t="n">
        <v>0.216</v>
      </c>
      <c r="AI88" s="436" t="n">
        <v>0.204</v>
      </c>
      <c r="AJ88" s="436" t="n">
        <v>0.227</v>
      </c>
      <c r="AK88" s="436" t="n">
        <v>0.217</v>
      </c>
      <c r="AL88" s="439" t="n">
        <v>0.212</v>
      </c>
      <c r="AM88" s="442" t="n">
        <v>0.205</v>
      </c>
      <c r="AN88" s="436" t="n">
        <v>0.226</v>
      </c>
      <c r="AO88" s="436" t="n">
        <v>0.225</v>
      </c>
      <c r="AP88" s="436" t="n">
        <v>0.213</v>
      </c>
      <c r="AQ88" s="439" t="n">
        <v>0.232</v>
      </c>
      <c r="AR88" s="442" t="n">
        <v>0.219</v>
      </c>
      <c r="AS88" s="436" t="n">
        <v>0.222</v>
      </c>
      <c r="AT88" s="436" t="n">
        <v>0.23</v>
      </c>
      <c r="AU88" s="436" t="n">
        <v>0.225</v>
      </c>
      <c r="AV88" s="439" t="n">
        <v>0.224</v>
      </c>
      <c r="AW88" s="442" t="n">
        <v>0.234</v>
      </c>
      <c r="AX88" s="436" t="n">
        <v>0.222</v>
      </c>
      <c r="AY88" s="436" t="n">
        <v>0.227</v>
      </c>
      <c r="AZ88" s="436" t="n">
        <v>0.227</v>
      </c>
      <c r="BA88" s="439" t="n">
        <v>0.214</v>
      </c>
      <c r="BB88" s="442" t="n">
        <v>0.22</v>
      </c>
      <c r="BC88" s="436" t="n">
        <v>0.216</v>
      </c>
      <c r="BD88" s="436" t="n">
        <v>0.215</v>
      </c>
      <c r="BE88" s="436" t="n">
        <v>0.217</v>
      </c>
      <c r="BF88" s="439" t="n">
        <v>0.21</v>
      </c>
      <c r="BG88" s="442" t="n">
        <v>0.213</v>
      </c>
      <c r="BH88" s="436" t="n">
        <v>0.223</v>
      </c>
      <c r="BI88" s="436" t="n">
        <v>0.212</v>
      </c>
      <c r="BJ88" s="436" t="n">
        <v>0.202</v>
      </c>
      <c r="BK88" s="439" t="n">
        <v>0.21</v>
      </c>
      <c r="BL88" s="442" t="n">
        <v>0.203</v>
      </c>
      <c r="BM88" s="436" t="n">
        <v>0.209</v>
      </c>
      <c r="BN88" s="436" t="n">
        <v>0.206</v>
      </c>
      <c r="BO88" s="436" t="n">
        <v>0.201</v>
      </c>
      <c r="BP88" s="439" t="n">
        <v>0.205</v>
      </c>
      <c r="BQ88" s="442" t="n">
        <v>0.199</v>
      </c>
      <c r="BR88" s="436" t="n">
        <v>0.209</v>
      </c>
      <c r="BS88" s="436" t="n">
        <v>0.215</v>
      </c>
      <c r="BT88" s="439" t="n">
        <v>0.245</v>
      </c>
      <c r="BU88" s="454">
        <f>IFERROR(AVERAGE(D88:BT90),0)</f>
        <v/>
      </c>
      <c r="BV88" s="454">
        <f>MIN(D88:BT90)</f>
        <v/>
      </c>
      <c r="BW88" s="437" t="n"/>
      <c r="BX88" s="437" t="n"/>
      <c r="BY88" s="437" t="n"/>
      <c r="BZ88" s="437" t="n"/>
      <c r="CA88" s="437" t="n"/>
      <c r="CB88" s="437" t="n"/>
      <c r="CC88" s="437" t="n"/>
      <c r="CD88" s="437" t="n"/>
      <c r="CE88" s="437" t="n"/>
      <c r="CF88" s="437" t="n"/>
      <c r="CG88" s="437" t="n"/>
      <c r="CH88" s="437" t="n"/>
      <c r="CI88" s="437" t="n"/>
      <c r="CJ88" s="437" t="n"/>
      <c r="CK88" s="437" t="n"/>
      <c r="CL88" s="437" t="n"/>
      <c r="CM88" s="437" t="n"/>
      <c r="CN88" s="437" t="n"/>
      <c r="CO88" s="437" t="n"/>
      <c r="CP88" s="437" t="n"/>
      <c r="CQ88" s="437" t="n"/>
      <c r="CR88" s="437" t="n"/>
      <c r="CS88" s="437" t="n"/>
      <c r="CT88" s="437" t="n"/>
      <c r="CU88" s="437" t="n"/>
      <c r="CV88" s="437" t="n"/>
      <c r="CW88" s="437" t="n"/>
      <c r="CX88" s="437" t="n"/>
      <c r="CY88" s="437" t="n"/>
      <c r="CZ88" s="437" t="n"/>
      <c r="DA88" s="437" t="n"/>
      <c r="DB88" s="437" t="n"/>
      <c r="DC88" s="437" t="n"/>
      <c r="DD88" s="437" t="n"/>
      <c r="DE88" s="437" t="n"/>
      <c r="DF88" s="437" t="n"/>
      <c r="DG88" s="437" t="n"/>
      <c r="DH88" s="437" t="n"/>
      <c r="DI88" s="437" t="n"/>
      <c r="DJ88" s="437" t="n"/>
      <c r="DK88" s="437" t="n"/>
      <c r="DL88" s="437" t="n"/>
      <c r="DM88" s="437" t="n"/>
      <c r="DN88" s="437" t="n"/>
      <c r="DO88" s="437" t="n"/>
      <c r="DP88" s="437" t="n"/>
      <c r="DQ88" s="437" t="n"/>
      <c r="DR88" s="437" t="n"/>
      <c r="DS88" s="437" t="n"/>
      <c r="DT88" s="437" t="n"/>
      <c r="DU88" s="437" t="n"/>
      <c r="DV88" s="437" t="n"/>
      <c r="DW88" s="437" t="n"/>
      <c r="DX88" s="437" t="n"/>
      <c r="DY88" s="238" t="n"/>
      <c r="DZ88" s="23" t="n"/>
      <c r="FQ88" s="212" t="n"/>
      <c r="FR88" s="212" t="n"/>
      <c r="FS88" s="212" t="n"/>
      <c r="FT88" s="212" t="n"/>
      <c r="FU88" s="212" t="n"/>
      <c r="FV88" s="212" t="n"/>
      <c r="FW88" s="212" t="n"/>
      <c r="FX88" s="212" t="n"/>
      <c r="FY88" s="212" t="n"/>
      <c r="FZ88" s="212" t="n"/>
    </row>
    <row r="89" ht="39.95" customFormat="1" customHeight="1" s="5">
      <c r="A89" s="182" t="n">
        <v>0.083</v>
      </c>
      <c r="B89" s="7" t="inlineStr">
        <is>
          <t>-54 IN</t>
        </is>
      </c>
      <c r="C89" s="11" t="inlineStr">
        <is>
          <t>C</t>
        </is>
      </c>
      <c r="D89" s="434" t="n">
        <v>0.225</v>
      </c>
      <c r="E89" s="437" t="inlineStr">
        <is>
          <t>RF</t>
        </is>
      </c>
      <c r="F89" s="437" t="n">
        <v>0.228</v>
      </c>
      <c r="G89" s="437" t="n">
        <v>0.224</v>
      </c>
      <c r="H89" s="440" t="n">
        <v>0.227</v>
      </c>
      <c r="I89" s="443" t="inlineStr">
        <is>
          <t>RF</t>
        </is>
      </c>
      <c r="J89" s="437" t="n">
        <v>0.271</v>
      </c>
      <c r="K89" s="437" t="n">
        <v>0.271</v>
      </c>
      <c r="L89" s="437" t="n">
        <v>0.242</v>
      </c>
      <c r="M89" s="440" t="n">
        <v>0.261</v>
      </c>
      <c r="N89" s="443" t="n">
        <v>0.284</v>
      </c>
      <c r="O89" s="437" t="n">
        <v>0.216</v>
      </c>
      <c r="P89" s="437" t="n">
        <v>0.219</v>
      </c>
      <c r="Q89" s="437" t="n">
        <v>0.223</v>
      </c>
      <c r="R89" s="440" t="n">
        <v>0.241</v>
      </c>
      <c r="S89" s="443" t="n">
        <v>0.217</v>
      </c>
      <c r="T89" s="437" t="n">
        <v>0.225</v>
      </c>
      <c r="U89" s="437" t="n">
        <v>0.222</v>
      </c>
      <c r="V89" s="437" t="n">
        <v>0.237</v>
      </c>
      <c r="W89" s="440" t="n">
        <v>0.212</v>
      </c>
      <c r="X89" s="443" t="n">
        <v>0.237</v>
      </c>
      <c r="Y89" s="437" t="n">
        <v>0.219</v>
      </c>
      <c r="Z89" s="437" t="n">
        <v>0.219</v>
      </c>
      <c r="AA89" s="437" t="n">
        <v>0.214</v>
      </c>
      <c r="AB89" s="440" t="n">
        <v>0.226</v>
      </c>
      <c r="AC89" s="443" t="n">
        <v>0.228</v>
      </c>
      <c r="AD89" s="437" t="n">
        <v>0.214</v>
      </c>
      <c r="AE89" s="437" t="n">
        <v>0.228</v>
      </c>
      <c r="AF89" s="437" t="n">
        <v>0.211</v>
      </c>
      <c r="AG89" s="440" t="n">
        <v>0.209</v>
      </c>
      <c r="AH89" s="443" t="n">
        <v>0.221</v>
      </c>
      <c r="AI89" s="437" t="n">
        <v>0.212</v>
      </c>
      <c r="AJ89" s="437" t="n">
        <v>0.234</v>
      </c>
      <c r="AK89" s="437" t="n">
        <v>0.221</v>
      </c>
      <c r="AL89" s="440" t="n">
        <v>0.22</v>
      </c>
      <c r="AM89" s="443" t="n">
        <v>0.221</v>
      </c>
      <c r="AN89" s="437" t="n">
        <v>0.211</v>
      </c>
      <c r="AO89" s="437" t="n">
        <v>0.214</v>
      </c>
      <c r="AP89" s="437" t="n">
        <v>0.22</v>
      </c>
      <c r="AQ89" s="440" t="n">
        <v>0.222</v>
      </c>
      <c r="AR89" s="443" t="n">
        <v>0.211</v>
      </c>
      <c r="AS89" s="437" t="n">
        <v>0.218</v>
      </c>
      <c r="AT89" s="437" t="n">
        <v>0.223</v>
      </c>
      <c r="AU89" s="437" t="n">
        <v>0.221</v>
      </c>
      <c r="AV89" s="440" t="n">
        <v>0.219</v>
      </c>
      <c r="AW89" s="443" t="n">
        <v>0.222</v>
      </c>
      <c r="AX89" s="437" t="n">
        <v>0.214</v>
      </c>
      <c r="AY89" s="437" t="n">
        <v>0.222</v>
      </c>
      <c r="AZ89" s="437" t="n">
        <v>0.221</v>
      </c>
      <c r="BA89" s="440" t="n">
        <v>0.209</v>
      </c>
      <c r="BB89" s="443" t="n">
        <v>0.214</v>
      </c>
      <c r="BC89" s="437" t="n">
        <v>0.227</v>
      </c>
      <c r="BD89" s="437" t="n">
        <v>0.219</v>
      </c>
      <c r="BE89" s="437" t="n">
        <v>0.209</v>
      </c>
      <c r="BF89" s="440" t="n">
        <v>0.21</v>
      </c>
      <c r="BG89" s="443" t="n">
        <v>0.206</v>
      </c>
      <c r="BH89" s="437" t="n">
        <v>0.211</v>
      </c>
      <c r="BI89" s="437" t="n">
        <v>0.213</v>
      </c>
      <c r="BJ89" s="437" t="n">
        <v>0.213</v>
      </c>
      <c r="BK89" s="440" t="n">
        <v>0.204</v>
      </c>
      <c r="BL89" s="443" t="n">
        <v>0.201</v>
      </c>
      <c r="BM89" s="437" t="n">
        <v>0.212</v>
      </c>
      <c r="BN89" s="437" t="n">
        <v>0.217</v>
      </c>
      <c r="BO89" s="437" t="n">
        <v>0.21</v>
      </c>
      <c r="BP89" s="440" t="n">
        <v>0.203</v>
      </c>
      <c r="BQ89" s="443" t="n">
        <v>0.189</v>
      </c>
      <c r="BR89" s="437" t="n">
        <v>0.21</v>
      </c>
      <c r="BS89" s="437" t="n">
        <v>0.203</v>
      </c>
      <c r="BT89" s="440" t="n">
        <v>0.227</v>
      </c>
      <c r="BU89" s="455" t="n"/>
      <c r="BV89" s="455" t="n"/>
      <c r="BW89" s="437" t="n"/>
      <c r="BX89" s="437" t="n"/>
      <c r="BY89" s="437" t="n"/>
      <c r="BZ89" s="437" t="n"/>
      <c r="CA89" s="437" t="n"/>
      <c r="CB89" s="437" t="n"/>
      <c r="CC89" s="437" t="n"/>
      <c r="CD89" s="437" t="n"/>
      <c r="CE89" s="437" t="n"/>
      <c r="CF89" s="437" t="n"/>
      <c r="CG89" s="437" t="n"/>
      <c r="CH89" s="437" t="n"/>
      <c r="CI89" s="437" t="n"/>
      <c r="CJ89" s="437" t="n"/>
      <c r="CK89" s="437" t="n"/>
      <c r="CL89" s="437" t="n"/>
      <c r="CM89" s="437" t="n"/>
      <c r="CN89" s="437" t="n"/>
      <c r="CO89" s="437" t="n"/>
      <c r="CP89" s="437" t="n"/>
      <c r="CQ89" s="437" t="n"/>
      <c r="CR89" s="437" t="n"/>
      <c r="CS89" s="437" t="n"/>
      <c r="CT89" s="437" t="n"/>
      <c r="CU89" s="437" t="n"/>
      <c r="CV89" s="437" t="n"/>
      <c r="CW89" s="437" t="n"/>
      <c r="CX89" s="437" t="n"/>
      <c r="CY89" s="437" t="n"/>
      <c r="CZ89" s="437" t="n"/>
      <c r="DA89" s="437" t="n"/>
      <c r="DB89" s="437" t="n"/>
      <c r="DC89" s="437" t="n"/>
      <c r="DD89" s="437" t="n"/>
      <c r="DE89" s="437" t="n"/>
      <c r="DF89" s="437" t="n"/>
      <c r="DG89" s="437" t="n"/>
      <c r="DH89" s="437" t="n"/>
      <c r="DI89" s="437" t="n"/>
      <c r="DJ89" s="437" t="n"/>
      <c r="DK89" s="437" t="n"/>
      <c r="DL89" s="437" t="n"/>
      <c r="DM89" s="437" t="n"/>
      <c r="DN89" s="437" t="n"/>
      <c r="DO89" s="437" t="n"/>
      <c r="DP89" s="437" t="n"/>
      <c r="DQ89" s="437" t="n"/>
      <c r="DR89" s="437" t="n"/>
      <c r="DS89" s="437" t="n"/>
      <c r="DT89" s="437" t="n"/>
      <c r="DU89" s="437" t="n"/>
      <c r="DV89" s="437" t="n"/>
      <c r="DW89" s="437" t="n"/>
      <c r="DX89" s="437" t="n"/>
      <c r="DY89" s="238" t="n"/>
      <c r="DZ89" s="23" t="n"/>
      <c r="FQ89" s="212" t="n"/>
      <c r="FR89" s="212" t="n"/>
      <c r="FS89" s="212" t="n"/>
      <c r="FT89" s="212" t="n"/>
      <c r="FU89" s="212" t="n"/>
      <c r="FV89" s="212" t="n"/>
      <c r="FW89" s="212" t="n"/>
      <c r="FX89" s="212" t="n"/>
      <c r="FY89" s="212" t="n"/>
      <c r="FZ89" s="212" t="n"/>
    </row>
    <row r="90" ht="39.95" customFormat="1" customHeight="1" s="5">
      <c r="A90" s="456" t="n"/>
      <c r="B90" s="8" t="n"/>
      <c r="C90" s="12" t="inlineStr">
        <is>
          <t>R</t>
        </is>
      </c>
      <c r="D90" s="435" t="n">
        <v>0.225</v>
      </c>
      <c r="E90" s="438" t="n">
        <v>0.226</v>
      </c>
      <c r="F90" s="438" t="n">
        <v>0.229</v>
      </c>
      <c r="G90" s="438" t="n">
        <v>0.224</v>
      </c>
      <c r="H90" s="441" t="n">
        <v>0.223</v>
      </c>
      <c r="I90" s="444" t="n">
        <v>0.273</v>
      </c>
      <c r="J90" s="438" t="n">
        <v>0.274</v>
      </c>
      <c r="K90" s="438" t="n">
        <v>0.263</v>
      </c>
      <c r="L90" s="438" t="n">
        <v>0.27</v>
      </c>
      <c r="M90" s="441" t="n">
        <v>0.253</v>
      </c>
      <c r="N90" s="444" t="n">
        <v>0.265</v>
      </c>
      <c r="O90" s="438" t="n">
        <v>0.228</v>
      </c>
      <c r="P90" s="438" t="n">
        <v>0.22</v>
      </c>
      <c r="Q90" s="438" t="n">
        <v>0.217</v>
      </c>
      <c r="R90" s="441" t="n">
        <v>0.226</v>
      </c>
      <c r="S90" s="444" t="n">
        <v>0.216</v>
      </c>
      <c r="T90" s="438" t="n">
        <v>0.216</v>
      </c>
      <c r="U90" s="438" t="n">
        <v>0.231</v>
      </c>
      <c r="V90" s="438" t="n">
        <v>0.24</v>
      </c>
      <c r="W90" s="441" t="n">
        <v>0.219</v>
      </c>
      <c r="X90" s="444" t="n">
        <v>0.221</v>
      </c>
      <c r="Y90" s="438" t="n">
        <v>0.22</v>
      </c>
      <c r="Z90" s="438" t="n">
        <v>0.225</v>
      </c>
      <c r="AA90" s="438" t="n">
        <v>0.213</v>
      </c>
      <c r="AB90" s="441" t="n">
        <v>0.243</v>
      </c>
      <c r="AC90" s="444" t="n">
        <v>0.221</v>
      </c>
      <c r="AD90" s="438" t="n">
        <v>0.215</v>
      </c>
      <c r="AE90" s="438" t="n">
        <v>0.22</v>
      </c>
      <c r="AF90" s="438" t="n">
        <v>0.215</v>
      </c>
      <c r="AG90" s="441" t="n">
        <v>0.204</v>
      </c>
      <c r="AH90" s="444" t="n">
        <v>0.221</v>
      </c>
      <c r="AI90" s="438" t="n">
        <v>0.223</v>
      </c>
      <c r="AJ90" s="438" t="n">
        <v>0.231</v>
      </c>
      <c r="AK90" s="438" t="n">
        <v>0.235</v>
      </c>
      <c r="AL90" s="441" t="n">
        <v>0.212</v>
      </c>
      <c r="AM90" s="444" t="n">
        <v>0.221</v>
      </c>
      <c r="AN90" s="438" t="n">
        <v>0.207</v>
      </c>
      <c r="AO90" s="438" t="n">
        <v>0.219</v>
      </c>
      <c r="AP90" s="438" t="n">
        <v>0.224</v>
      </c>
      <c r="AQ90" s="441" t="n">
        <v>0.219</v>
      </c>
      <c r="AR90" s="444" t="n">
        <v>0.208</v>
      </c>
      <c r="AS90" s="438" t="n">
        <v>0.227</v>
      </c>
      <c r="AT90" s="438" t="n">
        <v>0.216</v>
      </c>
      <c r="AU90" s="438" t="n">
        <v>0.214</v>
      </c>
      <c r="AV90" s="441" t="n">
        <v>0.214</v>
      </c>
      <c r="AW90" s="444" t="n">
        <v>0.215</v>
      </c>
      <c r="AX90" s="438" t="n">
        <v>0.212</v>
      </c>
      <c r="AY90" s="438" t="n">
        <v>0.222</v>
      </c>
      <c r="AZ90" s="438" t="n">
        <v>0.206</v>
      </c>
      <c r="BA90" s="441" t="n">
        <v>0.204</v>
      </c>
      <c r="BB90" s="444" t="n">
        <v>0.211</v>
      </c>
      <c r="BC90" s="438" t="n">
        <v>0.216</v>
      </c>
      <c r="BD90" s="438" t="n">
        <v>0.219</v>
      </c>
      <c r="BE90" s="438" t="n">
        <v>0.214</v>
      </c>
      <c r="BF90" s="441" t="n">
        <v>0.214</v>
      </c>
      <c r="BG90" s="444" t="n">
        <v>0.218</v>
      </c>
      <c r="BH90" s="438" t="n">
        <v>0.218</v>
      </c>
      <c r="BI90" s="438" t="n">
        <v>0.214</v>
      </c>
      <c r="BJ90" s="438" t="n">
        <v>0.197</v>
      </c>
      <c r="BK90" s="441" t="n">
        <v>0.203</v>
      </c>
      <c r="BL90" s="444" t="n">
        <v>0.201</v>
      </c>
      <c r="BM90" s="438" t="n">
        <v>0.205</v>
      </c>
      <c r="BN90" s="438" t="n">
        <v>0.2</v>
      </c>
      <c r="BO90" s="438" t="n">
        <v>0.206</v>
      </c>
      <c r="BP90" s="441" t="n">
        <v>0.202</v>
      </c>
      <c r="BQ90" s="444" t="n">
        <v>0.205</v>
      </c>
      <c r="BR90" s="438" t="n">
        <v>0.208</v>
      </c>
      <c r="BS90" s="438" t="n">
        <v>0.212</v>
      </c>
      <c r="BT90" s="441" t="n">
        <v>0.218</v>
      </c>
      <c r="BU90" s="457" t="n"/>
      <c r="BV90" s="457" t="n"/>
      <c r="BW90" s="437" t="n"/>
      <c r="BX90" s="437" t="n"/>
      <c r="BY90" s="437" t="n"/>
      <c r="BZ90" s="437" t="n"/>
      <c r="CA90" s="437" t="n"/>
      <c r="CB90" s="437" t="n"/>
      <c r="CC90" s="437" t="n"/>
      <c r="CD90" s="437" t="n"/>
      <c r="CE90" s="437" t="n"/>
      <c r="CF90" s="437" t="n"/>
      <c r="CG90" s="437" t="n"/>
      <c r="CH90" s="437" t="n"/>
      <c r="CI90" s="437" t="n"/>
      <c r="CJ90" s="437" t="n"/>
      <c r="CK90" s="437" t="n"/>
      <c r="CL90" s="437" t="n"/>
      <c r="CM90" s="437" t="n"/>
      <c r="CN90" s="437" t="n"/>
      <c r="CO90" s="437" t="n"/>
      <c r="CP90" s="437" t="n"/>
      <c r="CQ90" s="437" t="n"/>
      <c r="CR90" s="437" t="n"/>
      <c r="CS90" s="437" t="n"/>
      <c r="CT90" s="437" t="n"/>
      <c r="CU90" s="437" t="n"/>
      <c r="CV90" s="437" t="n"/>
      <c r="CW90" s="437" t="n"/>
      <c r="CX90" s="437" t="n"/>
      <c r="CY90" s="437" t="n"/>
      <c r="CZ90" s="437" t="n"/>
      <c r="DA90" s="437" t="n"/>
      <c r="DB90" s="437" t="n"/>
      <c r="DC90" s="437" t="n"/>
      <c r="DD90" s="437" t="n"/>
      <c r="DE90" s="437" t="n"/>
      <c r="DF90" s="437" t="n"/>
      <c r="DG90" s="437" t="n"/>
      <c r="DH90" s="437" t="n"/>
      <c r="DI90" s="437" t="n"/>
      <c r="DJ90" s="437" t="n"/>
      <c r="DK90" s="437" t="n"/>
      <c r="DL90" s="437" t="n"/>
      <c r="DM90" s="437" t="n"/>
      <c r="DN90" s="437" t="n"/>
      <c r="DO90" s="437" t="n"/>
      <c r="DP90" s="437" t="n"/>
      <c r="DQ90" s="437" t="n"/>
      <c r="DR90" s="437" t="n"/>
      <c r="DS90" s="437" t="n"/>
      <c r="DT90" s="437" t="n"/>
      <c r="DU90" s="437" t="n"/>
      <c r="DV90" s="437" t="n"/>
      <c r="DW90" s="437" t="n"/>
      <c r="DX90" s="437" t="n"/>
      <c r="DY90" s="238" t="n"/>
      <c r="DZ90" s="23" t="n"/>
      <c r="FQ90" s="212" t="n"/>
      <c r="FR90" s="212" t="n"/>
      <c r="FS90" s="212" t="n"/>
      <c r="FT90" s="212" t="n"/>
      <c r="FU90" s="212" t="n"/>
      <c r="FV90" s="212" t="n"/>
      <c r="FW90" s="212" t="n"/>
      <c r="FX90" s="212" t="n"/>
      <c r="FY90" s="212" t="n"/>
      <c r="FZ90" s="212" t="n"/>
    </row>
    <row r="91" ht="39.95" customFormat="1" customHeight="1" s="5">
      <c r="A91" s="10" t="inlineStr">
        <is>
          <t>A</t>
        </is>
      </c>
      <c r="B91" s="6" t="inlineStr">
        <is>
          <t>POSITION 'A'</t>
        </is>
      </c>
      <c r="C91" s="11" t="inlineStr">
        <is>
          <t>L</t>
        </is>
      </c>
      <c r="D91" s="433" t="inlineStr"/>
      <c r="E91" s="436" t="inlineStr"/>
      <c r="F91" s="436" t="n">
        <v>0.219</v>
      </c>
      <c r="G91" s="436" t="n">
        <v>0.228</v>
      </c>
      <c r="H91" s="439" t="inlineStr"/>
      <c r="I91" s="442" t="n">
        <v>0.255</v>
      </c>
      <c r="J91" s="436" t="n">
        <v>0.266</v>
      </c>
      <c r="K91" s="436" t="inlineStr"/>
      <c r="L91" s="436" t="n">
        <v>0.25</v>
      </c>
      <c r="M91" s="439" t="n">
        <v>0.252</v>
      </c>
      <c r="N91" s="442" t="inlineStr"/>
      <c r="O91" s="436" t="n">
        <v>0.229</v>
      </c>
      <c r="P91" s="436" t="n">
        <v>0.219</v>
      </c>
      <c r="Q91" s="436" t="inlineStr"/>
      <c r="R91" s="439" t="n">
        <v>0.226</v>
      </c>
      <c r="S91" s="442" t="n">
        <v>0.222</v>
      </c>
      <c r="T91" s="436" t="inlineStr"/>
      <c r="U91" s="436" t="n">
        <v>0.227</v>
      </c>
      <c r="V91" s="436" t="n">
        <v>0.216</v>
      </c>
      <c r="W91" s="439" t="inlineStr"/>
      <c r="X91" s="442" t="n">
        <v>0.213</v>
      </c>
      <c r="Y91" s="436" t="n">
        <v>0.212</v>
      </c>
      <c r="Z91" s="436" t="inlineStr"/>
      <c r="AA91" s="436" t="n">
        <v>0.221</v>
      </c>
      <c r="AB91" s="439" t="n">
        <v>0.216</v>
      </c>
      <c r="AC91" s="442" t="inlineStr"/>
      <c r="AD91" s="436" t="n">
        <v>0.218</v>
      </c>
      <c r="AE91" s="436" t="n">
        <v>0.213</v>
      </c>
      <c r="AF91" s="436" t="inlineStr"/>
      <c r="AG91" s="439" t="n">
        <v>0.222</v>
      </c>
      <c r="AH91" s="442" t="n">
        <v>0.212</v>
      </c>
      <c r="AI91" s="436" t="inlineStr"/>
      <c r="AJ91" s="436" t="n">
        <v>0.211</v>
      </c>
      <c r="AK91" s="436" t="n">
        <v>0.21</v>
      </c>
      <c r="AL91" s="439" t="inlineStr"/>
      <c r="AM91" s="442" t="n">
        <v>0.214</v>
      </c>
      <c r="AN91" s="436" t="n">
        <v>0.215</v>
      </c>
      <c r="AO91" s="436" t="inlineStr"/>
      <c r="AP91" s="436" t="n">
        <v>0.209</v>
      </c>
      <c r="AQ91" s="439" t="n">
        <v>0.213</v>
      </c>
      <c r="AR91" s="442" t="inlineStr"/>
      <c r="AS91" s="436" t="n">
        <v>0.216</v>
      </c>
      <c r="AT91" s="436" t="n">
        <v>0.217</v>
      </c>
      <c r="AU91" s="436" t="inlineStr"/>
      <c r="AV91" s="439" t="n">
        <v>0.217</v>
      </c>
      <c r="AW91" s="442" t="n">
        <v>0.228</v>
      </c>
      <c r="AX91" s="436" t="inlineStr"/>
      <c r="AY91" s="436" t="n">
        <v>0.213</v>
      </c>
      <c r="AZ91" s="436" t="n">
        <v>0.209</v>
      </c>
      <c r="BA91" s="439" t="inlineStr"/>
      <c r="BB91" s="442" t="n">
        <v>0.219</v>
      </c>
      <c r="BC91" s="436" t="n">
        <v>0.218</v>
      </c>
      <c r="BD91" s="436" t="inlineStr"/>
      <c r="BE91" s="436" t="n">
        <v>0.232</v>
      </c>
      <c r="BF91" s="439" t="n">
        <v>0.214</v>
      </c>
      <c r="BG91" s="442" t="inlineStr"/>
      <c r="BH91" s="436" t="n">
        <v>0.223</v>
      </c>
      <c r="BI91" s="436" t="n">
        <v>0.219</v>
      </c>
      <c r="BJ91" s="436" t="inlineStr"/>
      <c r="BK91" s="439" t="n">
        <v>0.216</v>
      </c>
      <c r="BL91" s="442" t="n">
        <v>0.218</v>
      </c>
      <c r="BM91" s="436" t="inlineStr"/>
      <c r="BN91" s="436" t="n">
        <v>0.213</v>
      </c>
      <c r="BO91" s="436" t="n">
        <v>0.22</v>
      </c>
      <c r="BP91" s="439" t="inlineStr"/>
      <c r="BQ91" s="442" t="n">
        <v>0.217</v>
      </c>
      <c r="BR91" s="436" t="n">
        <v>0.218</v>
      </c>
      <c r="BS91" s="436" t="inlineStr"/>
      <c r="BT91" s="439" t="inlineStr"/>
      <c r="BU91" s="454">
        <f>IFERROR(AVERAGE(D91:BT93),0)</f>
        <v/>
      </c>
      <c r="BV91" s="454">
        <f>MIN(D91:BT93)</f>
        <v/>
      </c>
      <c r="BW91" s="437" t="n"/>
      <c r="BX91" s="437" t="n"/>
      <c r="BY91" s="437" t="n"/>
      <c r="BZ91" s="437" t="n"/>
      <c r="CA91" s="437" t="n"/>
      <c r="CB91" s="437" t="n"/>
      <c r="CC91" s="437" t="n"/>
      <c r="CD91" s="437" t="n"/>
      <c r="CE91" s="437" t="n"/>
      <c r="CF91" s="437" t="n"/>
      <c r="CG91" s="437" t="n"/>
      <c r="CH91" s="437" t="n"/>
      <c r="CI91" s="437" t="n"/>
      <c r="CJ91" s="437" t="n"/>
      <c r="CK91" s="437" t="n"/>
      <c r="CL91" s="437" t="n"/>
      <c r="CM91" s="437" t="n"/>
      <c r="CN91" s="437" t="n"/>
      <c r="CO91" s="437" t="n"/>
      <c r="CP91" s="437" t="n"/>
      <c r="CQ91" s="437" t="n"/>
      <c r="CR91" s="437" t="n"/>
      <c r="CS91" s="437" t="n"/>
      <c r="CT91" s="437" t="n"/>
      <c r="CU91" s="437" t="n"/>
      <c r="CV91" s="437" t="n"/>
      <c r="CW91" s="437" t="n"/>
      <c r="CX91" s="437" t="n"/>
      <c r="CY91" s="437" t="n"/>
      <c r="CZ91" s="437" t="n"/>
      <c r="DA91" s="437" t="n"/>
      <c r="DB91" s="437" t="n"/>
      <c r="DC91" s="437" t="n"/>
      <c r="DD91" s="437" t="n"/>
      <c r="DE91" s="437" t="n"/>
      <c r="DF91" s="437" t="n"/>
      <c r="DG91" s="437" t="n"/>
      <c r="DH91" s="437" t="n"/>
      <c r="DI91" s="437" t="n"/>
      <c r="DJ91" s="437" t="n"/>
      <c r="DK91" s="437" t="n"/>
      <c r="DL91" s="437" t="n"/>
      <c r="DM91" s="437" t="n"/>
      <c r="DN91" s="437" t="n"/>
      <c r="DO91" s="437" t="n"/>
      <c r="DP91" s="437" t="n"/>
      <c r="DQ91" s="437" t="n"/>
      <c r="DR91" s="437" t="n"/>
      <c r="DS91" s="437" t="n"/>
      <c r="DT91" s="437" t="n"/>
      <c r="DU91" s="437" t="n"/>
      <c r="DV91" s="437" t="n"/>
      <c r="DW91" s="437" t="n"/>
      <c r="DX91" s="437" t="n"/>
      <c r="DY91" s="238" t="n"/>
      <c r="DZ91" s="23" t="n"/>
      <c r="FQ91" s="212" t="n"/>
      <c r="FR91" s="212" t="n"/>
      <c r="FS91" s="212" t="n"/>
      <c r="FT91" s="212" t="n"/>
      <c r="FU91" s="212" t="n"/>
      <c r="FV91" s="212" t="n"/>
      <c r="FW91" s="212" t="n"/>
      <c r="FX91" s="212" t="n"/>
      <c r="FY91" s="212" t="n"/>
      <c r="FZ91" s="212" t="n"/>
    </row>
    <row r="92" ht="39.95" customFormat="1" customHeight="1" s="5">
      <c r="A92" s="182" t="n">
        <v>0.083</v>
      </c>
      <c r="B92" s="7" t="inlineStr">
        <is>
          <t xml:space="preserve">OF THE </t>
        </is>
      </c>
      <c r="C92" s="11" t="inlineStr">
        <is>
          <t>C</t>
        </is>
      </c>
      <c r="D92" s="434" t="inlineStr"/>
      <c r="E92" s="437" t="inlineStr"/>
      <c r="F92" s="437" t="n">
        <v>0.218</v>
      </c>
      <c r="G92" s="437" t="n">
        <v>0.225</v>
      </c>
      <c r="H92" s="440" t="inlineStr"/>
      <c r="I92" s="443" t="n">
        <v>0.257</v>
      </c>
      <c r="J92" s="437" t="n">
        <v>0.261</v>
      </c>
      <c r="K92" s="437" t="inlineStr"/>
      <c r="L92" s="437" t="n">
        <v>0.259</v>
      </c>
      <c r="M92" s="440" t="n">
        <v>0.251</v>
      </c>
      <c r="N92" s="443" t="inlineStr"/>
      <c r="O92" s="437" t="n">
        <v>0.22</v>
      </c>
      <c r="P92" s="437" t="n">
        <v>0.216</v>
      </c>
      <c r="Q92" s="437" t="inlineStr"/>
      <c r="R92" s="440" t="n">
        <v>0.23</v>
      </c>
      <c r="S92" s="443" t="n">
        <v>0.211</v>
      </c>
      <c r="T92" s="437" t="inlineStr"/>
      <c r="U92" s="437" t="n">
        <v>0.216</v>
      </c>
      <c r="V92" s="437" t="n">
        <v>0.217</v>
      </c>
      <c r="W92" s="440" t="inlineStr"/>
      <c r="X92" s="443" t="n">
        <v>0.217</v>
      </c>
      <c r="Y92" s="437" t="n">
        <v>0.216</v>
      </c>
      <c r="Z92" s="437" t="inlineStr"/>
      <c r="AA92" s="437" t="n">
        <v>0.216</v>
      </c>
      <c r="AB92" s="440" t="n">
        <v>0.22</v>
      </c>
      <c r="AC92" s="443" t="inlineStr"/>
      <c r="AD92" s="437" t="n">
        <v>0.217</v>
      </c>
      <c r="AE92" s="437" t="n">
        <v>0.207</v>
      </c>
      <c r="AF92" s="437" t="inlineStr"/>
      <c r="AG92" s="440" t="n">
        <v>0.218</v>
      </c>
      <c r="AH92" s="443" t="n">
        <v>0.211</v>
      </c>
      <c r="AI92" s="437" t="inlineStr"/>
      <c r="AJ92" s="437" t="n">
        <v>0.21</v>
      </c>
      <c r="AK92" s="437" t="n">
        <v>0.211</v>
      </c>
      <c r="AL92" s="440" t="inlineStr"/>
      <c r="AM92" s="443" t="n">
        <v>0.222</v>
      </c>
      <c r="AN92" s="437" t="n">
        <v>0.216</v>
      </c>
      <c r="AO92" s="437" t="inlineStr"/>
      <c r="AP92" s="437" t="n">
        <v>0.207</v>
      </c>
      <c r="AQ92" s="440" t="n">
        <v>0.215</v>
      </c>
      <c r="AR92" s="443" t="inlineStr"/>
      <c r="AS92" s="437" t="n">
        <v>0.211</v>
      </c>
      <c r="AT92" s="437" t="n">
        <v>0.219</v>
      </c>
      <c r="AU92" s="437" t="inlineStr"/>
      <c r="AV92" s="440" t="n">
        <v>0.216</v>
      </c>
      <c r="AW92" s="443" t="n">
        <v>0.226</v>
      </c>
      <c r="AX92" s="437" t="inlineStr"/>
      <c r="AY92" s="437" t="n">
        <v>0.222</v>
      </c>
      <c r="AZ92" s="437" t="n">
        <v>0.205</v>
      </c>
      <c r="BA92" s="440" t="inlineStr"/>
      <c r="BB92" s="443" t="n">
        <v>0.213</v>
      </c>
      <c r="BC92" s="437" t="n">
        <v>0.217</v>
      </c>
      <c r="BD92" s="437" t="inlineStr"/>
      <c r="BE92" s="437" t="n">
        <v>0.224</v>
      </c>
      <c r="BF92" s="440" t="n">
        <v>0.211</v>
      </c>
      <c r="BG92" s="443" t="inlineStr"/>
      <c r="BH92" s="437" t="n">
        <v>0.222</v>
      </c>
      <c r="BI92" s="437" t="n">
        <v>0.207</v>
      </c>
      <c r="BJ92" s="437" t="inlineStr"/>
      <c r="BK92" s="440" t="n">
        <v>0.216</v>
      </c>
      <c r="BL92" s="443" t="n">
        <v>0.205</v>
      </c>
      <c r="BM92" s="437" t="inlineStr"/>
      <c r="BN92" s="437" t="n">
        <v>0.21</v>
      </c>
      <c r="BO92" s="437" t="n">
        <v>0.223</v>
      </c>
      <c r="BP92" s="440" t="inlineStr"/>
      <c r="BQ92" s="443" t="n">
        <v>0.217</v>
      </c>
      <c r="BR92" s="437" t="n">
        <v>0.22</v>
      </c>
      <c r="BS92" s="437" t="inlineStr"/>
      <c r="BT92" s="440" t="inlineStr"/>
      <c r="BU92" s="455" t="n"/>
      <c r="BV92" s="455" t="n"/>
      <c r="BW92" s="437" t="n"/>
      <c r="BX92" s="437" t="n"/>
      <c r="BY92" s="437" t="n"/>
      <c r="BZ92" s="437" t="n"/>
      <c r="CA92" s="437" t="n"/>
      <c r="CB92" s="437" t="n"/>
      <c r="CC92" s="437" t="n"/>
      <c r="CD92" s="437" t="n"/>
      <c r="CE92" s="437" t="n"/>
      <c r="CF92" s="437" t="n"/>
      <c r="CG92" s="437" t="n"/>
      <c r="CH92" s="437" t="n"/>
      <c r="CI92" s="437" t="n"/>
      <c r="CJ92" s="437" t="n"/>
      <c r="CK92" s="437" t="n"/>
      <c r="CL92" s="437" t="n"/>
      <c r="CM92" s="437" t="n"/>
      <c r="CN92" s="437" t="n"/>
      <c r="CO92" s="437" t="n"/>
      <c r="CP92" s="437" t="n"/>
      <c r="CQ92" s="437" t="n"/>
      <c r="CR92" s="437" t="n"/>
      <c r="CS92" s="437" t="n"/>
      <c r="CT92" s="437" t="n"/>
      <c r="CU92" s="437" t="n"/>
      <c r="CV92" s="437" t="n"/>
      <c r="CW92" s="437" t="n"/>
      <c r="CX92" s="437" t="n"/>
      <c r="CY92" s="437" t="n"/>
      <c r="CZ92" s="437" t="n"/>
      <c r="DA92" s="437" t="n"/>
      <c r="DB92" s="437" t="n"/>
      <c r="DC92" s="437" t="n"/>
      <c r="DD92" s="437" t="n"/>
      <c r="DE92" s="437" t="n"/>
      <c r="DF92" s="437" t="n"/>
      <c r="DG92" s="437" t="n"/>
      <c r="DH92" s="437" t="n"/>
      <c r="DI92" s="437" t="n"/>
      <c r="DJ92" s="437" t="n"/>
      <c r="DK92" s="437" t="n"/>
      <c r="DL92" s="437" t="n"/>
      <c r="DM92" s="437" t="n"/>
      <c r="DN92" s="437" t="n"/>
      <c r="DO92" s="437" t="n"/>
      <c r="DP92" s="437" t="n"/>
      <c r="DQ92" s="437" t="n"/>
      <c r="DR92" s="437" t="n"/>
      <c r="DS92" s="437" t="n"/>
      <c r="DT92" s="437" t="n"/>
      <c r="DU92" s="437" t="n"/>
      <c r="DV92" s="437" t="n"/>
      <c r="DW92" s="437" t="n"/>
      <c r="DX92" s="437" t="n"/>
      <c r="DY92" s="238" t="n"/>
      <c r="DZ92" s="23" t="n"/>
      <c r="FQ92" s="212" t="n"/>
      <c r="FR92" s="212" t="n"/>
      <c r="FS92" s="212" t="n"/>
      <c r="FT92" s="212" t="n"/>
      <c r="FU92" s="212" t="n"/>
      <c r="FV92" s="212" t="n"/>
      <c r="FW92" s="212" t="n"/>
      <c r="FX92" s="212" t="n"/>
      <c r="FY92" s="212" t="n"/>
      <c r="FZ92" s="212" t="n"/>
    </row>
    <row r="93" ht="39.95" customFormat="1" customHeight="1" s="5">
      <c r="A93" s="456" t="n"/>
      <c r="B93" s="8" t="inlineStr">
        <is>
          <t>PRIMARIES</t>
        </is>
      </c>
      <c r="C93" s="12" t="inlineStr">
        <is>
          <t>R</t>
        </is>
      </c>
      <c r="D93" s="435" t="inlineStr"/>
      <c r="E93" s="438" t="inlineStr"/>
      <c r="F93" s="438" t="n">
        <v>0.224</v>
      </c>
      <c r="G93" s="438" t="n">
        <v>0.224</v>
      </c>
      <c r="H93" s="441" t="inlineStr"/>
      <c r="I93" s="444" t="n">
        <v>0.261</v>
      </c>
      <c r="J93" s="438" t="n">
        <v>0.266</v>
      </c>
      <c r="K93" s="438" t="inlineStr"/>
      <c r="L93" s="438" t="n">
        <v>0.254</v>
      </c>
      <c r="M93" s="441" t="n">
        <v>0.25</v>
      </c>
      <c r="N93" s="444" t="inlineStr"/>
      <c r="O93" s="438" t="n">
        <v>0.212</v>
      </c>
      <c r="P93" s="438" t="n">
        <v>0.218</v>
      </c>
      <c r="Q93" s="438" t="inlineStr"/>
      <c r="R93" s="441" t="n">
        <v>0.229</v>
      </c>
      <c r="S93" s="444" t="n">
        <v>0.216</v>
      </c>
      <c r="T93" s="438" t="inlineStr"/>
      <c r="U93" s="438" t="n">
        <v>0.227</v>
      </c>
      <c r="V93" s="438" t="n">
        <v>0.224</v>
      </c>
      <c r="W93" s="441" t="inlineStr"/>
      <c r="X93" s="444" t="n">
        <v>0.217</v>
      </c>
      <c r="Y93" s="438" t="n">
        <v>0.211</v>
      </c>
      <c r="Z93" s="438" t="inlineStr"/>
      <c r="AA93" s="438" t="n">
        <v>0.216</v>
      </c>
      <c r="AB93" s="441" t="n">
        <v>0.22</v>
      </c>
      <c r="AC93" s="444" t="inlineStr"/>
      <c r="AD93" s="438" t="n">
        <v>0.218</v>
      </c>
      <c r="AE93" s="438" t="n">
        <v>0.22</v>
      </c>
      <c r="AF93" s="438" t="inlineStr"/>
      <c r="AG93" s="441" t="n">
        <v>0.223</v>
      </c>
      <c r="AH93" s="444" t="n">
        <v>0.213</v>
      </c>
      <c r="AI93" s="438" t="inlineStr"/>
      <c r="AJ93" s="438" t="n">
        <v>0.205</v>
      </c>
      <c r="AK93" s="438" t="n">
        <v>0.221</v>
      </c>
      <c r="AL93" s="441" t="inlineStr"/>
      <c r="AM93" s="444" t="n">
        <v>0.212</v>
      </c>
      <c r="AN93" s="438" t="n">
        <v>0.219</v>
      </c>
      <c r="AO93" s="438" t="inlineStr"/>
      <c r="AP93" s="438" t="n">
        <v>0.209</v>
      </c>
      <c r="AQ93" s="441" t="n">
        <v>0.209</v>
      </c>
      <c r="AR93" s="444" t="inlineStr"/>
      <c r="AS93" s="438" t="n">
        <v>0.21</v>
      </c>
      <c r="AT93" s="438" t="n">
        <v>0.209</v>
      </c>
      <c r="AU93" s="438" t="inlineStr"/>
      <c r="AV93" s="441" t="n">
        <v>0.198</v>
      </c>
      <c r="AW93" s="444" t="n">
        <v>0.22</v>
      </c>
      <c r="AX93" s="438" t="inlineStr"/>
      <c r="AY93" s="438" t="n">
        <v>0.212</v>
      </c>
      <c r="AZ93" s="438" t="n">
        <v>0.22</v>
      </c>
      <c r="BA93" s="441" t="inlineStr"/>
      <c r="BB93" s="444" t="n">
        <v>0.208</v>
      </c>
      <c r="BC93" s="438" t="n">
        <v>0.211</v>
      </c>
      <c r="BD93" s="438" t="inlineStr"/>
      <c r="BE93" s="438" t="n">
        <v>0.22</v>
      </c>
      <c r="BF93" s="441" t="n">
        <v>0.217</v>
      </c>
      <c r="BG93" s="444" t="inlineStr"/>
      <c r="BH93" s="438" t="n">
        <v>0.211</v>
      </c>
      <c r="BI93" s="438" t="n">
        <v>0.209</v>
      </c>
      <c r="BJ93" s="438" t="inlineStr"/>
      <c r="BK93" s="441" t="n">
        <v>0.218</v>
      </c>
      <c r="BL93" s="444" t="n">
        <v>0.209</v>
      </c>
      <c r="BM93" s="438" t="inlineStr"/>
      <c r="BN93" s="438" t="n">
        <v>0.217</v>
      </c>
      <c r="BO93" s="438" t="n">
        <v>0.219</v>
      </c>
      <c r="BP93" s="441" t="inlineStr"/>
      <c r="BQ93" s="444" t="n">
        <v>0.213</v>
      </c>
      <c r="BR93" s="438" t="n">
        <v>0.225</v>
      </c>
      <c r="BS93" s="438" t="inlineStr"/>
      <c r="BT93" s="441" t="inlineStr"/>
      <c r="BU93" s="457" t="n"/>
      <c r="BV93" s="457" t="n"/>
      <c r="BW93" s="437" t="n"/>
      <c r="BX93" s="437" t="n"/>
      <c r="BY93" s="437" t="n"/>
      <c r="BZ93" s="437" t="n"/>
      <c r="CA93" s="437" t="n"/>
      <c r="CB93" s="437" t="n"/>
      <c r="CC93" s="437" t="n"/>
      <c r="CD93" s="437" t="n"/>
      <c r="CE93" s="437" t="n"/>
      <c r="CF93" s="437" t="n"/>
      <c r="CG93" s="437" t="n"/>
      <c r="CH93" s="437" t="n"/>
      <c r="CI93" s="437" t="n"/>
      <c r="CJ93" s="437" t="n"/>
      <c r="CK93" s="437" t="n"/>
      <c r="CL93" s="437" t="n"/>
      <c r="CM93" s="437" t="n"/>
      <c r="CN93" s="437" t="n"/>
      <c r="CO93" s="437" t="n"/>
      <c r="CP93" s="437" t="n"/>
      <c r="CQ93" s="437" t="n"/>
      <c r="CR93" s="437" t="n"/>
      <c r="CS93" s="437" t="n"/>
      <c r="CT93" s="437" t="n"/>
      <c r="CU93" s="437" t="n"/>
      <c r="CV93" s="437" t="n"/>
      <c r="CW93" s="437" t="n"/>
      <c r="CX93" s="437" t="n"/>
      <c r="CY93" s="437" t="n"/>
      <c r="CZ93" s="437" t="n"/>
      <c r="DA93" s="437" t="n"/>
      <c r="DB93" s="437" t="n"/>
      <c r="DC93" s="437" t="n"/>
      <c r="DD93" s="437" t="n"/>
      <c r="DE93" s="437" t="n"/>
      <c r="DF93" s="437" t="n"/>
      <c r="DG93" s="437" t="n"/>
      <c r="DH93" s="437" t="n"/>
      <c r="DI93" s="437" t="n"/>
      <c r="DJ93" s="437" t="n"/>
      <c r="DK93" s="437" t="n"/>
      <c r="DL93" s="437" t="n"/>
      <c r="DM93" s="437" t="n"/>
      <c r="DN93" s="437" t="n"/>
      <c r="DO93" s="437" t="n"/>
      <c r="DP93" s="437" t="n"/>
      <c r="DQ93" s="437" t="n"/>
      <c r="DR93" s="437" t="n"/>
      <c r="DS93" s="437" t="n"/>
      <c r="DT93" s="437" t="n"/>
      <c r="DU93" s="437" t="n"/>
      <c r="DV93" s="437" t="n"/>
      <c r="DW93" s="437" t="n"/>
      <c r="DX93" s="437" t="n"/>
      <c r="DY93" s="238" t="n"/>
      <c r="DZ93" s="23" t="n"/>
      <c r="FQ93" s="212" t="n"/>
      <c r="FR93" s="212" t="n"/>
      <c r="FS93" s="212" t="n"/>
      <c r="FT93" s="212" t="n"/>
      <c r="FU93" s="212" t="n"/>
      <c r="FV93" s="212" t="n"/>
      <c r="FW93" s="212" t="n"/>
      <c r="FX93" s="212" t="n"/>
      <c r="FY93" s="212" t="n"/>
      <c r="FZ93" s="212" t="n"/>
    </row>
    <row r="94" ht="39.95" customFormat="1" customHeight="1" s="5">
      <c r="A94" s="10" t="inlineStr">
        <is>
          <t>A</t>
        </is>
      </c>
      <c r="B94" s="6" t="inlineStr">
        <is>
          <t>POSITION 'B'</t>
        </is>
      </c>
      <c r="C94" s="11" t="inlineStr">
        <is>
          <t>L</t>
        </is>
      </c>
      <c r="D94" s="433" t="inlineStr"/>
      <c r="E94" s="436" t="inlineStr"/>
      <c r="F94" s="436" t="n">
        <v>0.227</v>
      </c>
      <c r="G94" s="436" t="n">
        <v>0.213</v>
      </c>
      <c r="H94" s="439" t="inlineStr"/>
      <c r="I94" s="442" t="n">
        <v>0.257</v>
      </c>
      <c r="J94" s="436" t="n">
        <v>0.266</v>
      </c>
      <c r="K94" s="436" t="inlineStr"/>
      <c r="L94" s="436" t="n">
        <v>0.247</v>
      </c>
      <c r="M94" s="439" t="n">
        <v>0.252</v>
      </c>
      <c r="N94" s="442" t="inlineStr"/>
      <c r="O94" s="436" t="n">
        <v>0.215</v>
      </c>
      <c r="P94" s="436" t="n">
        <v>0.215</v>
      </c>
      <c r="Q94" s="436" t="inlineStr"/>
      <c r="R94" s="439" t="n">
        <v>0.213</v>
      </c>
      <c r="S94" s="442" t="n">
        <v>0.212</v>
      </c>
      <c r="T94" s="436" t="inlineStr"/>
      <c r="U94" s="436" t="n">
        <v>0.208</v>
      </c>
      <c r="V94" s="436" t="n">
        <v>0.218</v>
      </c>
      <c r="W94" s="439" t="inlineStr"/>
      <c r="X94" s="442" t="n">
        <v>0.205</v>
      </c>
      <c r="Y94" s="436" t="n">
        <v>0.217</v>
      </c>
      <c r="Z94" s="436" t="inlineStr"/>
      <c r="AA94" s="436" t="n">
        <v>0.214</v>
      </c>
      <c r="AB94" s="439" t="n">
        <v>0.215</v>
      </c>
      <c r="AC94" s="442" t="inlineStr"/>
      <c r="AD94" s="436" t="n">
        <v>0.21</v>
      </c>
      <c r="AE94" s="436" t="n">
        <v>0.217</v>
      </c>
      <c r="AF94" s="436" t="inlineStr"/>
      <c r="AG94" s="439" t="n">
        <v>0.207</v>
      </c>
      <c r="AH94" s="442" t="n">
        <v>0.212</v>
      </c>
      <c r="AI94" s="436" t="inlineStr"/>
      <c r="AJ94" s="436" t="n">
        <v>0.218</v>
      </c>
      <c r="AK94" s="436" t="n">
        <v>0.214</v>
      </c>
      <c r="AL94" s="439" t="inlineStr"/>
      <c r="AM94" s="442" t="n">
        <v>0.207</v>
      </c>
      <c r="AN94" s="436" t="n">
        <v>0.211</v>
      </c>
      <c r="AO94" s="436" t="inlineStr"/>
      <c r="AP94" s="436" t="n">
        <v>0.209</v>
      </c>
      <c r="AQ94" s="439" t="n">
        <v>0.222</v>
      </c>
      <c r="AR94" s="442" t="inlineStr"/>
      <c r="AS94" s="436" t="n">
        <v>0.229</v>
      </c>
      <c r="AT94" s="436" t="n">
        <v>0.219</v>
      </c>
      <c r="AU94" s="436" t="inlineStr"/>
      <c r="AV94" s="439" t="n">
        <v>0.2</v>
      </c>
      <c r="AW94" s="442" t="n">
        <v>0.222</v>
      </c>
      <c r="AX94" s="436" t="inlineStr"/>
      <c r="AY94" s="436" t="n">
        <v>0.212</v>
      </c>
      <c r="AZ94" s="436" t="n">
        <v>0.209</v>
      </c>
      <c r="BA94" s="439" t="inlineStr"/>
      <c r="BB94" s="442" t="n">
        <v>0.215</v>
      </c>
      <c r="BC94" s="436" t="n">
        <v>0.219</v>
      </c>
      <c r="BD94" s="436" t="inlineStr"/>
      <c r="BE94" s="436" t="n">
        <v>0.215</v>
      </c>
      <c r="BF94" s="439" t="n">
        <v>0.215</v>
      </c>
      <c r="BG94" s="442" t="inlineStr"/>
      <c r="BH94" s="436" t="n">
        <v>0.211</v>
      </c>
      <c r="BI94" s="436" t="n">
        <v>0.211</v>
      </c>
      <c r="BJ94" s="436" t="inlineStr"/>
      <c r="BK94" s="439" t="n">
        <v>0.217</v>
      </c>
      <c r="BL94" s="442" t="n">
        <v>0.21</v>
      </c>
      <c r="BM94" s="436" t="inlineStr"/>
      <c r="BN94" s="436" t="n">
        <v>0.22</v>
      </c>
      <c r="BO94" s="436" t="n">
        <v>0.207</v>
      </c>
      <c r="BP94" s="439" t="inlineStr"/>
      <c r="BQ94" s="442" t="n">
        <v>0.203</v>
      </c>
      <c r="BR94" s="436" t="n">
        <v>0.22</v>
      </c>
      <c r="BS94" s="436" t="inlineStr"/>
      <c r="BT94" s="439" t="inlineStr"/>
      <c r="BU94" s="454">
        <f>IFERROR(AVERAGE(D94:BT96),0)</f>
        <v/>
      </c>
      <c r="BV94" s="454">
        <f>MIN(D94:BT96)</f>
        <v/>
      </c>
      <c r="BW94" s="437" t="n"/>
      <c r="BX94" s="437" t="n"/>
      <c r="BY94" s="437" t="n"/>
      <c r="BZ94" s="437" t="n"/>
      <c r="CA94" s="437" t="n"/>
      <c r="CB94" s="437" t="n"/>
      <c r="CC94" s="437" t="n"/>
      <c r="CD94" s="437" t="n"/>
      <c r="CE94" s="437" t="n"/>
      <c r="CF94" s="437" t="n"/>
      <c r="CG94" s="437" t="n"/>
      <c r="CH94" s="437" t="n"/>
      <c r="CI94" s="437" t="n"/>
      <c r="CJ94" s="437" t="n"/>
      <c r="CK94" s="437" t="n"/>
      <c r="CL94" s="437" t="n"/>
      <c r="CM94" s="437" t="n"/>
      <c r="CN94" s="437" t="n"/>
      <c r="CO94" s="437" t="n"/>
      <c r="CP94" s="437" t="n"/>
      <c r="CQ94" s="437" t="n"/>
      <c r="CR94" s="437" t="n"/>
      <c r="CS94" s="437" t="n"/>
      <c r="CT94" s="437" t="n"/>
      <c r="CU94" s="437" t="n"/>
      <c r="CV94" s="437" t="n"/>
      <c r="CW94" s="437" t="n"/>
      <c r="CX94" s="437" t="n"/>
      <c r="CY94" s="437" t="n"/>
      <c r="CZ94" s="437" t="n"/>
      <c r="DA94" s="437" t="n"/>
      <c r="DB94" s="437" t="n"/>
      <c r="DC94" s="437" t="n"/>
      <c r="DD94" s="437" t="n"/>
      <c r="DE94" s="437" t="n"/>
      <c r="DF94" s="437" t="n"/>
      <c r="DG94" s="437" t="n"/>
      <c r="DH94" s="437" t="n"/>
      <c r="DI94" s="437" t="n"/>
      <c r="DJ94" s="437" t="n"/>
      <c r="DK94" s="437" t="n"/>
      <c r="DL94" s="437" t="n"/>
      <c r="DM94" s="437" t="n"/>
      <c r="DN94" s="437" t="n"/>
      <c r="DO94" s="437" t="n"/>
      <c r="DP94" s="437" t="n"/>
      <c r="DQ94" s="437" t="n"/>
      <c r="DR94" s="437" t="n"/>
      <c r="DS94" s="437" t="n"/>
      <c r="DT94" s="437" t="n"/>
      <c r="DU94" s="437" t="n"/>
      <c r="DV94" s="437" t="n"/>
      <c r="DW94" s="437" t="n"/>
      <c r="DX94" s="437" t="n"/>
      <c r="DY94" s="238" t="n"/>
      <c r="DZ94" s="23" t="n"/>
      <c r="FQ94" s="212" t="n"/>
      <c r="FR94" s="212" t="n"/>
      <c r="FS94" s="212" t="n"/>
      <c r="FT94" s="212" t="n"/>
      <c r="FU94" s="212" t="n"/>
      <c r="FV94" s="212" t="n"/>
      <c r="FW94" s="212" t="n"/>
      <c r="FX94" s="212" t="n"/>
      <c r="FY94" s="212" t="n"/>
      <c r="FZ94" s="212" t="n"/>
    </row>
    <row r="95" ht="39.95" customFormat="1" customHeight="1" s="5">
      <c r="A95" s="182" t="n">
        <v>0.083</v>
      </c>
      <c r="B95" s="7" t="inlineStr">
        <is>
          <t xml:space="preserve">OF THE </t>
        </is>
      </c>
      <c r="C95" s="11" t="inlineStr">
        <is>
          <t>C</t>
        </is>
      </c>
      <c r="D95" s="434" t="inlineStr"/>
      <c r="E95" s="437" t="inlineStr"/>
      <c r="F95" s="437" t="n">
        <v>0.219</v>
      </c>
      <c r="G95" s="437" t="n">
        <v>0.209</v>
      </c>
      <c r="H95" s="440" t="inlineStr"/>
      <c r="I95" s="443" t="n">
        <v>0.249</v>
      </c>
      <c r="J95" s="437" t="n">
        <v>0.263</v>
      </c>
      <c r="K95" s="437" t="inlineStr"/>
      <c r="L95" s="437" t="n">
        <v>0.242</v>
      </c>
      <c r="M95" s="440" t="n">
        <v>0.224</v>
      </c>
      <c r="N95" s="443" t="inlineStr"/>
      <c r="O95" s="437" t="n">
        <v>0.216</v>
      </c>
      <c r="P95" s="437" t="n">
        <v>0.209</v>
      </c>
      <c r="Q95" s="437" t="inlineStr"/>
      <c r="R95" s="440" t="n">
        <v>0.213</v>
      </c>
      <c r="S95" s="443" t="n">
        <v>0.213</v>
      </c>
      <c r="T95" s="437" t="inlineStr"/>
      <c r="U95" s="437" t="n">
        <v>0.215</v>
      </c>
      <c r="V95" s="437" t="n">
        <v>0.232</v>
      </c>
      <c r="W95" s="440" t="inlineStr"/>
      <c r="X95" s="443" t="n">
        <v>0.212</v>
      </c>
      <c r="Y95" s="437" t="n">
        <v>0.226</v>
      </c>
      <c r="Z95" s="437" t="inlineStr"/>
      <c r="AA95" s="437" t="n">
        <v>0.225</v>
      </c>
      <c r="AB95" s="440" t="n">
        <v>0.225</v>
      </c>
      <c r="AC95" s="443" t="inlineStr"/>
      <c r="AD95" s="437" t="n">
        <v>0.213</v>
      </c>
      <c r="AE95" s="437" t="n">
        <v>0.219</v>
      </c>
      <c r="AF95" s="437" t="inlineStr"/>
      <c r="AG95" s="440" t="n">
        <v>0.205</v>
      </c>
      <c r="AH95" s="443" t="n">
        <v>0.221</v>
      </c>
      <c r="AI95" s="437" t="inlineStr"/>
      <c r="AJ95" s="437" t="n">
        <v>0.219</v>
      </c>
      <c r="AK95" s="437" t="n">
        <v>0.216</v>
      </c>
      <c r="AL95" s="440" t="inlineStr"/>
      <c r="AM95" s="443" t="n">
        <v>0.209</v>
      </c>
      <c r="AN95" s="437" t="n">
        <v>0.211</v>
      </c>
      <c r="AO95" s="437" t="inlineStr"/>
      <c r="AP95" s="437" t="n">
        <v>0.209</v>
      </c>
      <c r="AQ95" s="440" t="n">
        <v>0.217</v>
      </c>
      <c r="AR95" s="443" t="inlineStr"/>
      <c r="AS95" s="437" t="n">
        <v>0.206</v>
      </c>
      <c r="AT95" s="437" t="n">
        <v>0.219</v>
      </c>
      <c r="AU95" s="437" t="inlineStr"/>
      <c r="AV95" s="440" t="n">
        <v>0.215</v>
      </c>
      <c r="AW95" s="443" t="n">
        <v>0.22</v>
      </c>
      <c r="AX95" s="437" t="inlineStr"/>
      <c r="AY95" s="437" t="n">
        <v>0.22</v>
      </c>
      <c r="AZ95" s="437" t="n">
        <v>0.203</v>
      </c>
      <c r="BA95" s="440" t="inlineStr"/>
      <c r="BB95" s="443" t="n">
        <v>0.216</v>
      </c>
      <c r="BC95" s="437" t="n">
        <v>0.229</v>
      </c>
      <c r="BD95" s="437" t="inlineStr"/>
      <c r="BE95" s="437" t="n">
        <v>0.206</v>
      </c>
      <c r="BF95" s="440" t="n">
        <v>0.206</v>
      </c>
      <c r="BG95" s="443" t="inlineStr"/>
      <c r="BH95" s="437" t="n">
        <v>0.214</v>
      </c>
      <c r="BI95" s="437" t="n">
        <v>0.205</v>
      </c>
      <c r="BJ95" s="437" t="inlineStr"/>
      <c r="BK95" s="440" t="n">
        <v>0.224</v>
      </c>
      <c r="BL95" s="443" t="n">
        <v>0.205</v>
      </c>
      <c r="BM95" s="437" t="inlineStr"/>
      <c r="BN95" s="437" t="n">
        <v>0.221</v>
      </c>
      <c r="BO95" s="437" t="n">
        <v>0.218</v>
      </c>
      <c r="BP95" s="440" t="inlineStr"/>
      <c r="BQ95" s="443" t="n">
        <v>0.2</v>
      </c>
      <c r="BR95" s="437" t="n">
        <v>0.204</v>
      </c>
      <c r="BS95" s="437" t="inlineStr"/>
      <c r="BT95" s="440" t="inlineStr"/>
      <c r="BU95" s="455" t="n"/>
      <c r="BV95" s="455" t="n"/>
      <c r="BW95" s="437" t="n"/>
      <c r="BX95" s="437" t="n"/>
      <c r="BY95" s="437" t="n"/>
      <c r="BZ95" s="437" t="n"/>
      <c r="CA95" s="437" t="n"/>
      <c r="CB95" s="437" t="n"/>
      <c r="CC95" s="437" t="n"/>
      <c r="CD95" s="437" t="n"/>
      <c r="CE95" s="437" t="n"/>
      <c r="CF95" s="437" t="n"/>
      <c r="CG95" s="437" t="n"/>
      <c r="CH95" s="437" t="n"/>
      <c r="CI95" s="437" t="n"/>
      <c r="CJ95" s="437" t="n"/>
      <c r="CK95" s="437" t="n"/>
      <c r="CL95" s="437" t="n"/>
      <c r="CM95" s="437" t="n"/>
      <c r="CN95" s="437" t="n"/>
      <c r="CO95" s="437" t="n"/>
      <c r="CP95" s="437" t="n"/>
      <c r="CQ95" s="437" t="n"/>
      <c r="CR95" s="437" t="n"/>
      <c r="CS95" s="437" t="n"/>
      <c r="CT95" s="437" t="n"/>
      <c r="CU95" s="437" t="n"/>
      <c r="CV95" s="437" t="n"/>
      <c r="CW95" s="437" t="n"/>
      <c r="CX95" s="437" t="n"/>
      <c r="CY95" s="437" t="n"/>
      <c r="CZ95" s="437" t="n"/>
      <c r="DA95" s="437" t="n"/>
      <c r="DB95" s="437" t="n"/>
      <c r="DC95" s="437" t="n"/>
      <c r="DD95" s="437" t="n"/>
      <c r="DE95" s="437" t="n"/>
      <c r="DF95" s="437" t="n"/>
      <c r="DG95" s="437" t="n"/>
      <c r="DH95" s="437" t="n"/>
      <c r="DI95" s="437" t="n"/>
      <c r="DJ95" s="437" t="n"/>
      <c r="DK95" s="437" t="n"/>
      <c r="DL95" s="437" t="n"/>
      <c r="DM95" s="437" t="n"/>
      <c r="DN95" s="437" t="n"/>
      <c r="DO95" s="437" t="n"/>
      <c r="DP95" s="437" t="n"/>
      <c r="DQ95" s="437" t="n"/>
      <c r="DR95" s="437" t="n"/>
      <c r="DS95" s="437" t="n"/>
      <c r="DT95" s="437" t="n"/>
      <c r="DU95" s="437" t="n"/>
      <c r="DV95" s="437" t="n"/>
      <c r="DW95" s="437" t="n"/>
      <c r="DX95" s="437" t="n"/>
      <c r="DY95" s="238" t="n"/>
      <c r="DZ95" s="23" t="n"/>
      <c r="FQ95" s="212" t="n"/>
      <c r="FR95" s="212" t="n"/>
      <c r="FS95" s="212" t="n"/>
      <c r="FT95" s="212" t="n"/>
      <c r="FU95" s="212" t="n"/>
      <c r="FV95" s="212" t="n"/>
      <c r="FW95" s="212" t="n"/>
      <c r="FX95" s="212" t="n"/>
      <c r="FY95" s="212" t="n"/>
      <c r="FZ95" s="212" t="n"/>
    </row>
    <row r="96" ht="39.95" customFormat="1" customHeight="1" s="5">
      <c r="A96" s="456" t="n"/>
      <c r="B96" s="8" t="inlineStr">
        <is>
          <t>PRIMARIES</t>
        </is>
      </c>
      <c r="C96" s="12" t="inlineStr">
        <is>
          <t>R</t>
        </is>
      </c>
      <c r="D96" s="435" t="inlineStr"/>
      <c r="E96" s="438" t="inlineStr"/>
      <c r="F96" s="438" t="n">
        <v>0.225</v>
      </c>
      <c r="G96" s="438" t="n">
        <v>0.213</v>
      </c>
      <c r="H96" s="441" t="inlineStr"/>
      <c r="I96" s="444" t="n">
        <v>0.252</v>
      </c>
      <c r="J96" s="438" t="n">
        <v>0.264</v>
      </c>
      <c r="K96" s="438" t="inlineStr"/>
      <c r="L96" s="438" t="n">
        <v>0.249</v>
      </c>
      <c r="M96" s="441" t="n">
        <v>0.244</v>
      </c>
      <c r="N96" s="444" t="inlineStr"/>
      <c r="O96" s="438" t="n">
        <v>0.21</v>
      </c>
      <c r="P96" s="438" t="n">
        <v>0.219</v>
      </c>
      <c r="Q96" s="438" t="inlineStr"/>
      <c r="R96" s="441" t="n">
        <v>0.219</v>
      </c>
      <c r="S96" s="444" t="n">
        <v>0.214</v>
      </c>
      <c r="T96" s="438" t="inlineStr"/>
      <c r="U96" s="438" t="n">
        <v>0.214</v>
      </c>
      <c r="V96" s="438" t="n">
        <v>0.224</v>
      </c>
      <c r="W96" s="441" t="inlineStr"/>
      <c r="X96" s="444" t="n">
        <v>0.216</v>
      </c>
      <c r="Y96" s="438" t="n">
        <v>0.215</v>
      </c>
      <c r="Z96" s="438" t="inlineStr"/>
      <c r="AA96" s="438" t="n">
        <v>0.214</v>
      </c>
      <c r="AB96" s="441" t="n">
        <v>0.216</v>
      </c>
      <c r="AC96" s="444" t="inlineStr"/>
      <c r="AD96" s="438" t="n">
        <v>0.214</v>
      </c>
      <c r="AE96" s="438" t="n">
        <v>0.212</v>
      </c>
      <c r="AF96" s="438" t="inlineStr"/>
      <c r="AG96" s="441" t="n">
        <v>0.205</v>
      </c>
      <c r="AH96" s="444" t="n">
        <v>0.215</v>
      </c>
      <c r="AI96" s="438" t="inlineStr"/>
      <c r="AJ96" s="438" t="n">
        <v>0.22</v>
      </c>
      <c r="AK96" s="438" t="n">
        <v>0.22</v>
      </c>
      <c r="AL96" s="441" t="inlineStr"/>
      <c r="AM96" s="444" t="n">
        <v>0.21</v>
      </c>
      <c r="AN96" s="438" t="n">
        <v>0.205</v>
      </c>
      <c r="AO96" s="438" t="inlineStr"/>
      <c r="AP96" s="438" t="n">
        <v>0.201</v>
      </c>
      <c r="AQ96" s="441" t="n">
        <v>0.224</v>
      </c>
      <c r="AR96" s="444" t="inlineStr"/>
      <c r="AS96" s="438" t="n">
        <v>0.204</v>
      </c>
      <c r="AT96" s="438" t="n">
        <v>0.205</v>
      </c>
      <c r="AU96" s="438" t="inlineStr"/>
      <c r="AV96" s="441" t="n">
        <v>0.214</v>
      </c>
      <c r="AW96" s="444" t="n">
        <v>0.213</v>
      </c>
      <c r="AX96" s="438" t="inlineStr"/>
      <c r="AY96" s="438" t="n">
        <v>0.211</v>
      </c>
      <c r="AZ96" s="438" t="n">
        <v>0.216</v>
      </c>
      <c r="BA96" s="441" t="inlineStr"/>
      <c r="BB96" s="444" t="n">
        <v>0.217</v>
      </c>
      <c r="BC96" s="438" t="n">
        <v>0.213</v>
      </c>
      <c r="BD96" s="438" t="inlineStr"/>
      <c r="BE96" s="438" t="n">
        <v>0.205</v>
      </c>
      <c r="BF96" s="441" t="n">
        <v>0.205</v>
      </c>
      <c r="BG96" s="444" t="inlineStr"/>
      <c r="BH96" s="438" t="n">
        <v>0.222</v>
      </c>
      <c r="BI96" s="438" t="n">
        <v>0.206</v>
      </c>
      <c r="BJ96" s="438" t="inlineStr"/>
      <c r="BK96" s="441" t="n">
        <v>0.216</v>
      </c>
      <c r="BL96" s="444" t="n">
        <v>0.211</v>
      </c>
      <c r="BM96" s="438" t="inlineStr"/>
      <c r="BN96" s="438" t="n">
        <v>0.199</v>
      </c>
      <c r="BO96" s="438" t="n">
        <v>0.22</v>
      </c>
      <c r="BP96" s="441" t="inlineStr"/>
      <c r="BQ96" s="444" t="n">
        <v>0.204</v>
      </c>
      <c r="BR96" s="438" t="n">
        <v>0.211</v>
      </c>
      <c r="BS96" s="438" t="inlineStr"/>
      <c r="BT96" s="441" t="inlineStr"/>
      <c r="BU96" s="457" t="n"/>
      <c r="BV96" s="457" t="n"/>
      <c r="BW96" s="437" t="n"/>
      <c r="BX96" s="437" t="n"/>
      <c r="BY96" s="437" t="n"/>
      <c r="BZ96" s="437" t="n"/>
      <c r="CA96" s="437" t="n"/>
      <c r="CB96" s="437" t="n"/>
      <c r="CC96" s="437" t="n"/>
      <c r="CD96" s="437" t="n"/>
      <c r="CE96" s="437" t="n"/>
      <c r="CF96" s="437" t="n"/>
      <c r="CG96" s="437" t="n"/>
      <c r="CH96" s="437" t="n"/>
      <c r="CI96" s="437" t="n"/>
      <c r="CJ96" s="437" t="n"/>
      <c r="CK96" s="437" t="n"/>
      <c r="CL96" s="437" t="n"/>
      <c r="CM96" s="437" t="n"/>
      <c r="CN96" s="437" t="n"/>
      <c r="CO96" s="437" t="n"/>
      <c r="CP96" s="437" t="n"/>
      <c r="CQ96" s="437" t="n"/>
      <c r="CR96" s="437" t="n"/>
      <c r="CS96" s="437" t="n"/>
      <c r="CT96" s="437" t="n"/>
      <c r="CU96" s="437" t="n"/>
      <c r="CV96" s="437" t="n"/>
      <c r="CW96" s="437" t="n"/>
      <c r="CX96" s="437" t="n"/>
      <c r="CY96" s="437" t="n"/>
      <c r="CZ96" s="437" t="n"/>
      <c r="DA96" s="437" t="n"/>
      <c r="DB96" s="437" t="n"/>
      <c r="DC96" s="437" t="n"/>
      <c r="DD96" s="437" t="n"/>
      <c r="DE96" s="437" t="n"/>
      <c r="DF96" s="437" t="n"/>
      <c r="DG96" s="437" t="n"/>
      <c r="DH96" s="437" t="n"/>
      <c r="DI96" s="437" t="n"/>
      <c r="DJ96" s="437" t="n"/>
      <c r="DK96" s="437" t="n"/>
      <c r="DL96" s="437" t="n"/>
      <c r="DM96" s="437" t="n"/>
      <c r="DN96" s="437" t="n"/>
      <c r="DO96" s="437" t="n"/>
      <c r="DP96" s="437" t="n"/>
      <c r="DQ96" s="437" t="n"/>
      <c r="DR96" s="437" t="n"/>
      <c r="DS96" s="437" t="n"/>
      <c r="DT96" s="437" t="n"/>
      <c r="DU96" s="437" t="n"/>
      <c r="DV96" s="437" t="n"/>
      <c r="DW96" s="437" t="n"/>
      <c r="DX96" s="437" t="n"/>
      <c r="DY96" s="238" t="n"/>
      <c r="DZ96" s="23" t="n"/>
      <c r="FQ96" s="212" t="n"/>
      <c r="FR96" s="212" t="n"/>
      <c r="FS96" s="212" t="n"/>
      <c r="FT96" s="212" t="n"/>
      <c r="FU96" s="212" t="n"/>
      <c r="FV96" s="212" t="n"/>
      <c r="FW96" s="212" t="n"/>
      <c r="FX96" s="212" t="n"/>
      <c r="FY96" s="212" t="n"/>
      <c r="FZ96" s="212" t="n"/>
    </row>
    <row r="97" ht="39.95" customFormat="1" customHeight="1" s="5">
      <c r="A97" s="10" t="inlineStr">
        <is>
          <t>A</t>
        </is>
      </c>
      <c r="B97" s="6" t="inlineStr">
        <is>
          <t>POSITION 'C'</t>
        </is>
      </c>
      <c r="C97" s="11" t="inlineStr">
        <is>
          <t>L</t>
        </is>
      </c>
      <c r="D97" s="433" t="inlineStr"/>
      <c r="E97" s="436" t="inlineStr"/>
      <c r="F97" s="436" t="n">
        <v>0.197</v>
      </c>
      <c r="G97" s="436" t="n">
        <v>0.212</v>
      </c>
      <c r="H97" s="439" t="inlineStr"/>
      <c r="I97" s="442" t="n">
        <v>0.253</v>
      </c>
      <c r="J97" s="436" t="n">
        <v>0.259</v>
      </c>
      <c r="K97" s="436" t="inlineStr"/>
      <c r="L97" s="436" t="n">
        <v>0.251</v>
      </c>
      <c r="M97" s="439" t="n">
        <v>0.253</v>
      </c>
      <c r="N97" s="442" t="inlineStr"/>
      <c r="O97" s="436" t="n">
        <v>0.214</v>
      </c>
      <c r="P97" s="436" t="n">
        <v>0.206</v>
      </c>
      <c r="Q97" s="436" t="inlineStr"/>
      <c r="R97" s="439" t="n">
        <v>0.212</v>
      </c>
      <c r="S97" s="442" t="n">
        <v>0.216</v>
      </c>
      <c r="T97" s="436" t="inlineStr"/>
      <c r="U97" s="436" t="n">
        <v>0.207</v>
      </c>
      <c r="V97" s="436" t="n">
        <v>0.208</v>
      </c>
      <c r="W97" s="439" t="inlineStr"/>
      <c r="X97" s="442" t="n">
        <v>0.211</v>
      </c>
      <c r="Y97" s="436" t="n">
        <v>0.21</v>
      </c>
      <c r="Z97" s="436" t="inlineStr"/>
      <c r="AA97" s="436" t="n">
        <v>0.209</v>
      </c>
      <c r="AB97" s="439" t="n">
        <v>0.218</v>
      </c>
      <c r="AC97" s="442" t="inlineStr"/>
      <c r="AD97" s="436" t="n">
        <v>0.212</v>
      </c>
      <c r="AE97" s="436" t="n">
        <v>0.216</v>
      </c>
      <c r="AF97" s="436" t="inlineStr"/>
      <c r="AG97" s="439" t="n">
        <v>0.208</v>
      </c>
      <c r="AH97" s="442" t="n">
        <v>0.216</v>
      </c>
      <c r="AI97" s="436" t="inlineStr"/>
      <c r="AJ97" s="436" t="n">
        <v>0.22</v>
      </c>
      <c r="AK97" s="436" t="n">
        <v>0.203</v>
      </c>
      <c r="AL97" s="439" t="inlineStr"/>
      <c r="AM97" s="442" t="n">
        <v>0.21</v>
      </c>
      <c r="AN97" s="436" t="n">
        <v>0.202</v>
      </c>
      <c r="AO97" s="436" t="inlineStr"/>
      <c r="AP97" s="436" t="n">
        <v>0.214</v>
      </c>
      <c r="AQ97" s="439" t="n">
        <v>0.219</v>
      </c>
      <c r="AR97" s="442" t="inlineStr"/>
      <c r="AS97" s="436" t="n">
        <v>0.22</v>
      </c>
      <c r="AT97" s="436" t="n">
        <v>0.217</v>
      </c>
      <c r="AU97" s="436" t="inlineStr"/>
      <c r="AV97" s="439" t="n">
        <v>0.209</v>
      </c>
      <c r="AW97" s="442" t="n">
        <v>0.226</v>
      </c>
      <c r="AX97" s="436" t="inlineStr"/>
      <c r="AY97" s="436" t="n">
        <v>0.226</v>
      </c>
      <c r="AZ97" s="436" t="n">
        <v>0.205</v>
      </c>
      <c r="BA97" s="439" t="inlineStr"/>
      <c r="BB97" s="442" t="n">
        <v>0.22</v>
      </c>
      <c r="BC97" s="436" t="n">
        <v>0.209</v>
      </c>
      <c r="BD97" s="436" t="inlineStr"/>
      <c r="BE97" s="436" t="n">
        <v>0.208</v>
      </c>
      <c r="BF97" s="439" t="n">
        <v>0.206</v>
      </c>
      <c r="BG97" s="442" t="inlineStr"/>
      <c r="BH97" s="436" t="n">
        <v>0.222</v>
      </c>
      <c r="BI97" s="436" t="n">
        <v>0.215</v>
      </c>
      <c r="BJ97" s="436" t="inlineStr"/>
      <c r="BK97" s="439" t="n">
        <v>0.218</v>
      </c>
      <c r="BL97" s="442" t="n">
        <v>0.206</v>
      </c>
      <c r="BM97" s="436" t="inlineStr"/>
      <c r="BN97" s="436" t="n">
        <v>0.208</v>
      </c>
      <c r="BO97" s="436" t="n">
        <v>0.211</v>
      </c>
      <c r="BP97" s="439" t="inlineStr"/>
      <c r="BQ97" s="442" t="n">
        <v>0.208</v>
      </c>
      <c r="BR97" s="436" t="n">
        <v>0.212</v>
      </c>
      <c r="BS97" s="436" t="inlineStr"/>
      <c r="BT97" s="439" t="inlineStr"/>
      <c r="BU97" s="454">
        <f>IFERROR(AVERAGE(D97:BT99),0)</f>
        <v/>
      </c>
      <c r="BV97" s="454">
        <f>MIN(D97:BT99)</f>
        <v/>
      </c>
      <c r="BW97" s="437" t="n"/>
      <c r="BX97" s="437" t="n"/>
      <c r="BY97" s="437" t="n"/>
      <c r="BZ97" s="437" t="n"/>
      <c r="CA97" s="437" t="n"/>
      <c r="CB97" s="437" t="n"/>
      <c r="CC97" s="437" t="n"/>
      <c r="CD97" s="437" t="n"/>
      <c r="CE97" s="437" t="n"/>
      <c r="CF97" s="437" t="n"/>
      <c r="CG97" s="437" t="n"/>
      <c r="CH97" s="437" t="n"/>
      <c r="CI97" s="437" t="n"/>
      <c r="CJ97" s="437" t="n"/>
      <c r="CK97" s="437" t="n"/>
      <c r="CL97" s="437" t="n"/>
      <c r="CM97" s="437" t="n"/>
      <c r="CN97" s="437" t="n"/>
      <c r="CO97" s="437" t="n"/>
      <c r="CP97" s="437" t="n"/>
      <c r="CQ97" s="437" t="n"/>
      <c r="CR97" s="437" t="n"/>
      <c r="CS97" s="437" t="n"/>
      <c r="CT97" s="437" t="n"/>
      <c r="CU97" s="437" t="n"/>
      <c r="CV97" s="437" t="n"/>
      <c r="CW97" s="437" t="n"/>
      <c r="CX97" s="437" t="n"/>
      <c r="CY97" s="437" t="n"/>
      <c r="CZ97" s="437" t="n"/>
      <c r="DA97" s="437" t="n"/>
      <c r="DB97" s="437" t="n"/>
      <c r="DC97" s="437" t="n"/>
      <c r="DD97" s="437" t="n"/>
      <c r="DE97" s="437" t="n"/>
      <c r="DF97" s="437" t="n"/>
      <c r="DG97" s="437" t="n"/>
      <c r="DH97" s="437" t="n"/>
      <c r="DI97" s="437" t="n"/>
      <c r="DJ97" s="437" t="n"/>
      <c r="DK97" s="437" t="n"/>
      <c r="DL97" s="437" t="n"/>
      <c r="DM97" s="437" t="n"/>
      <c r="DN97" s="437" t="n"/>
      <c r="DO97" s="437" t="n"/>
      <c r="DP97" s="437" t="n"/>
      <c r="DQ97" s="437" t="n"/>
      <c r="DR97" s="437" t="n"/>
      <c r="DS97" s="437" t="n"/>
      <c r="DT97" s="437" t="n"/>
      <c r="DU97" s="437" t="n"/>
      <c r="DV97" s="437" t="n"/>
      <c r="DW97" s="437" t="n"/>
      <c r="DX97" s="437" t="n"/>
      <c r="DY97" s="238" t="n"/>
      <c r="DZ97" s="23" t="n"/>
      <c r="FQ97" s="212" t="n"/>
      <c r="FR97" s="212" t="n"/>
      <c r="FS97" s="212" t="n"/>
      <c r="FT97" s="212" t="n"/>
      <c r="FU97" s="212" t="n"/>
      <c r="FV97" s="212" t="n"/>
      <c r="FW97" s="212" t="n"/>
      <c r="FX97" s="212" t="n"/>
      <c r="FY97" s="212" t="n"/>
      <c r="FZ97" s="212" t="n"/>
    </row>
    <row r="98" ht="39.95" customFormat="1" customHeight="1" s="5">
      <c r="A98" s="182" t="n">
        <v>0.083</v>
      </c>
      <c r="B98" s="7" t="inlineStr">
        <is>
          <t xml:space="preserve">OF THE </t>
        </is>
      </c>
      <c r="C98" s="11" t="inlineStr">
        <is>
          <t>C</t>
        </is>
      </c>
      <c r="D98" s="434" t="inlineStr"/>
      <c r="E98" s="437" t="inlineStr"/>
      <c r="F98" s="437" t="n">
        <v>0.198</v>
      </c>
      <c r="G98" s="437" t="n">
        <v>0.193</v>
      </c>
      <c r="H98" s="440" t="inlineStr"/>
      <c r="I98" s="443" t="n">
        <v>0.25</v>
      </c>
      <c r="J98" s="437" t="n">
        <v>0.234</v>
      </c>
      <c r="K98" s="437" t="inlineStr"/>
      <c r="L98" s="437" t="n">
        <v>0.239</v>
      </c>
      <c r="M98" s="440" t="n">
        <v>0.252</v>
      </c>
      <c r="N98" s="443" t="inlineStr"/>
      <c r="O98" s="437" t="n">
        <v>0.208</v>
      </c>
      <c r="P98" s="437" t="n">
        <v>0.205</v>
      </c>
      <c r="Q98" s="437" t="inlineStr"/>
      <c r="R98" s="440" t="n">
        <v>0.212</v>
      </c>
      <c r="S98" s="443" t="n">
        <v>0.209</v>
      </c>
      <c r="T98" s="437" t="inlineStr"/>
      <c r="U98" s="437" t="n">
        <v>0.212</v>
      </c>
      <c r="V98" s="437" t="n">
        <v>0.205</v>
      </c>
      <c r="W98" s="440" t="inlineStr"/>
      <c r="X98" s="443" t="n">
        <v>0.21</v>
      </c>
      <c r="Y98" s="437" t="n">
        <v>0.219</v>
      </c>
      <c r="Z98" s="437" t="inlineStr"/>
      <c r="AA98" s="437" t="n">
        <v>0.218</v>
      </c>
      <c r="AB98" s="440" t="n">
        <v>0.216</v>
      </c>
      <c r="AC98" s="443" t="inlineStr"/>
      <c r="AD98" s="437" t="n">
        <v>0.207</v>
      </c>
      <c r="AE98" s="437" t="n">
        <v>0.209</v>
      </c>
      <c r="AF98" s="437" t="inlineStr"/>
      <c r="AG98" s="440" t="n">
        <v>0.214</v>
      </c>
      <c r="AH98" s="443" t="n">
        <v>0.21</v>
      </c>
      <c r="AI98" s="437" t="inlineStr"/>
      <c r="AJ98" s="437" t="n">
        <v>0.205</v>
      </c>
      <c r="AK98" s="437" t="n">
        <v>0.203</v>
      </c>
      <c r="AL98" s="440" t="inlineStr"/>
      <c r="AM98" s="443" t="n">
        <v>0.21</v>
      </c>
      <c r="AN98" s="437" t="n">
        <v>0.208</v>
      </c>
      <c r="AO98" s="437" t="inlineStr"/>
      <c r="AP98" s="437" t="n">
        <v>0.218</v>
      </c>
      <c r="AQ98" s="440" t="n">
        <v>0.212</v>
      </c>
      <c r="AR98" s="443" t="inlineStr"/>
      <c r="AS98" s="437" t="n">
        <v>0.206</v>
      </c>
      <c r="AT98" s="437" t="n">
        <v>0.212</v>
      </c>
      <c r="AU98" s="437" t="inlineStr"/>
      <c r="AV98" s="440" t="n">
        <v>0.209</v>
      </c>
      <c r="AW98" s="443" t="n">
        <v>0.214</v>
      </c>
      <c r="AX98" s="437" t="inlineStr"/>
      <c r="AY98" s="437" t="n">
        <v>0.218</v>
      </c>
      <c r="AZ98" s="437" t="n">
        <v>0.208</v>
      </c>
      <c r="BA98" s="440" t="inlineStr"/>
      <c r="BB98" s="443" t="n">
        <v>0.219</v>
      </c>
      <c r="BC98" s="437" t="n">
        <v>0.216</v>
      </c>
      <c r="BD98" s="437" t="inlineStr"/>
      <c r="BE98" s="437" t="n">
        <v>0.204</v>
      </c>
      <c r="BF98" s="440" t="n">
        <v>0.209</v>
      </c>
      <c r="BG98" s="443" t="inlineStr"/>
      <c r="BH98" s="437" t="n">
        <v>0.216</v>
      </c>
      <c r="BI98" s="437" t="n">
        <v>0.211</v>
      </c>
      <c r="BJ98" s="437" t="inlineStr"/>
      <c r="BK98" s="440" t="n">
        <v>0.212</v>
      </c>
      <c r="BL98" s="443" t="n">
        <v>0.206</v>
      </c>
      <c r="BM98" s="437" t="inlineStr"/>
      <c r="BN98" s="437" t="n">
        <v>0.195</v>
      </c>
      <c r="BO98" s="437" t="n">
        <v>0.214</v>
      </c>
      <c r="BP98" s="440" t="inlineStr"/>
      <c r="BQ98" s="443" t="n">
        <v>0.209</v>
      </c>
      <c r="BR98" s="437" t="n">
        <v>0.202</v>
      </c>
      <c r="BS98" s="437" t="inlineStr"/>
      <c r="BT98" s="440" t="inlineStr"/>
      <c r="BU98" s="455" t="n"/>
      <c r="BV98" s="455" t="n"/>
      <c r="BW98" s="437" t="n"/>
      <c r="BX98" s="437" t="n"/>
      <c r="BY98" s="437" t="n"/>
      <c r="BZ98" s="437" t="n"/>
      <c r="CA98" s="437" t="n"/>
      <c r="CB98" s="437" t="n"/>
      <c r="CC98" s="437" t="n"/>
      <c r="CD98" s="437" t="n"/>
      <c r="CE98" s="437" t="n"/>
      <c r="CF98" s="437" t="n"/>
      <c r="CG98" s="437" t="n"/>
      <c r="CH98" s="437" t="n"/>
      <c r="CI98" s="437" t="n"/>
      <c r="CJ98" s="437" t="n"/>
      <c r="CK98" s="437" t="n"/>
      <c r="CL98" s="437" t="n"/>
      <c r="CM98" s="437" t="n"/>
      <c r="CN98" s="437" t="n"/>
      <c r="CO98" s="437" t="n"/>
      <c r="CP98" s="437" t="n"/>
      <c r="CQ98" s="437" t="n"/>
      <c r="CR98" s="437" t="n"/>
      <c r="CS98" s="437" t="n"/>
      <c r="CT98" s="437" t="n"/>
      <c r="CU98" s="437" t="n"/>
      <c r="CV98" s="437" t="n"/>
      <c r="CW98" s="437" t="n"/>
      <c r="CX98" s="437" t="n"/>
      <c r="CY98" s="437" t="n"/>
      <c r="CZ98" s="437" t="n"/>
      <c r="DA98" s="437" t="n"/>
      <c r="DB98" s="437" t="n"/>
      <c r="DC98" s="437" t="n"/>
      <c r="DD98" s="437" t="n"/>
      <c r="DE98" s="437" t="n"/>
      <c r="DF98" s="437" t="n"/>
      <c r="DG98" s="437" t="n"/>
      <c r="DH98" s="437" t="n"/>
      <c r="DI98" s="437" t="n"/>
      <c r="DJ98" s="437" t="n"/>
      <c r="DK98" s="437" t="n"/>
      <c r="DL98" s="437" t="n"/>
      <c r="DM98" s="437" t="n"/>
      <c r="DN98" s="437" t="n"/>
      <c r="DO98" s="437" t="n"/>
      <c r="DP98" s="437" t="n"/>
      <c r="DQ98" s="437" t="n"/>
      <c r="DR98" s="437" t="n"/>
      <c r="DS98" s="437" t="n"/>
      <c r="DT98" s="437" t="n"/>
      <c r="DU98" s="437" t="n"/>
      <c r="DV98" s="437" t="n"/>
      <c r="DW98" s="437" t="n"/>
      <c r="DX98" s="437" t="n"/>
      <c r="DY98" s="238" t="n"/>
      <c r="DZ98" s="23" t="n"/>
      <c r="FQ98" s="212" t="n"/>
      <c r="FR98" s="212" t="n"/>
      <c r="FS98" s="212" t="n"/>
      <c r="FT98" s="212" t="n"/>
      <c r="FU98" s="212" t="n"/>
      <c r="FV98" s="212" t="n"/>
      <c r="FW98" s="212" t="n"/>
      <c r="FX98" s="212" t="n"/>
      <c r="FY98" s="212" t="n"/>
      <c r="FZ98" s="212" t="n"/>
    </row>
    <row r="99" ht="39.95" customFormat="1" customHeight="1" s="5">
      <c r="A99" s="456" t="n"/>
      <c r="B99" s="8" t="inlineStr">
        <is>
          <t>PRIMARIES</t>
        </is>
      </c>
      <c r="C99" s="12" t="inlineStr">
        <is>
          <t>R</t>
        </is>
      </c>
      <c r="D99" s="435" t="inlineStr"/>
      <c r="E99" s="438" t="inlineStr"/>
      <c r="F99" s="438" t="n">
        <v>0.212</v>
      </c>
      <c r="G99" s="438" t="n">
        <v>0.222</v>
      </c>
      <c r="H99" s="441" t="inlineStr"/>
      <c r="I99" s="444" t="n">
        <v>0.254</v>
      </c>
      <c r="J99" s="438" t="n">
        <v>0.245</v>
      </c>
      <c r="K99" s="438" t="inlineStr"/>
      <c r="L99" s="438" t="n">
        <v>0.247</v>
      </c>
      <c r="M99" s="441" t="n">
        <v>0.256</v>
      </c>
      <c r="N99" s="444" t="inlineStr"/>
      <c r="O99" s="438" t="n">
        <v>0.206</v>
      </c>
      <c r="P99" s="438" t="n">
        <v>0.225</v>
      </c>
      <c r="Q99" s="438" t="inlineStr"/>
      <c r="R99" s="441" t="n">
        <v>0.219</v>
      </c>
      <c r="S99" s="444" t="n">
        <v>0.213</v>
      </c>
      <c r="T99" s="438" t="inlineStr"/>
      <c r="U99" s="438" t="n">
        <v>0.217</v>
      </c>
      <c r="V99" s="438" t="n">
        <v>0.215</v>
      </c>
      <c r="W99" s="441" t="inlineStr"/>
      <c r="X99" s="444" t="n">
        <v>0.214</v>
      </c>
      <c r="Y99" s="438" t="n">
        <v>0.213</v>
      </c>
      <c r="Z99" s="438" t="inlineStr"/>
      <c r="AA99" s="438" t="n">
        <v>0.214</v>
      </c>
      <c r="AB99" s="441" t="n">
        <v>0.215</v>
      </c>
      <c r="AC99" s="444" t="inlineStr"/>
      <c r="AD99" s="438" t="n">
        <v>0.209</v>
      </c>
      <c r="AE99" s="438" t="n">
        <v>0.205</v>
      </c>
      <c r="AF99" s="438" t="inlineStr"/>
      <c r="AG99" s="441" t="n">
        <v>0.208</v>
      </c>
      <c r="AH99" s="444" t="n">
        <v>0.214</v>
      </c>
      <c r="AI99" s="438" t="inlineStr"/>
      <c r="AJ99" s="438" t="n">
        <v>0.213</v>
      </c>
      <c r="AK99" s="438" t="n">
        <v>0.217</v>
      </c>
      <c r="AL99" s="441" t="inlineStr"/>
      <c r="AM99" s="444" t="n">
        <v>0.207</v>
      </c>
      <c r="AN99" s="438" t="n">
        <v>0.198</v>
      </c>
      <c r="AO99" s="438" t="inlineStr"/>
      <c r="AP99" s="438" t="n">
        <v>0.215</v>
      </c>
      <c r="AQ99" s="441" t="n">
        <v>0.213</v>
      </c>
      <c r="AR99" s="444" t="inlineStr"/>
      <c r="AS99" s="438" t="n">
        <v>0.209</v>
      </c>
      <c r="AT99" s="438" t="n">
        <v>0.209</v>
      </c>
      <c r="AU99" s="438" t="inlineStr"/>
      <c r="AV99" s="441" t="n">
        <v>0.209</v>
      </c>
      <c r="AW99" s="444" t="n">
        <v>0.209</v>
      </c>
      <c r="AX99" s="438" t="inlineStr"/>
      <c r="AY99" s="438" t="n">
        <v>0.208</v>
      </c>
      <c r="AZ99" s="438" t="n">
        <v>0.206</v>
      </c>
      <c r="BA99" s="441" t="inlineStr"/>
      <c r="BB99" s="444" t="n">
        <v>0.209</v>
      </c>
      <c r="BC99" s="438" t="n">
        <v>0.206</v>
      </c>
      <c r="BD99" s="438" t="inlineStr"/>
      <c r="BE99" s="438" t="n">
        <v>0.199</v>
      </c>
      <c r="BF99" s="441" t="n">
        <v>0.219</v>
      </c>
      <c r="BG99" s="444" t="inlineStr"/>
      <c r="BH99" s="438" t="n">
        <v>0.209</v>
      </c>
      <c r="BI99" s="438" t="n">
        <v>0.203</v>
      </c>
      <c r="BJ99" s="438" t="inlineStr"/>
      <c r="BK99" s="441" t="n">
        <v>0.212</v>
      </c>
      <c r="BL99" s="444" t="n">
        <v>0.2</v>
      </c>
      <c r="BM99" s="438" t="inlineStr"/>
      <c r="BN99" s="438" t="n">
        <v>0.197</v>
      </c>
      <c r="BO99" s="438" t="n">
        <v>0.207</v>
      </c>
      <c r="BP99" s="441" t="inlineStr"/>
      <c r="BQ99" s="444" t="n">
        <v>0.196</v>
      </c>
      <c r="BR99" s="438" t="n">
        <v>0.231</v>
      </c>
      <c r="BS99" s="438" t="inlineStr"/>
      <c r="BT99" s="441" t="inlineStr"/>
      <c r="BU99" s="457" t="n"/>
      <c r="BV99" s="457" t="n"/>
      <c r="BW99" s="437" t="n"/>
      <c r="BX99" s="437" t="n"/>
      <c r="BY99" s="437" t="n"/>
      <c r="BZ99" s="437" t="n"/>
      <c r="CA99" s="437" t="n"/>
      <c r="CB99" s="437" t="n"/>
      <c r="CC99" s="437" t="n"/>
      <c r="CD99" s="437" t="n"/>
      <c r="CE99" s="437" t="n"/>
      <c r="CF99" s="437" t="n"/>
      <c r="CG99" s="437" t="n"/>
      <c r="CH99" s="437" t="n"/>
      <c r="CI99" s="437" t="n"/>
      <c r="CJ99" s="437" t="n"/>
      <c r="CK99" s="437" t="n"/>
      <c r="CL99" s="437" t="n"/>
      <c r="CM99" s="437" t="n"/>
      <c r="CN99" s="437" t="n"/>
      <c r="CO99" s="437" t="n"/>
      <c r="CP99" s="437" t="n"/>
      <c r="CQ99" s="437" t="n"/>
      <c r="CR99" s="437" t="n"/>
      <c r="CS99" s="437" t="n"/>
      <c r="CT99" s="437" t="n"/>
      <c r="CU99" s="437" t="n"/>
      <c r="CV99" s="437" t="n"/>
      <c r="CW99" s="437" t="n"/>
      <c r="CX99" s="437" t="n"/>
      <c r="CY99" s="437" t="n"/>
      <c r="CZ99" s="437" t="n"/>
      <c r="DA99" s="437" t="n"/>
      <c r="DB99" s="437" t="n"/>
      <c r="DC99" s="437" t="n"/>
      <c r="DD99" s="437" t="n"/>
      <c r="DE99" s="437" t="n"/>
      <c r="DF99" s="437" t="n"/>
      <c r="DG99" s="437" t="n"/>
      <c r="DH99" s="437" t="n"/>
      <c r="DI99" s="437" t="n"/>
      <c r="DJ99" s="437" t="n"/>
      <c r="DK99" s="437" t="n"/>
      <c r="DL99" s="437" t="n"/>
      <c r="DM99" s="437" t="n"/>
      <c r="DN99" s="437" t="n"/>
      <c r="DO99" s="437" t="n"/>
      <c r="DP99" s="437" t="n"/>
      <c r="DQ99" s="437" t="n"/>
      <c r="DR99" s="437" t="n"/>
      <c r="DS99" s="437" t="n"/>
      <c r="DT99" s="437" t="n"/>
      <c r="DU99" s="437" t="n"/>
      <c r="DV99" s="437" t="n"/>
      <c r="DW99" s="437" t="n"/>
      <c r="DX99" s="437" t="n"/>
      <c r="DY99" s="238" t="n"/>
      <c r="DZ99" s="23" t="n"/>
      <c r="FQ99" s="212" t="n"/>
      <c r="FR99" s="212" t="n"/>
      <c r="FS99" s="212" t="n"/>
      <c r="FT99" s="212" t="n"/>
      <c r="FU99" s="212" t="n"/>
      <c r="FV99" s="212" t="n"/>
      <c r="FW99" s="212" t="n"/>
      <c r="FX99" s="212" t="n"/>
      <c r="FY99" s="212" t="n"/>
      <c r="FZ99" s="212" t="n"/>
    </row>
    <row r="100" ht="39.95" customFormat="1" customHeight="1" s="5">
      <c r="A100" s="10" t="inlineStr">
        <is>
          <t>A</t>
        </is>
      </c>
      <c r="B100" s="6" t="n"/>
      <c r="C100" s="11" t="inlineStr">
        <is>
          <t>L</t>
        </is>
      </c>
      <c r="D100" s="433" t="n">
        <v>0.228</v>
      </c>
      <c r="E100" s="436" t="n">
        <v>0.241</v>
      </c>
      <c r="F100" s="436" t="n">
        <v>0.248</v>
      </c>
      <c r="G100" s="436" t="n">
        <v>0.224</v>
      </c>
      <c r="H100" s="439" t="n">
        <v>0.212</v>
      </c>
      <c r="I100" s="442" t="n">
        <v>0.259</v>
      </c>
      <c r="J100" s="436" t="n">
        <v>0.261</v>
      </c>
      <c r="K100" s="436" t="n">
        <v>0.251</v>
      </c>
      <c r="L100" s="436" t="n">
        <v>0.264</v>
      </c>
      <c r="M100" s="439" t="n">
        <v>0.264</v>
      </c>
      <c r="N100" s="442" t="n">
        <v>0.261</v>
      </c>
      <c r="O100" s="436" t="n">
        <v>0.204</v>
      </c>
      <c r="P100" s="436" t="n">
        <v>0.216</v>
      </c>
      <c r="Q100" s="436" t="n">
        <v>0.223</v>
      </c>
      <c r="R100" s="439" t="n">
        <v>0.204</v>
      </c>
      <c r="S100" s="442" t="n">
        <v>0.219</v>
      </c>
      <c r="T100" s="436" t="n">
        <v>0.208</v>
      </c>
      <c r="U100" s="436" t="n">
        <v>0.215</v>
      </c>
      <c r="V100" s="436" t="n">
        <v>0.227</v>
      </c>
      <c r="W100" s="439" t="n">
        <v>0.199</v>
      </c>
      <c r="X100" s="442" t="n">
        <v>0.212</v>
      </c>
      <c r="Y100" s="436" t="n">
        <v>0.221</v>
      </c>
      <c r="Z100" s="436" t="n">
        <v>0.213</v>
      </c>
      <c r="AA100" s="436" t="n">
        <v>0.226</v>
      </c>
      <c r="AB100" s="439" t="n">
        <v>0.22</v>
      </c>
      <c r="AC100" s="442" t="n">
        <v>0.198</v>
      </c>
      <c r="AD100" s="436" t="n">
        <v>0.218</v>
      </c>
      <c r="AE100" s="436" t="n">
        <v>0.216</v>
      </c>
      <c r="AF100" s="436" t="n">
        <v>0.214</v>
      </c>
      <c r="AG100" s="439" t="n">
        <v>0.219</v>
      </c>
      <c r="AH100" s="442" t="n">
        <v>0.199</v>
      </c>
      <c r="AI100" s="436" t="n">
        <v>0.209</v>
      </c>
      <c r="AJ100" s="436" t="n">
        <v>0.214</v>
      </c>
      <c r="AK100" s="436" t="n">
        <v>0.215</v>
      </c>
      <c r="AL100" s="439" t="n">
        <v>0.218</v>
      </c>
      <c r="AM100" s="442" t="n">
        <v>0.201</v>
      </c>
      <c r="AN100" s="436" t="n">
        <v>0.202</v>
      </c>
      <c r="AO100" s="436" t="n">
        <v>0.219</v>
      </c>
      <c r="AP100" s="436" t="n">
        <v>0.218</v>
      </c>
      <c r="AQ100" s="439" t="n">
        <v>0.224</v>
      </c>
      <c r="AR100" s="442" t="n">
        <v>0.229</v>
      </c>
      <c r="AS100" s="436" t="n">
        <v>0.218</v>
      </c>
      <c r="AT100" s="436" t="n">
        <v>0.222</v>
      </c>
      <c r="AU100" s="436" t="n">
        <v>0.217</v>
      </c>
      <c r="AV100" s="439" t="n">
        <v>0.214</v>
      </c>
      <c r="AW100" s="442" t="n">
        <v>0.217</v>
      </c>
      <c r="AX100" s="436" t="n">
        <v>0.223</v>
      </c>
      <c r="AY100" s="436" t="n">
        <v>0.223</v>
      </c>
      <c r="AZ100" s="436" t="n">
        <v>0.207</v>
      </c>
      <c r="BA100" s="439" t="n">
        <v>0.205</v>
      </c>
      <c r="BB100" s="442" t="n">
        <v>0.207</v>
      </c>
      <c r="BC100" s="436" t="n">
        <v>0.219</v>
      </c>
      <c r="BD100" s="436" t="n">
        <v>0.229</v>
      </c>
      <c r="BE100" s="436" t="n">
        <v>0.217</v>
      </c>
      <c r="BF100" s="439" t="n">
        <v>0.226</v>
      </c>
      <c r="BG100" s="442" t="n">
        <v>0.224</v>
      </c>
      <c r="BH100" s="436" t="n">
        <v>0.211</v>
      </c>
      <c r="BI100" s="436" t="n">
        <v>0.214</v>
      </c>
      <c r="BJ100" s="436" t="n">
        <v>0.212</v>
      </c>
      <c r="BK100" s="439" t="n">
        <v>0.216</v>
      </c>
      <c r="BL100" s="442" t="n">
        <v>0.223</v>
      </c>
      <c r="BM100" s="436" t="n">
        <v>0.227</v>
      </c>
      <c r="BN100" s="436" t="n">
        <v>0.21</v>
      </c>
      <c r="BO100" s="436" t="n">
        <v>0.213</v>
      </c>
      <c r="BP100" s="439" t="n">
        <v>0.228</v>
      </c>
      <c r="BQ100" s="442" t="n">
        <v>0.202</v>
      </c>
      <c r="BR100" s="436" t="n">
        <v>0.22</v>
      </c>
      <c r="BS100" s="436" t="n">
        <v>0.215</v>
      </c>
      <c r="BT100" s="439" t="inlineStr">
        <is>
          <t>RF</t>
        </is>
      </c>
      <c r="BU100" s="454">
        <f>IFERROR(AVERAGE(D100:BT102),0)</f>
        <v/>
      </c>
      <c r="BV100" s="454">
        <f>MIN(D100:BT102)</f>
        <v/>
      </c>
      <c r="BW100" s="437" t="n"/>
      <c r="BX100" s="437" t="n"/>
      <c r="BY100" s="437" t="n"/>
      <c r="BZ100" s="437" t="n"/>
      <c r="CA100" s="437" t="n"/>
      <c r="CB100" s="437" t="n"/>
      <c r="CC100" s="437" t="n"/>
      <c r="CD100" s="437" t="n"/>
      <c r="CE100" s="437" t="n"/>
      <c r="CF100" s="437" t="n"/>
      <c r="CG100" s="437" t="n"/>
      <c r="CH100" s="437" t="n"/>
      <c r="CI100" s="437" t="n"/>
      <c r="CJ100" s="437" t="n"/>
      <c r="CK100" s="437" t="n"/>
      <c r="CL100" s="437" t="n"/>
      <c r="CM100" s="437" t="n"/>
      <c r="CN100" s="437" t="n"/>
      <c r="CO100" s="437" t="n"/>
      <c r="CP100" s="437" t="n"/>
      <c r="CQ100" s="437" t="n"/>
      <c r="CR100" s="437" t="n"/>
      <c r="CS100" s="437" t="n"/>
      <c r="CT100" s="437" t="n"/>
      <c r="CU100" s="437" t="n"/>
      <c r="CV100" s="437" t="n"/>
      <c r="CW100" s="437" t="n"/>
      <c r="CX100" s="437" t="n"/>
      <c r="CY100" s="437" t="n"/>
      <c r="CZ100" s="437" t="n"/>
      <c r="DA100" s="437" t="n"/>
      <c r="DB100" s="437" t="n"/>
      <c r="DC100" s="437" t="n"/>
      <c r="DD100" s="437" t="n"/>
      <c r="DE100" s="437" t="n"/>
      <c r="DF100" s="437" t="n"/>
      <c r="DG100" s="437" t="n"/>
      <c r="DH100" s="437" t="n"/>
      <c r="DI100" s="437" t="n"/>
      <c r="DJ100" s="437" t="n"/>
      <c r="DK100" s="437" t="n"/>
      <c r="DL100" s="437" t="n"/>
      <c r="DM100" s="437" t="n"/>
      <c r="DN100" s="437" t="n"/>
      <c r="DO100" s="437" t="n"/>
      <c r="DP100" s="437" t="n"/>
      <c r="DQ100" s="437" t="n"/>
      <c r="DR100" s="437" t="n"/>
      <c r="DS100" s="437" t="n"/>
      <c r="DT100" s="437" t="n"/>
      <c r="DU100" s="437" t="n"/>
      <c r="DV100" s="437" t="n"/>
      <c r="DW100" s="437" t="n"/>
      <c r="DX100" s="437" t="n"/>
      <c r="DY100" s="238" t="n"/>
      <c r="DZ100" s="23" t="n"/>
      <c r="FQ100" s="212" t="n"/>
      <c r="FR100" s="212" t="n"/>
      <c r="FS100" s="212" t="n"/>
      <c r="FT100" s="212" t="n"/>
      <c r="FU100" s="212" t="n"/>
      <c r="FV100" s="212" t="n"/>
      <c r="FW100" s="212" t="n"/>
      <c r="FX100" s="212" t="n"/>
      <c r="FY100" s="212" t="n"/>
      <c r="FZ100" s="212" t="n"/>
    </row>
    <row r="101" ht="39.95" customFormat="1" customHeight="1" s="5">
      <c r="A101" s="182" t="n">
        <v>0.083</v>
      </c>
      <c r="B101" s="7" t="inlineStr">
        <is>
          <t>-63 IN</t>
        </is>
      </c>
      <c r="C101" s="11" t="inlineStr">
        <is>
          <t>C</t>
        </is>
      </c>
      <c r="D101" s="434" t="n">
        <v>0.278</v>
      </c>
      <c r="E101" s="437" t="n">
        <v>0.222</v>
      </c>
      <c r="F101" s="437" t="n">
        <v>0.222</v>
      </c>
      <c r="G101" s="437" t="n">
        <v>0.209</v>
      </c>
      <c r="H101" s="440" t="n">
        <v>0.204</v>
      </c>
      <c r="I101" s="443" t="n">
        <v>0.257</v>
      </c>
      <c r="J101" s="437" t="n">
        <v>0.286</v>
      </c>
      <c r="K101" s="437" t="n">
        <v>0.261</v>
      </c>
      <c r="L101" s="437" t="n">
        <v>0.249</v>
      </c>
      <c r="M101" s="440" t="n">
        <v>0.264</v>
      </c>
      <c r="N101" s="443" t="n">
        <v>0.254</v>
      </c>
      <c r="O101" s="437" t="n">
        <v>0.203</v>
      </c>
      <c r="P101" s="437" t="n">
        <v>0.211</v>
      </c>
      <c r="Q101" s="437" t="n">
        <v>0.208</v>
      </c>
      <c r="R101" s="440" t="n">
        <v>0.215</v>
      </c>
      <c r="S101" s="443" t="n">
        <v>0.224</v>
      </c>
      <c r="T101" s="437" t="n">
        <v>0.198</v>
      </c>
      <c r="U101" s="437" t="n">
        <v>0.22</v>
      </c>
      <c r="V101" s="437" t="n">
        <v>0.23</v>
      </c>
      <c r="W101" s="440" t="n">
        <v>0.198</v>
      </c>
      <c r="X101" s="443" t="n">
        <v>0.23</v>
      </c>
      <c r="Y101" s="437" t="n">
        <v>0.229</v>
      </c>
      <c r="Z101" s="437" t="n">
        <v>0.218</v>
      </c>
      <c r="AA101" s="437" t="n">
        <v>0.222</v>
      </c>
      <c r="AB101" s="440" t="n">
        <v>0.219</v>
      </c>
      <c r="AC101" s="443" t="n">
        <v>0.213</v>
      </c>
      <c r="AD101" s="437" t="n">
        <v>0.217</v>
      </c>
      <c r="AE101" s="437" t="n">
        <v>0.212</v>
      </c>
      <c r="AF101" s="437" t="n">
        <v>0.214</v>
      </c>
      <c r="AG101" s="440" t="n">
        <v>0.212</v>
      </c>
      <c r="AH101" s="443" t="n">
        <v>0.208</v>
      </c>
      <c r="AI101" s="437" t="n">
        <v>0.212</v>
      </c>
      <c r="AJ101" s="437" t="n">
        <v>0.206</v>
      </c>
      <c r="AK101" s="437" t="n">
        <v>0.205</v>
      </c>
      <c r="AL101" s="440" t="n">
        <v>0.214</v>
      </c>
      <c r="AM101" s="443" t="n">
        <v>0.205</v>
      </c>
      <c r="AN101" s="437" t="n">
        <v>0.204</v>
      </c>
      <c r="AO101" s="437" t="n">
        <v>0.201</v>
      </c>
      <c r="AP101" s="437" t="n">
        <v>0.219</v>
      </c>
      <c r="AQ101" s="440" t="n">
        <v>0.217</v>
      </c>
      <c r="AR101" s="443" t="n">
        <v>0.208</v>
      </c>
      <c r="AS101" s="437" t="n">
        <v>0.222</v>
      </c>
      <c r="AT101" s="437" t="n">
        <v>0.216</v>
      </c>
      <c r="AU101" s="437" t="n">
        <v>0.216</v>
      </c>
      <c r="AV101" s="440" t="n">
        <v>0.21</v>
      </c>
      <c r="AW101" s="443" t="n">
        <v>0.216</v>
      </c>
      <c r="AX101" s="437" t="n">
        <v>0.234</v>
      </c>
      <c r="AY101" s="437" t="n">
        <v>0.222</v>
      </c>
      <c r="AZ101" s="437" t="n">
        <v>0.209</v>
      </c>
      <c r="BA101" s="440" t="n">
        <v>0.22</v>
      </c>
      <c r="BB101" s="443" t="n">
        <v>0.203</v>
      </c>
      <c r="BC101" s="437" t="n">
        <v>0.211</v>
      </c>
      <c r="BD101" s="437" t="n">
        <v>0.219</v>
      </c>
      <c r="BE101" s="437" t="n">
        <v>0.21</v>
      </c>
      <c r="BF101" s="440" t="n">
        <v>0.217</v>
      </c>
      <c r="BG101" s="443" t="n">
        <v>0.218</v>
      </c>
      <c r="BH101" s="437" t="n">
        <v>0.206</v>
      </c>
      <c r="BI101" s="437" t="n">
        <v>0.2</v>
      </c>
      <c r="BJ101" s="437" t="n">
        <v>0.213</v>
      </c>
      <c r="BK101" s="440" t="n">
        <v>0.224</v>
      </c>
      <c r="BL101" s="443" t="n">
        <v>0.203</v>
      </c>
      <c r="BM101" s="437" t="n">
        <v>0.228</v>
      </c>
      <c r="BN101" s="437" t="n">
        <v>0.189</v>
      </c>
      <c r="BO101" s="437" t="n">
        <v>0.211</v>
      </c>
      <c r="BP101" s="440" t="n">
        <v>0.209</v>
      </c>
      <c r="BQ101" s="443" t="n">
        <v>0.191</v>
      </c>
      <c r="BR101" s="437" t="n">
        <v>0.226</v>
      </c>
      <c r="BS101" s="437" t="n">
        <v>0.215</v>
      </c>
      <c r="BT101" s="440" t="n">
        <v>0.226</v>
      </c>
      <c r="BU101" s="455" t="n"/>
      <c r="BV101" s="455" t="n"/>
      <c r="BW101" s="437" t="n"/>
      <c r="BX101" s="437" t="n"/>
      <c r="BY101" s="437" t="n"/>
      <c r="BZ101" s="437" t="n"/>
      <c r="CA101" s="437" t="n"/>
      <c r="CB101" s="437" t="n"/>
      <c r="CC101" s="437" t="n"/>
      <c r="CD101" s="437" t="n"/>
      <c r="CE101" s="437" t="n"/>
      <c r="CF101" s="437" t="n"/>
      <c r="CG101" s="437" t="n"/>
      <c r="CH101" s="437" t="n"/>
      <c r="CI101" s="437" t="n"/>
      <c r="CJ101" s="437" t="n"/>
      <c r="CK101" s="437" t="n"/>
      <c r="CL101" s="437" t="n"/>
      <c r="CM101" s="437" t="n"/>
      <c r="CN101" s="437" t="n"/>
      <c r="CO101" s="437" t="n"/>
      <c r="CP101" s="437" t="n"/>
      <c r="CQ101" s="437" t="n"/>
      <c r="CR101" s="437" t="n"/>
      <c r="CS101" s="437" t="n"/>
      <c r="CT101" s="437" t="n"/>
      <c r="CU101" s="437" t="n"/>
      <c r="CV101" s="437" t="n"/>
      <c r="CW101" s="437" t="n"/>
      <c r="CX101" s="437" t="n"/>
      <c r="CY101" s="437" t="n"/>
      <c r="CZ101" s="437" t="n"/>
      <c r="DA101" s="437" t="n"/>
      <c r="DB101" s="437" t="n"/>
      <c r="DC101" s="437" t="n"/>
      <c r="DD101" s="437" t="n"/>
      <c r="DE101" s="437" t="n"/>
      <c r="DF101" s="437" t="n"/>
      <c r="DG101" s="437" t="n"/>
      <c r="DH101" s="437" t="n"/>
      <c r="DI101" s="437" t="n"/>
      <c r="DJ101" s="437" t="n"/>
      <c r="DK101" s="437" t="n"/>
      <c r="DL101" s="437" t="n"/>
      <c r="DM101" s="437" t="n"/>
      <c r="DN101" s="437" t="n"/>
      <c r="DO101" s="437" t="n"/>
      <c r="DP101" s="437" t="n"/>
      <c r="DQ101" s="437" t="n"/>
      <c r="DR101" s="437" t="n"/>
      <c r="DS101" s="437" t="n"/>
      <c r="DT101" s="437" t="n"/>
      <c r="DU101" s="437" t="n"/>
      <c r="DV101" s="437" t="n"/>
      <c r="DW101" s="437" t="n"/>
      <c r="DX101" s="437" t="n"/>
      <c r="DY101" s="238" t="n"/>
      <c r="DZ101" s="23" t="n"/>
      <c r="FQ101" s="212" t="n"/>
      <c r="FR101" s="212" t="n"/>
      <c r="FS101" s="212" t="n"/>
      <c r="FT101" s="212" t="n"/>
      <c r="FU101" s="212" t="n"/>
      <c r="FV101" s="212" t="n"/>
      <c r="FW101" s="212" t="n"/>
      <c r="FX101" s="212" t="n"/>
      <c r="FY101" s="212" t="n"/>
      <c r="FZ101" s="212" t="n"/>
    </row>
    <row r="102" ht="39.95" customFormat="1" customHeight="1" s="5">
      <c r="A102" s="456" t="n"/>
      <c r="B102" s="8" t="n"/>
      <c r="C102" s="12" t="inlineStr">
        <is>
          <t>R</t>
        </is>
      </c>
      <c r="D102" s="435" t="n">
        <v>0.207</v>
      </c>
      <c r="E102" s="438" t="n">
        <v>0.204</v>
      </c>
      <c r="F102" s="438" t="n">
        <v>0.222</v>
      </c>
      <c r="G102" s="438" t="n">
        <v>0.223</v>
      </c>
      <c r="H102" s="441" t="n">
        <v>0.217</v>
      </c>
      <c r="I102" s="444" t="n">
        <v>0.259</v>
      </c>
      <c r="J102" s="438" t="n">
        <v>0.263</v>
      </c>
      <c r="K102" s="438" t="n">
        <v>0.248</v>
      </c>
      <c r="L102" s="438" t="n">
        <v>0.253</v>
      </c>
      <c r="M102" s="441" t="n">
        <v>0.264</v>
      </c>
      <c r="N102" s="444" t="n">
        <v>0.255</v>
      </c>
      <c r="O102" s="438" t="n">
        <v>0.206</v>
      </c>
      <c r="P102" s="438" t="n">
        <v>0.217</v>
      </c>
      <c r="Q102" s="438" t="n">
        <v>0.21</v>
      </c>
      <c r="R102" s="441" t="n">
        <v>0.219</v>
      </c>
      <c r="S102" s="444" t="n">
        <v>0.221</v>
      </c>
      <c r="T102" s="438" t="n">
        <v>0.202</v>
      </c>
      <c r="U102" s="438" t="n">
        <v>0.234</v>
      </c>
      <c r="V102" s="438" t="n">
        <v>0.234</v>
      </c>
      <c r="W102" s="441" t="n">
        <v>0.195</v>
      </c>
      <c r="X102" s="444" t="n">
        <v>0.221</v>
      </c>
      <c r="Y102" s="438" t="n">
        <v>0.225</v>
      </c>
      <c r="Z102" s="438" t="n">
        <v>0.232</v>
      </c>
      <c r="AA102" s="438" t="n">
        <v>0.224</v>
      </c>
      <c r="AB102" s="441" t="n">
        <v>0.218</v>
      </c>
      <c r="AC102" s="444" t="n">
        <v>0.217</v>
      </c>
      <c r="AD102" s="438" t="n">
        <v>0.22</v>
      </c>
      <c r="AE102" s="438" t="n">
        <v>0.212</v>
      </c>
      <c r="AF102" s="438" t="n">
        <v>0.214</v>
      </c>
      <c r="AG102" s="441" t="n">
        <v>0.213</v>
      </c>
      <c r="AH102" s="444" t="n">
        <v>0.22</v>
      </c>
      <c r="AI102" s="438" t="n">
        <v>0.214</v>
      </c>
      <c r="AJ102" s="438" t="n">
        <v>0.209</v>
      </c>
      <c r="AK102" s="438" t="n">
        <v>0.227</v>
      </c>
      <c r="AL102" s="441" t="n">
        <v>0.209</v>
      </c>
      <c r="AM102" s="444" t="n">
        <v>0.204</v>
      </c>
      <c r="AN102" s="438" t="n">
        <v>0.202</v>
      </c>
      <c r="AO102" s="438" t="n">
        <v>0.217</v>
      </c>
      <c r="AP102" s="438" t="n">
        <v>0.215</v>
      </c>
      <c r="AQ102" s="441" t="n">
        <v>0.209</v>
      </c>
      <c r="AR102" s="444" t="n">
        <v>0.206</v>
      </c>
      <c r="AS102" s="438" t="n">
        <v>0.222</v>
      </c>
      <c r="AT102" s="438" t="n">
        <v>0.214</v>
      </c>
      <c r="AU102" s="438" t="n">
        <v>0.214</v>
      </c>
      <c r="AV102" s="441" t="n">
        <v>0.221</v>
      </c>
      <c r="AW102" s="444" t="n">
        <v>0.216</v>
      </c>
      <c r="AX102" s="438" t="n">
        <v>0.217</v>
      </c>
      <c r="AY102" s="438" t="n">
        <v>0.218</v>
      </c>
      <c r="AZ102" s="438" t="n">
        <v>0.206</v>
      </c>
      <c r="BA102" s="441" t="n">
        <v>0.221</v>
      </c>
      <c r="BB102" s="444" t="n">
        <v>0.207</v>
      </c>
      <c r="BC102" s="438" t="n">
        <v>0.211</v>
      </c>
      <c r="BD102" s="438" t="n">
        <v>0.207</v>
      </c>
      <c r="BE102" s="438" t="n">
        <v>0.214</v>
      </c>
      <c r="BF102" s="441" t="n">
        <v>0.217</v>
      </c>
      <c r="BG102" s="444" t="n">
        <v>0.223</v>
      </c>
      <c r="BH102" s="438" t="n">
        <v>0.212</v>
      </c>
      <c r="BI102" s="438" t="n">
        <v>0.208</v>
      </c>
      <c r="BJ102" s="438" t="n">
        <v>0.215</v>
      </c>
      <c r="BK102" s="441" t="n">
        <v>0.221</v>
      </c>
      <c r="BL102" s="444" t="n">
        <v>0.205</v>
      </c>
      <c r="BM102" s="438" t="n">
        <v>0.201</v>
      </c>
      <c r="BN102" s="438" t="n">
        <v>0.186</v>
      </c>
      <c r="BO102" s="438" t="n">
        <v>0.219</v>
      </c>
      <c r="BP102" s="441" t="n">
        <v>0.204</v>
      </c>
      <c r="BQ102" s="444" t="n">
        <v>0.199</v>
      </c>
      <c r="BR102" s="438" t="n">
        <v>0.217</v>
      </c>
      <c r="BS102" s="438" t="n">
        <v>0.218</v>
      </c>
      <c r="BT102" s="441" t="n">
        <v>0.216</v>
      </c>
      <c r="BU102" s="457" t="n"/>
      <c r="BV102" s="457" t="n"/>
      <c r="BW102" s="437" t="n"/>
      <c r="BX102" s="437" t="n"/>
      <c r="BY102" s="437" t="n"/>
      <c r="BZ102" s="437" t="n"/>
      <c r="CA102" s="437" t="n"/>
      <c r="CB102" s="437" t="n"/>
      <c r="CC102" s="437" t="n"/>
      <c r="CD102" s="437" t="n"/>
      <c r="CE102" s="437" t="n"/>
      <c r="CF102" s="437" t="n"/>
      <c r="CG102" s="437" t="n"/>
      <c r="CH102" s="437" t="n"/>
      <c r="CI102" s="437" t="n"/>
      <c r="CJ102" s="437" t="n"/>
      <c r="CK102" s="437" t="n"/>
      <c r="CL102" s="437" t="n"/>
      <c r="CM102" s="437" t="n"/>
      <c r="CN102" s="437" t="n"/>
      <c r="CO102" s="437" t="n"/>
      <c r="CP102" s="437" t="n"/>
      <c r="CQ102" s="437" t="n"/>
      <c r="CR102" s="437" t="n"/>
      <c r="CS102" s="437" t="n"/>
      <c r="CT102" s="437" t="n"/>
      <c r="CU102" s="437" t="n"/>
      <c r="CV102" s="437" t="n"/>
      <c r="CW102" s="437" t="n"/>
      <c r="CX102" s="437" t="n"/>
      <c r="CY102" s="437" t="n"/>
      <c r="CZ102" s="437" t="n"/>
      <c r="DA102" s="437" t="n"/>
      <c r="DB102" s="437" t="n"/>
      <c r="DC102" s="437" t="n"/>
      <c r="DD102" s="437" t="n"/>
      <c r="DE102" s="437" t="n"/>
      <c r="DF102" s="437" t="n"/>
      <c r="DG102" s="437" t="n"/>
      <c r="DH102" s="437" t="n"/>
      <c r="DI102" s="437" t="n"/>
      <c r="DJ102" s="437" t="n"/>
      <c r="DK102" s="437" t="n"/>
      <c r="DL102" s="437" t="n"/>
      <c r="DM102" s="437" t="n"/>
      <c r="DN102" s="437" t="n"/>
      <c r="DO102" s="437" t="n"/>
      <c r="DP102" s="437" t="n"/>
      <c r="DQ102" s="437" t="n"/>
      <c r="DR102" s="437" t="n"/>
      <c r="DS102" s="437" t="n"/>
      <c r="DT102" s="437" t="n"/>
      <c r="DU102" s="437" t="n"/>
      <c r="DV102" s="437" t="n"/>
      <c r="DW102" s="437" t="n"/>
      <c r="DX102" s="437" t="n"/>
      <c r="DY102" s="238" t="n"/>
      <c r="DZ102" s="23" t="n"/>
      <c r="FQ102" s="212" t="n"/>
      <c r="FR102" s="212" t="n"/>
      <c r="FS102" s="212" t="n"/>
      <c r="FT102" s="212" t="n"/>
      <c r="FU102" s="212" t="n"/>
      <c r="FV102" s="212" t="n"/>
      <c r="FW102" s="212" t="n"/>
      <c r="FX102" s="212" t="n"/>
      <c r="FY102" s="212" t="n"/>
      <c r="FZ102" s="212" t="n"/>
    </row>
    <row r="103" ht="39.95" customFormat="1" customHeight="1" s="5">
      <c r="A103" s="10" t="inlineStr">
        <is>
          <t>A</t>
        </is>
      </c>
      <c r="B103" s="6" t="n"/>
      <c r="C103" s="11" t="inlineStr">
        <is>
          <t>L</t>
        </is>
      </c>
      <c r="D103" s="433" t="n">
        <v>0.222</v>
      </c>
      <c r="E103" s="436" t="n">
        <v>0.218</v>
      </c>
      <c r="F103" s="436" t="n">
        <v>0.217</v>
      </c>
      <c r="G103" s="436" t="n">
        <v>0.232</v>
      </c>
      <c r="H103" s="439" t="n">
        <v>0.213</v>
      </c>
      <c r="I103" s="442" t="n">
        <v>0.247</v>
      </c>
      <c r="J103" s="436" t="n">
        <v>0.274</v>
      </c>
      <c r="K103" s="436" t="n">
        <v>0.278</v>
      </c>
      <c r="L103" s="436" t="n">
        <v>0.238</v>
      </c>
      <c r="M103" s="439" t="n">
        <v>0.252</v>
      </c>
      <c r="N103" s="442" t="n">
        <v>0.249</v>
      </c>
      <c r="O103" s="436" t="n">
        <v>0.209</v>
      </c>
      <c r="P103" s="436" t="n">
        <v>0.212</v>
      </c>
      <c r="Q103" s="436" t="n">
        <v>0.226</v>
      </c>
      <c r="R103" s="439" t="n">
        <v>0.216</v>
      </c>
      <c r="S103" s="442" t="n">
        <v>0.2</v>
      </c>
      <c r="T103" s="436" t="n">
        <v>0.21</v>
      </c>
      <c r="U103" s="436" t="n">
        <v>0.219</v>
      </c>
      <c r="V103" s="436" t="n">
        <v>0.213</v>
      </c>
      <c r="W103" s="439" t="n">
        <v>0.209</v>
      </c>
      <c r="X103" s="442" t="n">
        <v>0.216</v>
      </c>
      <c r="Y103" s="436" t="n">
        <v>0.219</v>
      </c>
      <c r="Z103" s="436" t="n">
        <v>0.206</v>
      </c>
      <c r="AA103" s="436" t="n">
        <v>0.222</v>
      </c>
      <c r="AB103" s="439" t="n">
        <v>0.213</v>
      </c>
      <c r="AC103" s="442" t="n">
        <v>0.207</v>
      </c>
      <c r="AD103" s="436" t="n">
        <v>0.209</v>
      </c>
      <c r="AE103" s="436" t="n">
        <v>0.2</v>
      </c>
      <c r="AF103" s="436" t="n">
        <v>0.219</v>
      </c>
      <c r="AG103" s="439" t="n">
        <v>0.22</v>
      </c>
      <c r="AH103" s="442" t="n">
        <v>0.209</v>
      </c>
      <c r="AI103" s="436" t="n">
        <v>0.226</v>
      </c>
      <c r="AJ103" s="436" t="n">
        <v>0.209</v>
      </c>
      <c r="AK103" s="436" t="n">
        <v>0.23</v>
      </c>
      <c r="AL103" s="439" t="n">
        <v>0.207</v>
      </c>
      <c r="AM103" s="442" t="n">
        <v>0.208</v>
      </c>
      <c r="AN103" s="436" t="n">
        <v>0.213</v>
      </c>
      <c r="AO103" s="436" t="n">
        <v>0.216</v>
      </c>
      <c r="AP103" s="436" t="n">
        <v>0.21</v>
      </c>
      <c r="AQ103" s="439" t="n">
        <v>0.216</v>
      </c>
      <c r="AR103" s="442" t="n">
        <v>0.21</v>
      </c>
      <c r="AS103" s="436" t="n">
        <v>0.225</v>
      </c>
      <c r="AT103" s="436" t="n">
        <v>0.213</v>
      </c>
      <c r="AU103" s="436" t="n">
        <v>0.22</v>
      </c>
      <c r="AV103" s="439" t="n">
        <v>0.207</v>
      </c>
      <c r="AW103" s="442" t="n">
        <v>0.216</v>
      </c>
      <c r="AX103" s="436" t="n">
        <v>0.217</v>
      </c>
      <c r="AY103" s="436" t="n">
        <v>0.218</v>
      </c>
      <c r="AZ103" s="436" t="n">
        <v>0.213</v>
      </c>
      <c r="BA103" s="439" t="n">
        <v>0.231</v>
      </c>
      <c r="BB103" s="442" t="n">
        <v>0.219</v>
      </c>
      <c r="BC103" s="436" t="n">
        <v>0.21</v>
      </c>
      <c r="BD103" s="436" t="n">
        <v>0.23</v>
      </c>
      <c r="BE103" s="436" t="n">
        <v>0.21</v>
      </c>
      <c r="BF103" s="439" t="n">
        <v>0.209</v>
      </c>
      <c r="BG103" s="442" t="n">
        <v>0.226</v>
      </c>
      <c r="BH103" s="436" t="n">
        <v>0.236</v>
      </c>
      <c r="BI103" s="436" t="n">
        <v>0.221</v>
      </c>
      <c r="BJ103" s="436" t="n">
        <v>0.23</v>
      </c>
      <c r="BK103" s="439" t="n">
        <v>0.243</v>
      </c>
      <c r="BL103" s="442" t="n">
        <v>0.216</v>
      </c>
      <c r="BM103" s="436" t="n">
        <v>0.216</v>
      </c>
      <c r="BN103" s="436" t="n">
        <v>0.22</v>
      </c>
      <c r="BO103" s="436" t="n">
        <v>0.219</v>
      </c>
      <c r="BP103" s="439" t="n">
        <v>0.216</v>
      </c>
      <c r="BQ103" s="442" t="n">
        <v>0.204</v>
      </c>
      <c r="BR103" s="436" t="n">
        <v>0.219</v>
      </c>
      <c r="BS103" s="436" t="n">
        <v>0.216</v>
      </c>
      <c r="BT103" s="439" t="n">
        <v>0.211</v>
      </c>
      <c r="BU103" s="454">
        <f>IFERROR(AVERAGE(D103:BT105),0)</f>
        <v/>
      </c>
      <c r="BV103" s="454">
        <f>MIN(D103:BT105)</f>
        <v/>
      </c>
      <c r="BW103" s="437" t="n"/>
      <c r="BX103" s="437" t="n"/>
      <c r="BY103" s="437" t="n"/>
      <c r="BZ103" s="437" t="n"/>
      <c r="CA103" s="437" t="n"/>
      <c r="CB103" s="437" t="n"/>
      <c r="CC103" s="437" t="n"/>
      <c r="CD103" s="437" t="n"/>
      <c r="CE103" s="437" t="n"/>
      <c r="CF103" s="437" t="n"/>
      <c r="CG103" s="437" t="n"/>
      <c r="CH103" s="437" t="n"/>
      <c r="CI103" s="437" t="n"/>
      <c r="CJ103" s="437" t="n"/>
      <c r="CK103" s="437" t="n"/>
      <c r="CL103" s="437" t="n"/>
      <c r="CM103" s="437" t="n"/>
      <c r="CN103" s="437" t="n"/>
      <c r="CO103" s="437" t="n"/>
      <c r="CP103" s="437" t="n"/>
      <c r="CQ103" s="437" t="n"/>
      <c r="CR103" s="437" t="n"/>
      <c r="CS103" s="437" t="n"/>
      <c r="CT103" s="437" t="n"/>
      <c r="CU103" s="437" t="n"/>
      <c r="CV103" s="437" t="n"/>
      <c r="CW103" s="437" t="n"/>
      <c r="CX103" s="437" t="n"/>
      <c r="CY103" s="437" t="n"/>
      <c r="CZ103" s="437" t="n"/>
      <c r="DA103" s="437" t="n"/>
      <c r="DB103" s="437" t="n"/>
      <c r="DC103" s="437" t="n"/>
      <c r="DD103" s="437" t="n"/>
      <c r="DE103" s="437" t="n"/>
      <c r="DF103" s="437" t="n"/>
      <c r="DG103" s="437" t="n"/>
      <c r="DH103" s="437" t="n"/>
      <c r="DI103" s="437" t="n"/>
      <c r="DJ103" s="437" t="n"/>
      <c r="DK103" s="437" t="n"/>
      <c r="DL103" s="437" t="n"/>
      <c r="DM103" s="437" t="n"/>
      <c r="DN103" s="437" t="n"/>
      <c r="DO103" s="437" t="n"/>
      <c r="DP103" s="437" t="n"/>
      <c r="DQ103" s="437" t="n"/>
      <c r="DR103" s="437" t="n"/>
      <c r="DS103" s="437" t="n"/>
      <c r="DT103" s="437" t="n"/>
      <c r="DU103" s="437" t="n"/>
      <c r="DV103" s="437" t="n"/>
      <c r="DW103" s="437" t="n"/>
      <c r="DX103" s="437" t="n"/>
      <c r="DY103" s="238" t="n"/>
      <c r="DZ103" s="23" t="n"/>
      <c r="FQ103" s="212" t="n"/>
      <c r="FR103" s="212" t="n"/>
      <c r="FS103" s="212" t="n"/>
      <c r="FT103" s="212" t="n"/>
      <c r="FU103" s="212" t="n"/>
      <c r="FV103" s="212" t="n"/>
      <c r="FW103" s="212" t="n"/>
      <c r="FX103" s="212" t="n"/>
      <c r="FY103" s="212" t="n"/>
      <c r="FZ103" s="212" t="n"/>
    </row>
    <row r="104" ht="39.95" customFormat="1" customHeight="1" s="5">
      <c r="A104" s="182" t="n">
        <v>0.083</v>
      </c>
      <c r="B104" s="7" t="inlineStr">
        <is>
          <t>-72 IN</t>
        </is>
      </c>
      <c r="C104" s="11" t="inlineStr">
        <is>
          <t>C</t>
        </is>
      </c>
      <c r="D104" s="434" t="n">
        <v>0.214</v>
      </c>
      <c r="E104" s="437" t="n">
        <v>0.218</v>
      </c>
      <c r="F104" s="437" t="n">
        <v>0.207</v>
      </c>
      <c r="G104" s="437" t="n">
        <v>0.205</v>
      </c>
      <c r="H104" s="440" t="n">
        <v>0.206</v>
      </c>
      <c r="I104" s="443" t="n">
        <v>0.262</v>
      </c>
      <c r="J104" s="437" t="n">
        <v>0.245</v>
      </c>
      <c r="K104" s="437" t="n">
        <v>0.255</v>
      </c>
      <c r="L104" s="437" t="n">
        <v>0.236</v>
      </c>
      <c r="M104" s="440" t="n">
        <v>0.23</v>
      </c>
      <c r="N104" s="443" t="n">
        <v>0.25</v>
      </c>
      <c r="O104" s="437" t="n">
        <v>0.21</v>
      </c>
      <c r="P104" s="437" t="n">
        <v>0.21</v>
      </c>
      <c r="Q104" s="437" t="n">
        <v>0.216</v>
      </c>
      <c r="R104" s="440" t="n">
        <v>0.214</v>
      </c>
      <c r="S104" s="443" t="n">
        <v>0.206</v>
      </c>
      <c r="T104" s="437" t="n">
        <v>0.218</v>
      </c>
      <c r="U104" s="437" t="n">
        <v>0.221</v>
      </c>
      <c r="V104" s="437" t="n">
        <v>0.221</v>
      </c>
      <c r="W104" s="440" t="n">
        <v>0.203</v>
      </c>
      <c r="X104" s="443" t="n">
        <v>0.212</v>
      </c>
      <c r="Y104" s="437" t="n">
        <v>0.214</v>
      </c>
      <c r="Z104" s="437" t="n">
        <v>0.22</v>
      </c>
      <c r="AA104" s="437" t="n">
        <v>0.226</v>
      </c>
      <c r="AB104" s="440" t="n">
        <v>0.211</v>
      </c>
      <c r="AC104" s="443" t="n">
        <v>0.22</v>
      </c>
      <c r="AD104" s="437" t="n">
        <v>0.217</v>
      </c>
      <c r="AE104" s="437" t="n">
        <v>0.205</v>
      </c>
      <c r="AF104" s="437" t="n">
        <v>0.215</v>
      </c>
      <c r="AG104" s="440" t="n">
        <v>0.214</v>
      </c>
      <c r="AH104" s="443" t="n">
        <v>0.211</v>
      </c>
      <c r="AI104" s="437" t="n">
        <v>0.209</v>
      </c>
      <c r="AJ104" s="437" t="n">
        <v>0.209</v>
      </c>
      <c r="AK104" s="437" t="n">
        <v>0.195</v>
      </c>
      <c r="AL104" s="440" t="n">
        <v>0.201</v>
      </c>
      <c r="AM104" s="443" t="n">
        <v>0.203</v>
      </c>
      <c r="AN104" s="437" t="n">
        <v>0.209</v>
      </c>
      <c r="AO104" s="437" t="n">
        <v>0.201</v>
      </c>
      <c r="AP104" s="437" t="n">
        <v>0.209</v>
      </c>
      <c r="AQ104" s="440" t="n">
        <v>0.236</v>
      </c>
      <c r="AR104" s="443" t="n">
        <v>0.2</v>
      </c>
      <c r="AS104" s="437" t="n">
        <v>0.212</v>
      </c>
      <c r="AT104" s="437" t="n">
        <v>0.203</v>
      </c>
      <c r="AU104" s="437" t="n">
        <v>0.211</v>
      </c>
      <c r="AV104" s="440" t="n">
        <v>0.205</v>
      </c>
      <c r="AW104" s="443" t="n">
        <v>0.217</v>
      </c>
      <c r="AX104" s="437" t="n">
        <v>0.209</v>
      </c>
      <c r="AY104" s="437" t="n">
        <v>0.224</v>
      </c>
      <c r="AZ104" s="437" t="n">
        <v>0.21</v>
      </c>
      <c r="BA104" s="440" t="n">
        <v>0.221</v>
      </c>
      <c r="BB104" s="443" t="n">
        <v>0.222</v>
      </c>
      <c r="BC104" s="437" t="n">
        <v>0.224</v>
      </c>
      <c r="BD104" s="437" t="n">
        <v>0.215</v>
      </c>
      <c r="BE104" s="437" t="n">
        <v>0.214</v>
      </c>
      <c r="BF104" s="440" t="n">
        <v>0.212</v>
      </c>
      <c r="BG104" s="443" t="n">
        <v>0.222</v>
      </c>
      <c r="BH104" s="437" t="n">
        <v>0.227</v>
      </c>
      <c r="BI104" s="437" t="n">
        <v>0.213</v>
      </c>
      <c r="BJ104" s="437" t="n">
        <v>0.232</v>
      </c>
      <c r="BK104" s="440" t="n">
        <v>0.224</v>
      </c>
      <c r="BL104" s="443" t="n">
        <v>0.22</v>
      </c>
      <c r="BM104" s="437" t="n">
        <v>0.213</v>
      </c>
      <c r="BN104" s="437" t="n">
        <v>0.24</v>
      </c>
      <c r="BO104" s="437" t="n">
        <v>0.223</v>
      </c>
      <c r="BP104" s="440" t="n">
        <v>0.22</v>
      </c>
      <c r="BQ104" s="443" t="n">
        <v>0.215</v>
      </c>
      <c r="BR104" s="437" t="n">
        <v>0.215</v>
      </c>
      <c r="BS104" s="437" t="n">
        <v>0.216</v>
      </c>
      <c r="BT104" s="440" t="n">
        <v>0.215</v>
      </c>
      <c r="BU104" s="455" t="n"/>
      <c r="BV104" s="455" t="n"/>
      <c r="BW104" s="437" t="n"/>
      <c r="BX104" s="437" t="n"/>
      <c r="BY104" s="437" t="n"/>
      <c r="BZ104" s="437" t="n"/>
      <c r="CA104" s="437" t="n"/>
      <c r="CB104" s="437" t="n"/>
      <c r="CC104" s="437" t="n"/>
      <c r="CD104" s="437" t="n"/>
      <c r="CE104" s="437" t="n"/>
      <c r="CF104" s="437" t="n"/>
      <c r="CG104" s="437" t="n"/>
      <c r="CH104" s="437" t="n"/>
      <c r="CI104" s="437" t="n"/>
      <c r="CJ104" s="437" t="n"/>
      <c r="CK104" s="437" t="n"/>
      <c r="CL104" s="437" t="n"/>
      <c r="CM104" s="437" t="n"/>
      <c r="CN104" s="437" t="n"/>
      <c r="CO104" s="437" t="n"/>
      <c r="CP104" s="437" t="n"/>
      <c r="CQ104" s="437" t="n"/>
      <c r="CR104" s="437" t="n"/>
      <c r="CS104" s="437" t="n"/>
      <c r="CT104" s="437" t="n"/>
      <c r="CU104" s="437" t="n"/>
      <c r="CV104" s="437" t="n"/>
      <c r="CW104" s="437" t="n"/>
      <c r="CX104" s="437" t="n"/>
      <c r="CY104" s="437" t="n"/>
      <c r="CZ104" s="437" t="n"/>
      <c r="DA104" s="437" t="n"/>
      <c r="DB104" s="437" t="n"/>
      <c r="DC104" s="437" t="n"/>
      <c r="DD104" s="437" t="n"/>
      <c r="DE104" s="437" t="n"/>
      <c r="DF104" s="437" t="n"/>
      <c r="DG104" s="437" t="n"/>
      <c r="DH104" s="437" t="n"/>
      <c r="DI104" s="437" t="n"/>
      <c r="DJ104" s="437" t="n"/>
      <c r="DK104" s="437" t="n"/>
      <c r="DL104" s="437" t="n"/>
      <c r="DM104" s="437" t="n"/>
      <c r="DN104" s="437" t="n"/>
      <c r="DO104" s="437" t="n"/>
      <c r="DP104" s="437" t="n"/>
      <c r="DQ104" s="437" t="n"/>
      <c r="DR104" s="437" t="n"/>
      <c r="DS104" s="437" t="n"/>
      <c r="DT104" s="437" t="n"/>
      <c r="DU104" s="437" t="n"/>
      <c r="DV104" s="437" t="n"/>
      <c r="DW104" s="437" t="n"/>
      <c r="DX104" s="437" t="n"/>
      <c r="DY104" s="238" t="n"/>
      <c r="DZ104" s="23" t="n"/>
      <c r="FQ104" s="212" t="n"/>
      <c r="FR104" s="212" t="n"/>
      <c r="FS104" s="212" t="n"/>
      <c r="FT104" s="212" t="n"/>
      <c r="FU104" s="212" t="n"/>
      <c r="FV104" s="212" t="n"/>
      <c r="FW104" s="212" t="n"/>
      <c r="FX104" s="212" t="n"/>
      <c r="FY104" s="212" t="n"/>
      <c r="FZ104" s="212" t="n"/>
    </row>
    <row r="105" ht="39.95" customFormat="1" customHeight="1" s="5">
      <c r="A105" s="456" t="n"/>
      <c r="B105" s="8" t="n"/>
      <c r="C105" s="12" t="inlineStr">
        <is>
          <t>R</t>
        </is>
      </c>
      <c r="D105" s="435" t="n">
        <v>0.232</v>
      </c>
      <c r="E105" s="438" t="n">
        <v>0.22</v>
      </c>
      <c r="F105" s="438" t="n">
        <v>0.219</v>
      </c>
      <c r="G105" s="438" t="n">
        <v>0.216</v>
      </c>
      <c r="H105" s="441" t="n">
        <v>0.218</v>
      </c>
      <c r="I105" s="444" t="n">
        <v>0.246</v>
      </c>
      <c r="J105" s="438" t="n">
        <v>0.25</v>
      </c>
      <c r="K105" s="438" t="n">
        <v>0.259</v>
      </c>
      <c r="L105" s="438" t="n">
        <v>0.245</v>
      </c>
      <c r="M105" s="441" t="n">
        <v>0.238</v>
      </c>
      <c r="N105" s="444" t="n">
        <v>0.258</v>
      </c>
      <c r="O105" s="438" t="n">
        <v>0.202</v>
      </c>
      <c r="P105" s="438" t="n">
        <v>0.211</v>
      </c>
      <c r="Q105" s="438" t="n">
        <v>0.216</v>
      </c>
      <c r="R105" s="441" t="n">
        <v>0.212</v>
      </c>
      <c r="S105" s="444" t="n">
        <v>0.212</v>
      </c>
      <c r="T105" s="438" t="n">
        <v>0.214</v>
      </c>
      <c r="U105" s="438" t="n">
        <v>0.221</v>
      </c>
      <c r="V105" s="438" t="n">
        <v>0.217</v>
      </c>
      <c r="W105" s="441" t="n">
        <v>0.202</v>
      </c>
      <c r="X105" s="444" t="n">
        <v>0.218</v>
      </c>
      <c r="Y105" s="438" t="n">
        <v>0.226</v>
      </c>
      <c r="Z105" s="438" t="n">
        <v>0.223</v>
      </c>
      <c r="AA105" s="438" t="n">
        <v>0.233</v>
      </c>
      <c r="AB105" s="441" t="n">
        <v>0.236</v>
      </c>
      <c r="AC105" s="444" t="n">
        <v>0.212</v>
      </c>
      <c r="AD105" s="438" t="n">
        <v>0.226</v>
      </c>
      <c r="AE105" s="438" t="n">
        <v>0.219</v>
      </c>
      <c r="AF105" s="438" t="n">
        <v>0.216</v>
      </c>
      <c r="AG105" s="441" t="n">
        <v>0.212</v>
      </c>
      <c r="AH105" s="444" t="n">
        <v>0.208</v>
      </c>
      <c r="AI105" s="438" t="n">
        <v>0.219</v>
      </c>
      <c r="AJ105" s="438" t="n">
        <v>0.213</v>
      </c>
      <c r="AK105" s="438" t="n">
        <v>0.207</v>
      </c>
      <c r="AL105" s="441" t="n">
        <v>0.207</v>
      </c>
      <c r="AM105" s="444" t="n">
        <v>0.215</v>
      </c>
      <c r="AN105" s="438" t="n">
        <v>0.226</v>
      </c>
      <c r="AO105" s="438" t="n">
        <v>0.22</v>
      </c>
      <c r="AP105" s="438" t="n">
        <v>0.207</v>
      </c>
      <c r="AQ105" s="441" t="n">
        <v>0.223</v>
      </c>
      <c r="AR105" s="444" t="n">
        <v>0.205</v>
      </c>
      <c r="AS105" s="438" t="n">
        <v>0.214</v>
      </c>
      <c r="AT105" s="438" t="n">
        <v>0.215</v>
      </c>
      <c r="AU105" s="438" t="n">
        <v>0.216</v>
      </c>
      <c r="AV105" s="441" t="n">
        <v>0.222</v>
      </c>
      <c r="AW105" s="444" t="n">
        <v>0.217</v>
      </c>
      <c r="AX105" s="438" t="n">
        <v>0.211</v>
      </c>
      <c r="AY105" s="438" t="n">
        <v>0.224</v>
      </c>
      <c r="AZ105" s="438" t="n">
        <v>0.214</v>
      </c>
      <c r="BA105" s="441" t="n">
        <v>0.214</v>
      </c>
      <c r="BB105" s="444" t="n">
        <v>0.223</v>
      </c>
      <c r="BC105" s="438" t="n">
        <v>0.226</v>
      </c>
      <c r="BD105" s="438" t="n">
        <v>0.218</v>
      </c>
      <c r="BE105" s="438" t="n">
        <v>0.212</v>
      </c>
      <c r="BF105" s="441" t="n">
        <v>0.24</v>
      </c>
      <c r="BG105" s="444" t="n">
        <v>0.216</v>
      </c>
      <c r="BH105" s="438" t="n">
        <v>0.224</v>
      </c>
      <c r="BI105" s="438" t="n">
        <v>0.217</v>
      </c>
      <c r="BJ105" s="438" t="n">
        <v>0.233</v>
      </c>
      <c r="BK105" s="441" t="n">
        <v>0.222</v>
      </c>
      <c r="BL105" s="444" t="n">
        <v>0.216</v>
      </c>
      <c r="BM105" s="438" t="n">
        <v>0.212</v>
      </c>
      <c r="BN105" s="438" t="n">
        <v>0.223</v>
      </c>
      <c r="BO105" s="438" t="n">
        <v>0.219</v>
      </c>
      <c r="BP105" s="441" t="n">
        <v>0.217</v>
      </c>
      <c r="BQ105" s="444" t="n">
        <v>0.222</v>
      </c>
      <c r="BR105" s="438" t="n">
        <v>0.223</v>
      </c>
      <c r="BS105" s="438" t="n">
        <v>0.214</v>
      </c>
      <c r="BT105" s="441" t="n">
        <v>0.211</v>
      </c>
      <c r="BU105" s="457" t="n"/>
      <c r="BV105" s="457" t="n"/>
      <c r="BW105" s="437" t="n"/>
      <c r="BX105" s="437" t="n"/>
      <c r="BY105" s="437" t="n"/>
      <c r="BZ105" s="437" t="n"/>
      <c r="CA105" s="437" t="n"/>
      <c r="CB105" s="437" t="n"/>
      <c r="CC105" s="437" t="n"/>
      <c r="CD105" s="437" t="n"/>
      <c r="CE105" s="437" t="n"/>
      <c r="CF105" s="437" t="n"/>
      <c r="CG105" s="437" t="n"/>
      <c r="CH105" s="437" t="n"/>
      <c r="CI105" s="437" t="n"/>
      <c r="CJ105" s="437" t="n"/>
      <c r="CK105" s="437" t="n"/>
      <c r="CL105" s="437" t="n"/>
      <c r="CM105" s="437" t="n"/>
      <c r="CN105" s="437" t="n"/>
      <c r="CO105" s="437" t="n"/>
      <c r="CP105" s="437" t="n"/>
      <c r="CQ105" s="437" t="n"/>
      <c r="CR105" s="437" t="n"/>
      <c r="CS105" s="437" t="n"/>
      <c r="CT105" s="437" t="n"/>
      <c r="CU105" s="437" t="n"/>
      <c r="CV105" s="437" t="n"/>
      <c r="CW105" s="437" t="n"/>
      <c r="CX105" s="437" t="n"/>
      <c r="CY105" s="437" t="n"/>
      <c r="CZ105" s="437" t="n"/>
      <c r="DA105" s="437" t="n"/>
      <c r="DB105" s="437" t="n"/>
      <c r="DC105" s="437" t="n"/>
      <c r="DD105" s="437" t="n"/>
      <c r="DE105" s="437" t="n"/>
      <c r="DF105" s="437" t="n"/>
      <c r="DG105" s="437" t="n"/>
      <c r="DH105" s="437" t="n"/>
      <c r="DI105" s="437" t="n"/>
      <c r="DJ105" s="437" t="n"/>
      <c r="DK105" s="437" t="n"/>
      <c r="DL105" s="437" t="n"/>
      <c r="DM105" s="437" t="n"/>
      <c r="DN105" s="437" t="n"/>
      <c r="DO105" s="437" t="n"/>
      <c r="DP105" s="437" t="n"/>
      <c r="DQ105" s="437" t="n"/>
      <c r="DR105" s="437" t="n"/>
      <c r="DS105" s="437" t="n"/>
      <c r="DT105" s="437" t="n"/>
      <c r="DU105" s="437" t="n"/>
      <c r="DV105" s="437" t="n"/>
      <c r="DW105" s="437" t="n"/>
      <c r="DX105" s="437" t="n"/>
      <c r="DY105" s="238" t="n"/>
      <c r="DZ105" s="23" t="n"/>
      <c r="FQ105" s="212" t="n"/>
      <c r="FR105" s="212" t="n"/>
      <c r="FS105" s="212" t="n"/>
      <c r="FT105" s="212" t="n"/>
      <c r="FU105" s="212" t="n"/>
      <c r="FV105" s="212" t="n"/>
      <c r="FW105" s="212" t="n"/>
      <c r="FX105" s="212" t="n"/>
      <c r="FY105" s="212" t="n"/>
      <c r="FZ105" s="212" t="n"/>
    </row>
    <row r="106" ht="39.95" customFormat="1" customHeight="1" s="5">
      <c r="A106" s="10" t="inlineStr">
        <is>
          <t>A</t>
        </is>
      </c>
      <c r="B106" s="6" t="n"/>
      <c r="C106" s="11" t="inlineStr">
        <is>
          <t>L</t>
        </is>
      </c>
      <c r="D106" s="433" t="n">
        <v>0.206</v>
      </c>
      <c r="E106" s="436" t="n">
        <v>0.219</v>
      </c>
      <c r="F106" s="436" t="n">
        <v>0.218</v>
      </c>
      <c r="G106" s="436" t="n">
        <v>0.224</v>
      </c>
      <c r="H106" s="439" t="n">
        <v>0.22</v>
      </c>
      <c r="I106" s="442" t="n">
        <v>0.263</v>
      </c>
      <c r="J106" s="436" t="n">
        <v>0.263</v>
      </c>
      <c r="K106" s="436" t="n">
        <v>0.255</v>
      </c>
      <c r="L106" s="436" t="n">
        <v>0.255</v>
      </c>
      <c r="M106" s="439" t="n">
        <v>0.245</v>
      </c>
      <c r="N106" s="442" t="n">
        <v>0.26</v>
      </c>
      <c r="O106" s="436" t="n">
        <v>0.202</v>
      </c>
      <c r="P106" s="436" t="n">
        <v>0.228</v>
      </c>
      <c r="Q106" s="436" t="n">
        <v>0.217</v>
      </c>
      <c r="R106" s="439" t="n">
        <v>0.225</v>
      </c>
      <c r="S106" s="442" t="n">
        <v>0.211</v>
      </c>
      <c r="T106" s="436" t="n">
        <v>0.208</v>
      </c>
      <c r="U106" s="436" t="n">
        <v>0.207</v>
      </c>
      <c r="V106" s="436" t="n">
        <v>0.214</v>
      </c>
      <c r="W106" s="439" t="n">
        <v>0.215</v>
      </c>
      <c r="X106" s="442" t="n">
        <v>0.219</v>
      </c>
      <c r="Y106" s="436" t="n">
        <v>0.214</v>
      </c>
      <c r="Z106" s="436" t="n">
        <v>0.214</v>
      </c>
      <c r="AA106" s="436" t="n">
        <v>0.218</v>
      </c>
      <c r="AB106" s="439" t="n">
        <v>0.214</v>
      </c>
      <c r="AC106" s="442" t="n">
        <v>0.229</v>
      </c>
      <c r="AD106" s="436" t="n">
        <v>0.212</v>
      </c>
      <c r="AE106" s="436" t="n">
        <v>0.218</v>
      </c>
      <c r="AF106" s="436" t="n">
        <v>0.212</v>
      </c>
      <c r="AG106" s="439" t="n">
        <v>0.212</v>
      </c>
      <c r="AH106" s="442" t="n">
        <v>0.21</v>
      </c>
      <c r="AI106" s="436" t="n">
        <v>0.218</v>
      </c>
      <c r="AJ106" s="436" t="n">
        <v>0.224</v>
      </c>
      <c r="AK106" s="436" t="n">
        <v>0.212</v>
      </c>
      <c r="AL106" s="439" t="n">
        <v>0.212</v>
      </c>
      <c r="AM106" s="442" t="n">
        <v>0.22</v>
      </c>
      <c r="AN106" s="436" t="n">
        <v>0.217</v>
      </c>
      <c r="AO106" s="436" t="n">
        <v>0.211</v>
      </c>
      <c r="AP106" s="436" t="n">
        <v>0.218</v>
      </c>
      <c r="AQ106" s="439" t="n">
        <v>0.214</v>
      </c>
      <c r="AR106" s="442" t="n">
        <v>0.227</v>
      </c>
      <c r="AS106" s="436" t="n">
        <v>0.214</v>
      </c>
      <c r="AT106" s="436" t="n">
        <v>0.216</v>
      </c>
      <c r="AU106" s="436" t="n">
        <v>0.214</v>
      </c>
      <c r="AV106" s="439" t="n">
        <v>0.212</v>
      </c>
      <c r="AW106" s="442" t="n">
        <v>0.222</v>
      </c>
      <c r="AX106" s="436" t="n">
        <v>0.218</v>
      </c>
      <c r="AY106" s="436" t="n">
        <v>0.227</v>
      </c>
      <c r="AZ106" s="436" t="n">
        <v>0.226</v>
      </c>
      <c r="BA106" s="439" t="n">
        <v>0.22</v>
      </c>
      <c r="BB106" s="442" t="n">
        <v>0.217</v>
      </c>
      <c r="BC106" s="436" t="n">
        <v>0.227</v>
      </c>
      <c r="BD106" s="436" t="n">
        <v>0.23</v>
      </c>
      <c r="BE106" s="436" t="n">
        <v>0.221</v>
      </c>
      <c r="BF106" s="439" t="n">
        <v>0.222</v>
      </c>
      <c r="BG106" s="442" t="n">
        <v>0.229</v>
      </c>
      <c r="BH106" s="436" t="n">
        <v>0.221</v>
      </c>
      <c r="BI106" s="436" t="inlineStr">
        <is>
          <t>ST</t>
        </is>
      </c>
      <c r="BJ106" s="436" t="inlineStr">
        <is>
          <t>ST</t>
        </is>
      </c>
      <c r="BK106" s="439" t="inlineStr">
        <is>
          <t>ST</t>
        </is>
      </c>
      <c r="BL106" s="442" t="inlineStr">
        <is>
          <t>ST</t>
        </is>
      </c>
      <c r="BM106" s="436" t="inlineStr">
        <is>
          <t>ST</t>
        </is>
      </c>
      <c r="BN106" s="436" t="inlineStr">
        <is>
          <t>ST</t>
        </is>
      </c>
      <c r="BO106" s="436" t="inlineStr">
        <is>
          <t>ST</t>
        </is>
      </c>
      <c r="BP106" s="439" t="inlineStr">
        <is>
          <t>ST</t>
        </is>
      </c>
      <c r="BQ106" s="442" t="inlineStr">
        <is>
          <t>ST</t>
        </is>
      </c>
      <c r="BR106" s="436" t="inlineStr">
        <is>
          <t>ST</t>
        </is>
      </c>
      <c r="BS106" s="436" t="inlineStr">
        <is>
          <t>ST</t>
        </is>
      </c>
      <c r="BT106" s="439" t="inlineStr">
        <is>
          <t>ST</t>
        </is>
      </c>
      <c r="BU106" s="454">
        <f>IFERROR(AVERAGE(D106:BT108),0)</f>
        <v/>
      </c>
      <c r="BV106" s="454">
        <f>MIN(D106:BT108)</f>
        <v/>
      </c>
      <c r="BW106" s="437" t="n"/>
      <c r="BX106" s="437" t="n"/>
      <c r="BY106" s="437" t="n"/>
      <c r="BZ106" s="437" t="n"/>
      <c r="CA106" s="437" t="n"/>
      <c r="CB106" s="437" t="n"/>
      <c r="CC106" s="437" t="n"/>
      <c r="CD106" s="437" t="n"/>
      <c r="CE106" s="437" t="n"/>
      <c r="CF106" s="437" t="n"/>
      <c r="CG106" s="437" t="n"/>
      <c r="CH106" s="437" t="n"/>
      <c r="CI106" s="437" t="n"/>
      <c r="CJ106" s="437" t="n"/>
      <c r="CK106" s="437" t="n"/>
      <c r="CL106" s="437" t="n"/>
      <c r="CM106" s="437" t="n"/>
      <c r="CN106" s="437" t="n"/>
      <c r="CO106" s="437" t="n"/>
      <c r="CP106" s="437" t="n"/>
      <c r="CQ106" s="437" t="n"/>
      <c r="CR106" s="437" t="n"/>
      <c r="CS106" s="437" t="n"/>
      <c r="CT106" s="437" t="n"/>
      <c r="CU106" s="437" t="n"/>
      <c r="CV106" s="437" t="n"/>
      <c r="CW106" s="437" t="n"/>
      <c r="CX106" s="437" t="n"/>
      <c r="CY106" s="437" t="n"/>
      <c r="CZ106" s="437" t="n"/>
      <c r="DA106" s="437" t="n"/>
      <c r="DB106" s="437" t="n"/>
      <c r="DC106" s="437" t="n"/>
      <c r="DD106" s="437" t="n"/>
      <c r="DE106" s="437" t="n"/>
      <c r="DF106" s="437" t="n"/>
      <c r="DG106" s="437" t="n"/>
      <c r="DH106" s="437" t="n"/>
      <c r="DI106" s="437" t="n"/>
      <c r="DJ106" s="437" t="n"/>
      <c r="DK106" s="437" t="n"/>
      <c r="DL106" s="437" t="n"/>
      <c r="DM106" s="437" t="n"/>
      <c r="DN106" s="437" t="n"/>
      <c r="DO106" s="437" t="n"/>
      <c r="DP106" s="437" t="n"/>
      <c r="DQ106" s="437" t="n"/>
      <c r="DR106" s="437" t="n"/>
      <c r="DS106" s="437" t="n"/>
      <c r="DT106" s="437" t="n"/>
      <c r="DU106" s="437" t="n"/>
      <c r="DV106" s="437" t="n"/>
      <c r="DW106" s="437" t="n"/>
      <c r="DX106" s="437" t="n"/>
      <c r="DY106" s="238" t="n"/>
      <c r="DZ106" s="23" t="n"/>
      <c r="FQ106" s="212" t="n"/>
      <c r="FR106" s="212" t="n"/>
      <c r="FS106" s="212" t="n"/>
      <c r="FT106" s="212" t="n"/>
      <c r="FU106" s="212" t="n"/>
      <c r="FV106" s="212" t="n"/>
      <c r="FW106" s="212" t="n"/>
      <c r="FX106" s="212" t="n"/>
      <c r="FY106" s="212" t="n"/>
      <c r="FZ106" s="212" t="n"/>
    </row>
    <row r="107" ht="39.95" customFormat="1" customHeight="1" s="5">
      <c r="A107" s="182" t="n">
        <v>0.083</v>
      </c>
      <c r="B107" s="7" t="inlineStr">
        <is>
          <t>-81 IN</t>
        </is>
      </c>
      <c r="C107" s="11" t="inlineStr">
        <is>
          <t>C</t>
        </is>
      </c>
      <c r="D107" s="434" t="n">
        <v>0.214</v>
      </c>
      <c r="E107" s="437" t="n">
        <v>0.24</v>
      </c>
      <c r="F107" s="437" t="n">
        <v>0.228</v>
      </c>
      <c r="G107" s="437" t="n">
        <v>0.227</v>
      </c>
      <c r="H107" s="440" t="n">
        <v>0.221</v>
      </c>
      <c r="I107" s="443" t="n">
        <v>0.26</v>
      </c>
      <c r="J107" s="437" t="n">
        <v>0.262</v>
      </c>
      <c r="K107" s="437" t="n">
        <v>0.256</v>
      </c>
      <c r="L107" s="437" t="n">
        <v>0.251</v>
      </c>
      <c r="M107" s="440" t="n">
        <v>0.247</v>
      </c>
      <c r="N107" s="443" t="n">
        <v>0.249</v>
      </c>
      <c r="O107" s="437" t="n">
        <v>0.2</v>
      </c>
      <c r="P107" s="437" t="n">
        <v>0.211</v>
      </c>
      <c r="Q107" s="437" t="n">
        <v>0.214</v>
      </c>
      <c r="R107" s="440" t="n">
        <v>0.211</v>
      </c>
      <c r="S107" s="443" t="n">
        <v>0.2</v>
      </c>
      <c r="T107" s="437" t="n">
        <v>0.221</v>
      </c>
      <c r="U107" s="437" t="n">
        <v>0.209</v>
      </c>
      <c r="V107" s="437" t="n">
        <v>0.224</v>
      </c>
      <c r="W107" s="440" t="n">
        <v>0.213</v>
      </c>
      <c r="X107" s="443" t="n">
        <v>0.227</v>
      </c>
      <c r="Y107" s="437" t="n">
        <v>0.234</v>
      </c>
      <c r="Z107" s="437" t="n">
        <v>0.213</v>
      </c>
      <c r="AA107" s="437" t="n">
        <v>0.225</v>
      </c>
      <c r="AB107" s="440" t="n">
        <v>0.219</v>
      </c>
      <c r="AC107" s="443" t="n">
        <v>0.211</v>
      </c>
      <c r="AD107" s="437" t="n">
        <v>0.224</v>
      </c>
      <c r="AE107" s="437" t="n">
        <v>0.208</v>
      </c>
      <c r="AF107" s="437" t="n">
        <v>0.229</v>
      </c>
      <c r="AG107" s="440" t="n">
        <v>0.215</v>
      </c>
      <c r="AH107" s="443" t="n">
        <v>0.211</v>
      </c>
      <c r="AI107" s="437" t="n">
        <v>0.219</v>
      </c>
      <c r="AJ107" s="437" t="n">
        <v>0.22</v>
      </c>
      <c r="AK107" s="437" t="n">
        <v>0.212</v>
      </c>
      <c r="AL107" s="440" t="n">
        <v>0.217</v>
      </c>
      <c r="AM107" s="443" t="n">
        <v>0.216</v>
      </c>
      <c r="AN107" s="437" t="n">
        <v>0.212</v>
      </c>
      <c r="AO107" s="437" t="n">
        <v>0.211</v>
      </c>
      <c r="AP107" s="437" t="n">
        <v>0.227</v>
      </c>
      <c r="AQ107" s="440" t="n">
        <v>0.221</v>
      </c>
      <c r="AR107" s="443" t="n">
        <v>0.217</v>
      </c>
      <c r="AS107" s="437" t="n">
        <v>0.219</v>
      </c>
      <c r="AT107" s="437" t="n">
        <v>0.217</v>
      </c>
      <c r="AU107" s="437" t="n">
        <v>0.221</v>
      </c>
      <c r="AV107" s="440" t="n">
        <v>0.212</v>
      </c>
      <c r="AW107" s="443" t="n">
        <v>0.23</v>
      </c>
      <c r="AX107" s="437" t="n">
        <v>0.218</v>
      </c>
      <c r="AY107" s="437" t="n">
        <v>0.238</v>
      </c>
      <c r="AZ107" s="437" t="n">
        <v>0.223</v>
      </c>
      <c r="BA107" s="440" t="n">
        <v>0.222</v>
      </c>
      <c r="BB107" s="443" t="n">
        <v>0.226</v>
      </c>
      <c r="BC107" s="437" t="n">
        <v>0.216</v>
      </c>
      <c r="BD107" s="437" t="n">
        <v>0.23</v>
      </c>
      <c r="BE107" s="437" t="n">
        <v>0.225</v>
      </c>
      <c r="BF107" s="440" t="n">
        <v>0.216</v>
      </c>
      <c r="BG107" s="443" t="n">
        <v>0.222</v>
      </c>
      <c r="BH107" s="437" t="n">
        <v>0.219</v>
      </c>
      <c r="BI107" s="437" t="inlineStr">
        <is>
          <t>ST</t>
        </is>
      </c>
      <c r="BJ107" s="437" t="inlineStr">
        <is>
          <t>ST</t>
        </is>
      </c>
      <c r="BK107" s="440" t="inlineStr">
        <is>
          <t>ST</t>
        </is>
      </c>
      <c r="BL107" s="443" t="inlineStr">
        <is>
          <t>ST</t>
        </is>
      </c>
      <c r="BM107" s="437" t="inlineStr">
        <is>
          <t>ST</t>
        </is>
      </c>
      <c r="BN107" s="437" t="inlineStr">
        <is>
          <t>ST</t>
        </is>
      </c>
      <c r="BO107" s="437" t="inlineStr">
        <is>
          <t>ST</t>
        </is>
      </c>
      <c r="BP107" s="440" t="inlineStr">
        <is>
          <t>ST</t>
        </is>
      </c>
      <c r="BQ107" s="443" t="inlineStr">
        <is>
          <t>ST</t>
        </is>
      </c>
      <c r="BR107" s="437" t="inlineStr">
        <is>
          <t>ST</t>
        </is>
      </c>
      <c r="BS107" s="437" t="inlineStr">
        <is>
          <t>ST</t>
        </is>
      </c>
      <c r="BT107" s="440" t="inlineStr">
        <is>
          <t>ST</t>
        </is>
      </c>
      <c r="BU107" s="455" t="n"/>
      <c r="BV107" s="455" t="n"/>
      <c r="BW107" s="437" t="n"/>
      <c r="BX107" s="437" t="n"/>
      <c r="BY107" s="437" t="n"/>
      <c r="BZ107" s="437" t="n"/>
      <c r="CA107" s="437" t="n"/>
      <c r="CB107" s="437" t="n"/>
      <c r="CC107" s="437" t="n"/>
      <c r="CD107" s="437" t="n"/>
      <c r="CE107" s="437" t="n"/>
      <c r="CF107" s="437" t="n"/>
      <c r="CG107" s="437" t="n"/>
      <c r="CH107" s="437" t="n"/>
      <c r="CI107" s="437" t="n"/>
      <c r="CJ107" s="437" t="n"/>
      <c r="CK107" s="437" t="n"/>
      <c r="CL107" s="437" t="n"/>
      <c r="CM107" s="437" t="n"/>
      <c r="CN107" s="437" t="n"/>
      <c r="CO107" s="437" t="n"/>
      <c r="CP107" s="437" t="n"/>
      <c r="CQ107" s="437" t="n"/>
      <c r="CR107" s="437" t="n"/>
      <c r="CS107" s="437" t="n"/>
      <c r="CT107" s="437" t="n"/>
      <c r="CU107" s="437" t="n"/>
      <c r="CV107" s="437" t="n"/>
      <c r="CW107" s="437" t="n"/>
      <c r="CX107" s="437" t="n"/>
      <c r="CY107" s="437" t="n"/>
      <c r="CZ107" s="437" t="n"/>
      <c r="DA107" s="437" t="n"/>
      <c r="DB107" s="437" t="n"/>
      <c r="DC107" s="437" t="n"/>
      <c r="DD107" s="437" t="n"/>
      <c r="DE107" s="437" t="n"/>
      <c r="DF107" s="437" t="n"/>
      <c r="DG107" s="437" t="n"/>
      <c r="DH107" s="437" t="n"/>
      <c r="DI107" s="437" t="n"/>
      <c r="DJ107" s="437" t="n"/>
      <c r="DK107" s="437" t="n"/>
      <c r="DL107" s="437" t="n"/>
      <c r="DM107" s="437" t="n"/>
      <c r="DN107" s="437" t="n"/>
      <c r="DO107" s="437" t="n"/>
      <c r="DP107" s="437" t="n"/>
      <c r="DQ107" s="437" t="n"/>
      <c r="DR107" s="437" t="n"/>
      <c r="DS107" s="437" t="n"/>
      <c r="DT107" s="437" t="n"/>
      <c r="DU107" s="437" t="n"/>
      <c r="DV107" s="437" t="n"/>
      <c r="DW107" s="437" t="n"/>
      <c r="DX107" s="437" t="n"/>
      <c r="DY107" s="238" t="n"/>
      <c r="DZ107" s="23" t="n"/>
      <c r="FQ107" s="212" t="n"/>
      <c r="FR107" s="212" t="n"/>
      <c r="FS107" s="212" t="n"/>
      <c r="FT107" s="212" t="n"/>
      <c r="FU107" s="212" t="n"/>
      <c r="FV107" s="212" t="n"/>
      <c r="FW107" s="212" t="n"/>
      <c r="FX107" s="212" t="n"/>
      <c r="FY107" s="212" t="n"/>
      <c r="FZ107" s="212" t="n"/>
    </row>
    <row r="108" ht="39.95" customFormat="1" customHeight="1" s="5">
      <c r="A108" s="456" t="n"/>
      <c r="B108" s="8" t="n"/>
      <c r="C108" s="12" t="inlineStr">
        <is>
          <t>R</t>
        </is>
      </c>
      <c r="D108" s="435" t="n">
        <v>0.217</v>
      </c>
      <c r="E108" s="438" t="n">
        <v>0.235</v>
      </c>
      <c r="F108" s="438" t="n">
        <v>0.23</v>
      </c>
      <c r="G108" s="438" t="n">
        <v>0.224</v>
      </c>
      <c r="H108" s="441" t="n">
        <v>0.22</v>
      </c>
      <c r="I108" s="444" t="n">
        <v>0.246</v>
      </c>
      <c r="J108" s="438" t="n">
        <v>0.255</v>
      </c>
      <c r="K108" s="438" t="n">
        <v>0.256</v>
      </c>
      <c r="L108" s="438" t="n">
        <v>0.258</v>
      </c>
      <c r="M108" s="441" t="n">
        <v>0.249</v>
      </c>
      <c r="N108" s="444" t="n">
        <v>0.265</v>
      </c>
      <c r="O108" s="438" t="n">
        <v>0.217</v>
      </c>
      <c r="P108" s="438" t="n">
        <v>0.227</v>
      </c>
      <c r="Q108" s="438" t="n">
        <v>0.22</v>
      </c>
      <c r="R108" s="441" t="n">
        <v>0.228</v>
      </c>
      <c r="S108" s="444" t="n">
        <v>0.21</v>
      </c>
      <c r="T108" s="438" t="n">
        <v>0.22</v>
      </c>
      <c r="U108" s="438" t="n">
        <v>0.222</v>
      </c>
      <c r="V108" s="438" t="n">
        <v>0.223</v>
      </c>
      <c r="W108" s="441" t="n">
        <v>0.236</v>
      </c>
      <c r="X108" s="444" t="n">
        <v>0.211</v>
      </c>
      <c r="Y108" s="438" t="n">
        <v>0.231</v>
      </c>
      <c r="Z108" s="438" t="n">
        <v>0.221</v>
      </c>
      <c r="AA108" s="438" t="n">
        <v>0.23</v>
      </c>
      <c r="AB108" s="441" t="n">
        <v>0.231</v>
      </c>
      <c r="AC108" s="444" t="n">
        <v>0.234</v>
      </c>
      <c r="AD108" s="438" t="n">
        <v>0.232</v>
      </c>
      <c r="AE108" s="438" t="n">
        <v>0.225</v>
      </c>
      <c r="AF108" s="438" t="n">
        <v>0.223</v>
      </c>
      <c r="AG108" s="441" t="n">
        <v>0.215</v>
      </c>
      <c r="AH108" s="444" t="n">
        <v>0.211</v>
      </c>
      <c r="AI108" s="438" t="n">
        <v>0.243</v>
      </c>
      <c r="AJ108" s="438" t="n">
        <v>0.222</v>
      </c>
      <c r="AK108" s="438" t="n">
        <v>0.212</v>
      </c>
      <c r="AL108" s="441" t="n">
        <v>0.214</v>
      </c>
      <c r="AM108" s="444" t="n">
        <v>0.215</v>
      </c>
      <c r="AN108" s="438" t="n">
        <v>0.233</v>
      </c>
      <c r="AO108" s="438" t="n">
        <v>0.216</v>
      </c>
      <c r="AP108" s="438" t="n">
        <v>0.22</v>
      </c>
      <c r="AQ108" s="441" t="n">
        <v>0.213</v>
      </c>
      <c r="AR108" s="444" t="n">
        <v>0.213</v>
      </c>
      <c r="AS108" s="438" t="n">
        <v>0.22</v>
      </c>
      <c r="AT108" s="438" t="n">
        <v>0.207</v>
      </c>
      <c r="AU108" s="438" t="n">
        <v>0.215</v>
      </c>
      <c r="AV108" s="441" t="n">
        <v>0.215</v>
      </c>
      <c r="AW108" s="444" t="n">
        <v>0.226</v>
      </c>
      <c r="AX108" s="438" t="n">
        <v>0.214</v>
      </c>
      <c r="AY108" s="438" t="n">
        <v>0.237</v>
      </c>
      <c r="AZ108" s="438" t="n">
        <v>0.227</v>
      </c>
      <c r="BA108" s="441" t="n">
        <v>0.222</v>
      </c>
      <c r="BB108" s="444" t="n">
        <v>0.214</v>
      </c>
      <c r="BC108" s="438" t="n">
        <v>0.234</v>
      </c>
      <c r="BD108" s="438" t="n">
        <v>0.226</v>
      </c>
      <c r="BE108" s="438" t="n">
        <v>0.246</v>
      </c>
      <c r="BF108" s="441" t="n">
        <v>0.22</v>
      </c>
      <c r="BG108" s="444" t="n">
        <v>0.231</v>
      </c>
      <c r="BH108" s="438" t="n">
        <v>0.218</v>
      </c>
      <c r="BI108" s="438" t="inlineStr">
        <is>
          <t>ST</t>
        </is>
      </c>
      <c r="BJ108" s="438" t="inlineStr">
        <is>
          <t>ST</t>
        </is>
      </c>
      <c r="BK108" s="441" t="inlineStr">
        <is>
          <t>ST</t>
        </is>
      </c>
      <c r="BL108" s="444" t="inlineStr">
        <is>
          <t>ST</t>
        </is>
      </c>
      <c r="BM108" s="438" t="inlineStr">
        <is>
          <t>ST</t>
        </is>
      </c>
      <c r="BN108" s="438" t="inlineStr">
        <is>
          <t>ST</t>
        </is>
      </c>
      <c r="BO108" s="438" t="inlineStr">
        <is>
          <t>ST</t>
        </is>
      </c>
      <c r="BP108" s="441" t="inlineStr">
        <is>
          <t>ST</t>
        </is>
      </c>
      <c r="BQ108" s="444" t="inlineStr">
        <is>
          <t>ST</t>
        </is>
      </c>
      <c r="BR108" s="438" t="inlineStr">
        <is>
          <t>ST</t>
        </is>
      </c>
      <c r="BS108" s="438" t="inlineStr">
        <is>
          <t>ST</t>
        </is>
      </c>
      <c r="BT108" s="441" t="inlineStr">
        <is>
          <t>ST</t>
        </is>
      </c>
      <c r="BU108" s="457" t="n"/>
      <c r="BV108" s="457" t="n"/>
      <c r="BW108" s="437" t="n"/>
      <c r="BX108" s="437" t="n"/>
      <c r="BY108" s="437" t="n"/>
      <c r="BZ108" s="437" t="n"/>
      <c r="CA108" s="437" t="n"/>
      <c r="CB108" s="437" t="n"/>
      <c r="CC108" s="437" t="n"/>
      <c r="CD108" s="437" t="n"/>
      <c r="CE108" s="437" t="n"/>
      <c r="CF108" s="437" t="n"/>
      <c r="CG108" s="437" t="n"/>
      <c r="CH108" s="437" t="n"/>
      <c r="CI108" s="437" t="n"/>
      <c r="CJ108" s="437" t="n"/>
      <c r="CK108" s="437" t="n"/>
      <c r="CL108" s="437" t="n"/>
      <c r="CM108" s="437" t="n"/>
      <c r="CN108" s="437" t="n"/>
      <c r="CO108" s="437" t="n"/>
      <c r="CP108" s="437" t="n"/>
      <c r="CQ108" s="437" t="n"/>
      <c r="CR108" s="437" t="n"/>
      <c r="CS108" s="437" t="n"/>
      <c r="CT108" s="437" t="n"/>
      <c r="CU108" s="437" t="n"/>
      <c r="CV108" s="437" t="n"/>
      <c r="CW108" s="437" t="n"/>
      <c r="CX108" s="437" t="n"/>
      <c r="CY108" s="437" t="n"/>
      <c r="CZ108" s="437" t="n"/>
      <c r="DA108" s="437" t="n"/>
      <c r="DB108" s="437" t="n"/>
      <c r="DC108" s="437" t="n"/>
      <c r="DD108" s="437" t="n"/>
      <c r="DE108" s="437" t="n"/>
      <c r="DF108" s="437" t="n"/>
      <c r="DG108" s="437" t="n"/>
      <c r="DH108" s="437" t="n"/>
      <c r="DI108" s="437" t="n"/>
      <c r="DJ108" s="437" t="n"/>
      <c r="DK108" s="437" t="n"/>
      <c r="DL108" s="437" t="n"/>
      <c r="DM108" s="437" t="n"/>
      <c r="DN108" s="437" t="n"/>
      <c r="DO108" s="437" t="n"/>
      <c r="DP108" s="437" t="n"/>
      <c r="DQ108" s="437" t="n"/>
      <c r="DR108" s="437" t="n"/>
      <c r="DS108" s="437" t="n"/>
      <c r="DT108" s="437" t="n"/>
      <c r="DU108" s="437" t="n"/>
      <c r="DV108" s="437" t="n"/>
      <c r="DW108" s="437" t="n"/>
      <c r="DX108" s="437" t="n"/>
      <c r="DY108" s="238" t="n"/>
      <c r="DZ108" s="23" t="n"/>
      <c r="FQ108" s="212" t="n"/>
      <c r="FR108" s="212" t="n"/>
      <c r="FS108" s="212" t="n"/>
      <c r="FT108" s="212" t="n"/>
      <c r="FU108" s="212" t="n"/>
      <c r="FV108" s="212" t="n"/>
      <c r="FW108" s="212" t="n"/>
      <c r="FX108" s="212" t="n"/>
      <c r="FY108" s="212" t="n"/>
      <c r="FZ108" s="212" t="n"/>
    </row>
    <row r="109" ht="39.95" customFormat="1" customHeight="1" s="5">
      <c r="A109" s="10" t="inlineStr">
        <is>
          <t>A</t>
        </is>
      </c>
      <c r="B109" s="6" t="n"/>
      <c r="C109" s="11" t="inlineStr">
        <is>
          <t>L</t>
        </is>
      </c>
      <c r="D109" s="433" t="n">
        <v>0.231</v>
      </c>
      <c r="E109" s="436" t="n">
        <v>0.231</v>
      </c>
      <c r="F109" s="436" t="n">
        <v>0.224</v>
      </c>
      <c r="G109" s="436" t="n">
        <v>0.252</v>
      </c>
      <c r="H109" s="439" t="n">
        <v>0.221</v>
      </c>
      <c r="I109" s="442" t="n">
        <v>0.254</v>
      </c>
      <c r="J109" s="436" t="n">
        <v>0.258</v>
      </c>
      <c r="K109" s="436" t="n">
        <v>0.27</v>
      </c>
      <c r="L109" s="436" t="n">
        <v>0.26</v>
      </c>
      <c r="M109" s="439" t="n">
        <v>0.268</v>
      </c>
      <c r="N109" s="442" t="n">
        <v>0.252</v>
      </c>
      <c r="O109" s="436" t="n">
        <v>0.233</v>
      </c>
      <c r="P109" s="436" t="n">
        <v>0.227</v>
      </c>
      <c r="Q109" s="436" t="n">
        <v>0.23</v>
      </c>
      <c r="R109" s="439" t="n">
        <v>0.237</v>
      </c>
      <c r="S109" s="442" t="n">
        <v>0.211</v>
      </c>
      <c r="T109" s="436" t="n">
        <v>0.211</v>
      </c>
      <c r="U109" s="436" t="n">
        <v>0.216</v>
      </c>
      <c r="V109" s="436" t="n">
        <v>0.211</v>
      </c>
      <c r="W109" s="439" t="n">
        <v>0.233</v>
      </c>
      <c r="X109" s="442" t="n">
        <v>0.22</v>
      </c>
      <c r="Y109" s="436" t="n">
        <v>0.219</v>
      </c>
      <c r="Z109" s="436" t="n">
        <v>0.222</v>
      </c>
      <c r="AA109" s="436" t="n">
        <v>0.232</v>
      </c>
      <c r="AB109" s="439" t="n">
        <v>0.223</v>
      </c>
      <c r="AC109" s="442" t="n">
        <v>0.193</v>
      </c>
      <c r="AD109" s="436" t="n">
        <v>0.221</v>
      </c>
      <c r="AE109" s="436" t="n">
        <v>0.223</v>
      </c>
      <c r="AF109" s="436" t="n">
        <v>0.221</v>
      </c>
      <c r="AG109" s="439" t="n">
        <v>0.221</v>
      </c>
      <c r="AH109" s="442" t="n">
        <v>0.219</v>
      </c>
      <c r="AI109" s="436" t="n">
        <v>0.243</v>
      </c>
      <c r="AJ109" s="436" t="n">
        <v>0.219</v>
      </c>
      <c r="AK109" s="436" t="n">
        <v>0.222</v>
      </c>
      <c r="AL109" s="439" t="n">
        <v>0.22</v>
      </c>
      <c r="AM109" s="442" t="n">
        <v>0.224</v>
      </c>
      <c r="AN109" s="436" t="inlineStr">
        <is>
          <t>ST</t>
        </is>
      </c>
      <c r="AO109" s="436" t="inlineStr">
        <is>
          <t>ST</t>
        </is>
      </c>
      <c r="AP109" s="436" t="inlineStr">
        <is>
          <t>ST</t>
        </is>
      </c>
      <c r="AQ109" s="439" t="inlineStr">
        <is>
          <t>ST</t>
        </is>
      </c>
      <c r="AR109" s="442" t="inlineStr">
        <is>
          <t>ST</t>
        </is>
      </c>
      <c r="AS109" s="436" t="inlineStr">
        <is>
          <t>ST</t>
        </is>
      </c>
      <c r="AT109" s="436" t="inlineStr">
        <is>
          <t>ST</t>
        </is>
      </c>
      <c r="AU109" s="436" t="inlineStr">
        <is>
          <t>ST</t>
        </is>
      </c>
      <c r="AV109" s="439" t="inlineStr">
        <is>
          <t>ST</t>
        </is>
      </c>
      <c r="AW109" s="442" t="inlineStr">
        <is>
          <t>ST</t>
        </is>
      </c>
      <c r="AX109" s="436" t="inlineStr">
        <is>
          <t>ST</t>
        </is>
      </c>
      <c r="AY109" s="436" t="inlineStr">
        <is>
          <t>ST</t>
        </is>
      </c>
      <c r="AZ109" s="436" t="inlineStr">
        <is>
          <t>ST</t>
        </is>
      </c>
      <c r="BA109" s="439" t="inlineStr">
        <is>
          <t>ST</t>
        </is>
      </c>
      <c r="BB109" s="442" t="inlineStr">
        <is>
          <t>ST</t>
        </is>
      </c>
      <c r="BC109" s="436" t="inlineStr">
        <is>
          <t>ST</t>
        </is>
      </c>
      <c r="BD109" s="436" t="inlineStr">
        <is>
          <t>ST</t>
        </is>
      </c>
      <c r="BE109" s="436" t="inlineStr">
        <is>
          <t>ST</t>
        </is>
      </c>
      <c r="BF109" s="439" t="inlineStr">
        <is>
          <t>ST</t>
        </is>
      </c>
      <c r="BG109" s="442" t="inlineStr">
        <is>
          <t>ST</t>
        </is>
      </c>
      <c r="BH109" s="436" t="inlineStr">
        <is>
          <t>ST</t>
        </is>
      </c>
      <c r="BI109" s="436" t="inlineStr">
        <is>
          <t>ST</t>
        </is>
      </c>
      <c r="BJ109" s="436" t="inlineStr">
        <is>
          <t>ST</t>
        </is>
      </c>
      <c r="BK109" s="439" t="inlineStr">
        <is>
          <t>ST</t>
        </is>
      </c>
      <c r="BL109" s="442" t="inlineStr">
        <is>
          <t>ST</t>
        </is>
      </c>
      <c r="BM109" s="436" t="inlineStr">
        <is>
          <t>ST</t>
        </is>
      </c>
      <c r="BN109" s="436" t="inlineStr">
        <is>
          <t>ST</t>
        </is>
      </c>
      <c r="BO109" s="436" t="inlineStr">
        <is>
          <t>ST</t>
        </is>
      </c>
      <c r="BP109" s="439" t="inlineStr">
        <is>
          <t>ST</t>
        </is>
      </c>
      <c r="BQ109" s="442" t="inlineStr">
        <is>
          <t>ST</t>
        </is>
      </c>
      <c r="BR109" s="436" t="inlineStr">
        <is>
          <t>ST</t>
        </is>
      </c>
      <c r="BS109" s="436" t="inlineStr">
        <is>
          <t>ST</t>
        </is>
      </c>
      <c r="BT109" s="439" t="inlineStr">
        <is>
          <t>ST</t>
        </is>
      </c>
      <c r="BU109" s="454">
        <f>IFERROR(AVERAGE(D109:BT111),0)</f>
        <v/>
      </c>
      <c r="BV109" s="454">
        <f>MIN(D109:BT111)</f>
        <v/>
      </c>
      <c r="BW109" s="437" t="n"/>
      <c r="BX109" s="437" t="n"/>
      <c r="BY109" s="437" t="n"/>
      <c r="BZ109" s="437" t="n"/>
      <c r="CA109" s="437" t="n"/>
      <c r="CB109" s="437" t="n"/>
      <c r="CC109" s="437" t="n"/>
      <c r="CD109" s="437" t="n"/>
      <c r="CE109" s="437" t="n"/>
      <c r="CF109" s="437" t="n"/>
      <c r="CG109" s="437" t="n"/>
      <c r="CH109" s="437" t="n"/>
      <c r="CI109" s="437" t="n"/>
      <c r="CJ109" s="437" t="n"/>
      <c r="CK109" s="437" t="n"/>
      <c r="CL109" s="437" t="n"/>
      <c r="CM109" s="437" t="n"/>
      <c r="CN109" s="437" t="n"/>
      <c r="CO109" s="437" t="n"/>
      <c r="CP109" s="437" t="n"/>
      <c r="CQ109" s="437" t="n"/>
      <c r="CR109" s="437" t="n"/>
      <c r="CS109" s="437" t="n"/>
      <c r="CT109" s="437" t="n"/>
      <c r="CU109" s="437" t="n"/>
      <c r="CV109" s="437" t="n"/>
      <c r="CW109" s="437" t="n"/>
      <c r="CX109" s="437" t="n"/>
      <c r="CY109" s="437" t="n"/>
      <c r="CZ109" s="437" t="n"/>
      <c r="DA109" s="437" t="n"/>
      <c r="DB109" s="437" t="n"/>
      <c r="DC109" s="437" t="n"/>
      <c r="DD109" s="437" t="n"/>
      <c r="DE109" s="437" t="n"/>
      <c r="DF109" s="437" t="n"/>
      <c r="DG109" s="437" t="n"/>
      <c r="DH109" s="437" t="n"/>
      <c r="DI109" s="437" t="n"/>
      <c r="DJ109" s="437" t="n"/>
      <c r="DK109" s="437" t="n"/>
      <c r="DL109" s="437" t="n"/>
      <c r="DM109" s="437" t="n"/>
      <c r="DN109" s="437" t="n"/>
      <c r="DO109" s="437" t="n"/>
      <c r="DP109" s="437" t="n"/>
      <c r="DQ109" s="437" t="n"/>
      <c r="DR109" s="437" t="n"/>
      <c r="DS109" s="437" t="n"/>
      <c r="DT109" s="437" t="n"/>
      <c r="DU109" s="437" t="n"/>
      <c r="DV109" s="437" t="n"/>
      <c r="DW109" s="437" t="n"/>
      <c r="DX109" s="437" t="n"/>
      <c r="DY109" s="238" t="n"/>
      <c r="DZ109" s="23" t="n"/>
      <c r="FQ109" s="212" t="n"/>
      <c r="FR109" s="212" t="n"/>
      <c r="FS109" s="212" t="n"/>
      <c r="FT109" s="212" t="n"/>
      <c r="FU109" s="212" t="n"/>
      <c r="FV109" s="212" t="n"/>
      <c r="FW109" s="212" t="n"/>
      <c r="FX109" s="212" t="n"/>
      <c r="FY109" s="212" t="n"/>
      <c r="FZ109" s="212" t="n"/>
    </row>
    <row r="110" ht="39.95" customFormat="1" customHeight="1" s="5">
      <c r="A110" s="182" t="n">
        <v>0.083</v>
      </c>
      <c r="B110" s="7" t="inlineStr">
        <is>
          <t>-90 IN</t>
        </is>
      </c>
      <c r="C110" s="11" t="inlineStr">
        <is>
          <t>C</t>
        </is>
      </c>
      <c r="D110" s="434" t="n">
        <v>0.217</v>
      </c>
      <c r="E110" s="437" t="n">
        <v>0.22</v>
      </c>
      <c r="F110" s="437" t="n">
        <v>0.231</v>
      </c>
      <c r="G110" s="437" t="n">
        <v>0.236</v>
      </c>
      <c r="H110" s="440" t="n">
        <v>0.225</v>
      </c>
      <c r="I110" s="443" t="n">
        <v>0.274</v>
      </c>
      <c r="J110" s="437" t="n">
        <v>0.261</v>
      </c>
      <c r="K110" s="437" t="n">
        <v>0.26</v>
      </c>
      <c r="L110" s="437" t="n">
        <v>0.271</v>
      </c>
      <c r="M110" s="440" t="n">
        <v>0.252</v>
      </c>
      <c r="N110" s="443" t="n">
        <v>0.25</v>
      </c>
      <c r="O110" s="437" t="n">
        <v>0.225</v>
      </c>
      <c r="P110" s="437" t="n">
        <v>0.221</v>
      </c>
      <c r="Q110" s="437" t="n">
        <v>0.24</v>
      </c>
      <c r="R110" s="440" t="n">
        <v>0.228</v>
      </c>
      <c r="S110" s="443" t="n">
        <v>0.211</v>
      </c>
      <c r="T110" s="437" t="n">
        <v>0.217</v>
      </c>
      <c r="U110" s="437" t="n">
        <v>0.216</v>
      </c>
      <c r="V110" s="437" t="n">
        <v>0.235</v>
      </c>
      <c r="W110" s="440" t="n">
        <v>0.223</v>
      </c>
      <c r="X110" s="443" t="n">
        <v>0.216</v>
      </c>
      <c r="Y110" s="437" t="n">
        <v>0.221</v>
      </c>
      <c r="Z110" s="437" t="n">
        <v>0.228</v>
      </c>
      <c r="AA110" s="437" t="n">
        <v>0.241</v>
      </c>
      <c r="AB110" s="440" t="n">
        <v>0.236</v>
      </c>
      <c r="AC110" s="443" t="n">
        <v>0.225</v>
      </c>
      <c r="AD110" s="437" t="n">
        <v>0.221</v>
      </c>
      <c r="AE110" s="437" t="n">
        <v>0.207</v>
      </c>
      <c r="AF110" s="437" t="n">
        <v>0.221</v>
      </c>
      <c r="AG110" s="440" t="n">
        <v>0.222</v>
      </c>
      <c r="AH110" s="443" t="n">
        <v>0.215</v>
      </c>
      <c r="AI110" s="437" t="n">
        <v>0.232</v>
      </c>
      <c r="AJ110" s="437" t="n">
        <v>0.221</v>
      </c>
      <c r="AK110" s="437" t="n">
        <v>0.223</v>
      </c>
      <c r="AL110" s="440" t="n">
        <v>0.216</v>
      </c>
      <c r="AM110" s="443" t="n">
        <v>0.226</v>
      </c>
      <c r="AN110" s="437" t="inlineStr">
        <is>
          <t>ST</t>
        </is>
      </c>
      <c r="AO110" s="437" t="inlineStr">
        <is>
          <t>ST</t>
        </is>
      </c>
      <c r="AP110" s="437" t="inlineStr">
        <is>
          <t>ST</t>
        </is>
      </c>
      <c r="AQ110" s="440" t="inlineStr">
        <is>
          <t>ST</t>
        </is>
      </c>
      <c r="AR110" s="443" t="inlineStr">
        <is>
          <t>ST</t>
        </is>
      </c>
      <c r="AS110" s="437" t="inlineStr">
        <is>
          <t>ST</t>
        </is>
      </c>
      <c r="AT110" s="437" t="inlineStr">
        <is>
          <t>ST</t>
        </is>
      </c>
      <c r="AU110" s="437" t="inlineStr">
        <is>
          <t>ST</t>
        </is>
      </c>
      <c r="AV110" s="440" t="inlineStr">
        <is>
          <t>ST</t>
        </is>
      </c>
      <c r="AW110" s="443" t="inlineStr">
        <is>
          <t>ST</t>
        </is>
      </c>
      <c r="AX110" s="437" t="inlineStr">
        <is>
          <t>ST</t>
        </is>
      </c>
      <c r="AY110" s="437" t="inlineStr">
        <is>
          <t>ST</t>
        </is>
      </c>
      <c r="AZ110" s="437" t="inlineStr">
        <is>
          <t>ST</t>
        </is>
      </c>
      <c r="BA110" s="440" t="inlineStr">
        <is>
          <t>ST</t>
        </is>
      </c>
      <c r="BB110" s="443" t="inlineStr">
        <is>
          <t>ST</t>
        </is>
      </c>
      <c r="BC110" s="437" t="inlineStr">
        <is>
          <t>ST</t>
        </is>
      </c>
      <c r="BD110" s="437" t="inlineStr">
        <is>
          <t>ST</t>
        </is>
      </c>
      <c r="BE110" s="437" t="inlineStr">
        <is>
          <t>ST</t>
        </is>
      </c>
      <c r="BF110" s="440" t="inlineStr">
        <is>
          <t>ST</t>
        </is>
      </c>
      <c r="BG110" s="443" t="inlineStr">
        <is>
          <t>ST</t>
        </is>
      </c>
      <c r="BH110" s="437" t="inlineStr">
        <is>
          <t>ST</t>
        </is>
      </c>
      <c r="BI110" s="437" t="inlineStr">
        <is>
          <t>ST</t>
        </is>
      </c>
      <c r="BJ110" s="437" t="inlineStr">
        <is>
          <t>ST</t>
        </is>
      </c>
      <c r="BK110" s="440" t="inlineStr">
        <is>
          <t>ST</t>
        </is>
      </c>
      <c r="BL110" s="443" t="inlineStr">
        <is>
          <t>ST</t>
        </is>
      </c>
      <c r="BM110" s="437" t="inlineStr">
        <is>
          <t>ST</t>
        </is>
      </c>
      <c r="BN110" s="437" t="inlineStr">
        <is>
          <t>ST</t>
        </is>
      </c>
      <c r="BO110" s="437" t="inlineStr">
        <is>
          <t>ST</t>
        </is>
      </c>
      <c r="BP110" s="440" t="inlineStr">
        <is>
          <t>ST</t>
        </is>
      </c>
      <c r="BQ110" s="443" t="inlineStr">
        <is>
          <t>ST</t>
        </is>
      </c>
      <c r="BR110" s="437" t="inlineStr">
        <is>
          <t>ST</t>
        </is>
      </c>
      <c r="BS110" s="437" t="inlineStr">
        <is>
          <t>ST</t>
        </is>
      </c>
      <c r="BT110" s="440" t="inlineStr">
        <is>
          <t>ST</t>
        </is>
      </c>
      <c r="BU110" s="455" t="n"/>
      <c r="BV110" s="455" t="n"/>
      <c r="BW110" s="437" t="n"/>
      <c r="BX110" s="437" t="n"/>
      <c r="BY110" s="437" t="n"/>
      <c r="BZ110" s="437" t="n"/>
      <c r="CA110" s="437" t="n"/>
      <c r="CB110" s="437" t="n"/>
      <c r="CC110" s="437" t="n"/>
      <c r="CD110" s="437" t="n"/>
      <c r="CE110" s="437" t="n"/>
      <c r="CF110" s="437" t="n"/>
      <c r="CG110" s="437" t="n"/>
      <c r="CH110" s="437" t="n"/>
      <c r="CI110" s="437" t="n"/>
      <c r="CJ110" s="437" t="n"/>
      <c r="CK110" s="437" t="n"/>
      <c r="CL110" s="437" t="n"/>
      <c r="CM110" s="437" t="n"/>
      <c r="CN110" s="437" t="n"/>
      <c r="CO110" s="437" t="n"/>
      <c r="CP110" s="437" t="n"/>
      <c r="CQ110" s="437" t="n"/>
      <c r="CR110" s="437" t="n"/>
      <c r="CS110" s="437" t="n"/>
      <c r="CT110" s="437" t="n"/>
      <c r="CU110" s="437" t="n"/>
      <c r="CV110" s="437" t="n"/>
      <c r="CW110" s="437" t="n"/>
      <c r="CX110" s="437" t="n"/>
      <c r="CY110" s="437" t="n"/>
      <c r="CZ110" s="437" t="n"/>
      <c r="DA110" s="437" t="n"/>
      <c r="DB110" s="437" t="n"/>
      <c r="DC110" s="437" t="n"/>
      <c r="DD110" s="437" t="n"/>
      <c r="DE110" s="437" t="n"/>
      <c r="DF110" s="437" t="n"/>
      <c r="DG110" s="437" t="n"/>
      <c r="DH110" s="437" t="n"/>
      <c r="DI110" s="437" t="n"/>
      <c r="DJ110" s="437" t="n"/>
      <c r="DK110" s="437" t="n"/>
      <c r="DL110" s="437" t="n"/>
      <c r="DM110" s="437" t="n"/>
      <c r="DN110" s="437" t="n"/>
      <c r="DO110" s="437" t="n"/>
      <c r="DP110" s="437" t="n"/>
      <c r="DQ110" s="437" t="n"/>
      <c r="DR110" s="437" t="n"/>
      <c r="DS110" s="437" t="n"/>
      <c r="DT110" s="437" t="n"/>
      <c r="DU110" s="437" t="n"/>
      <c r="DV110" s="437" t="n"/>
      <c r="DW110" s="437" t="n"/>
      <c r="DX110" s="437" t="n"/>
      <c r="DY110" s="238" t="n"/>
      <c r="DZ110" s="23" t="n"/>
      <c r="FQ110" s="212" t="n"/>
      <c r="FR110" s="212" t="n"/>
      <c r="FS110" s="212" t="n"/>
      <c r="FT110" s="212" t="n"/>
      <c r="FU110" s="212" t="n"/>
      <c r="FV110" s="212" t="n"/>
      <c r="FW110" s="212" t="n"/>
      <c r="FX110" s="212" t="n"/>
      <c r="FY110" s="212" t="n"/>
      <c r="FZ110" s="212" t="n"/>
    </row>
    <row r="111" ht="39.95" customFormat="1" customHeight="1" s="5">
      <c r="A111" s="456" t="n"/>
      <c r="B111" s="8" t="n"/>
      <c r="C111" s="12" t="inlineStr">
        <is>
          <t>R</t>
        </is>
      </c>
      <c r="D111" s="435" t="n">
        <v>0.248</v>
      </c>
      <c r="E111" s="438" t="n">
        <v>0.223</v>
      </c>
      <c r="F111" s="438" t="n">
        <v>0.243</v>
      </c>
      <c r="G111" s="438" t="n">
        <v>0.227</v>
      </c>
      <c r="H111" s="441" t="n">
        <v>0.214</v>
      </c>
      <c r="I111" s="444" t="n">
        <v>0.251</v>
      </c>
      <c r="J111" s="438" t="n">
        <v>0.264</v>
      </c>
      <c r="K111" s="438" t="n">
        <v>0.258</v>
      </c>
      <c r="L111" s="438" t="n">
        <v>0.273</v>
      </c>
      <c r="M111" s="441" t="n">
        <v>0.244</v>
      </c>
      <c r="N111" s="444" t="n">
        <v>0.247</v>
      </c>
      <c r="O111" s="438" t="n">
        <v>0.225</v>
      </c>
      <c r="P111" s="438" t="n">
        <v>0.221</v>
      </c>
      <c r="Q111" s="438" t="n">
        <v>0.232</v>
      </c>
      <c r="R111" s="441" t="n">
        <v>0.23</v>
      </c>
      <c r="S111" s="444" t="n">
        <v>0.214</v>
      </c>
      <c r="T111" s="438" t="n">
        <v>0.215</v>
      </c>
      <c r="U111" s="438" t="n">
        <v>0.211</v>
      </c>
      <c r="V111" s="438" t="n">
        <v>0.234</v>
      </c>
      <c r="W111" s="441" t="n">
        <v>0.22</v>
      </c>
      <c r="X111" s="444" t="n">
        <v>0.217</v>
      </c>
      <c r="Y111" s="438" t="n">
        <v>0.229</v>
      </c>
      <c r="Z111" s="438" t="n">
        <v>0.23</v>
      </c>
      <c r="AA111" s="438" t="n">
        <v>0.224</v>
      </c>
      <c r="AB111" s="441" t="n">
        <v>0.23</v>
      </c>
      <c r="AC111" s="444" t="n">
        <v>0.214</v>
      </c>
      <c r="AD111" s="438" t="n">
        <v>0.221</v>
      </c>
      <c r="AE111" s="438" t="n">
        <v>0.228</v>
      </c>
      <c r="AF111" s="438" t="n">
        <v>0.225</v>
      </c>
      <c r="AG111" s="441" t="n">
        <v>0.227</v>
      </c>
      <c r="AH111" s="444" t="n">
        <v>0.229</v>
      </c>
      <c r="AI111" s="438" t="n">
        <v>0.235</v>
      </c>
      <c r="AJ111" s="438" t="n">
        <v>0.223</v>
      </c>
      <c r="AK111" s="438" t="n">
        <v>0.218</v>
      </c>
      <c r="AL111" s="441" t="n">
        <v>0.211</v>
      </c>
      <c r="AM111" s="444" t="n">
        <v>0.224</v>
      </c>
      <c r="AN111" s="438" t="inlineStr">
        <is>
          <t>ST</t>
        </is>
      </c>
      <c r="AO111" s="438" t="inlineStr">
        <is>
          <t>ST</t>
        </is>
      </c>
      <c r="AP111" s="438" t="inlineStr">
        <is>
          <t>ST</t>
        </is>
      </c>
      <c r="AQ111" s="441" t="inlineStr">
        <is>
          <t>ST</t>
        </is>
      </c>
      <c r="AR111" s="444" t="inlineStr">
        <is>
          <t>ST</t>
        </is>
      </c>
      <c r="AS111" s="438" t="inlineStr">
        <is>
          <t>ST</t>
        </is>
      </c>
      <c r="AT111" s="438" t="inlineStr">
        <is>
          <t>ST</t>
        </is>
      </c>
      <c r="AU111" s="438" t="inlineStr">
        <is>
          <t>ST</t>
        </is>
      </c>
      <c r="AV111" s="441" t="inlineStr">
        <is>
          <t>ST</t>
        </is>
      </c>
      <c r="AW111" s="444" t="inlineStr">
        <is>
          <t>ST</t>
        </is>
      </c>
      <c r="AX111" s="438" t="inlineStr">
        <is>
          <t>ST</t>
        </is>
      </c>
      <c r="AY111" s="438" t="inlineStr">
        <is>
          <t>ST</t>
        </is>
      </c>
      <c r="AZ111" s="438" t="inlineStr">
        <is>
          <t>ST</t>
        </is>
      </c>
      <c r="BA111" s="441" t="inlineStr">
        <is>
          <t>ST</t>
        </is>
      </c>
      <c r="BB111" s="444" t="inlineStr">
        <is>
          <t>ST</t>
        </is>
      </c>
      <c r="BC111" s="438" t="inlineStr">
        <is>
          <t>ST</t>
        </is>
      </c>
      <c r="BD111" s="438" t="inlineStr">
        <is>
          <t>ST</t>
        </is>
      </c>
      <c r="BE111" s="438" t="inlineStr">
        <is>
          <t>ST</t>
        </is>
      </c>
      <c r="BF111" s="441" t="inlineStr">
        <is>
          <t>ST</t>
        </is>
      </c>
      <c r="BG111" s="444" t="inlineStr">
        <is>
          <t>ST</t>
        </is>
      </c>
      <c r="BH111" s="438" t="inlineStr">
        <is>
          <t>ST</t>
        </is>
      </c>
      <c r="BI111" s="438" t="inlineStr">
        <is>
          <t>ST</t>
        </is>
      </c>
      <c r="BJ111" s="438" t="inlineStr">
        <is>
          <t>ST</t>
        </is>
      </c>
      <c r="BK111" s="441" t="inlineStr">
        <is>
          <t>ST</t>
        </is>
      </c>
      <c r="BL111" s="444" t="inlineStr">
        <is>
          <t>ST</t>
        </is>
      </c>
      <c r="BM111" s="438" t="inlineStr">
        <is>
          <t>ST</t>
        </is>
      </c>
      <c r="BN111" s="438" t="inlineStr">
        <is>
          <t>ST</t>
        </is>
      </c>
      <c r="BO111" s="438" t="inlineStr">
        <is>
          <t>ST</t>
        </is>
      </c>
      <c r="BP111" s="441" t="inlineStr">
        <is>
          <t>ST</t>
        </is>
      </c>
      <c r="BQ111" s="444" t="inlineStr">
        <is>
          <t>ST</t>
        </is>
      </c>
      <c r="BR111" s="438" t="inlineStr">
        <is>
          <t>ST</t>
        </is>
      </c>
      <c r="BS111" s="438" t="inlineStr">
        <is>
          <t>ST</t>
        </is>
      </c>
      <c r="BT111" s="441" t="inlineStr">
        <is>
          <t>ST</t>
        </is>
      </c>
      <c r="BU111" s="457" t="n"/>
      <c r="BV111" s="457" t="n"/>
      <c r="BW111" s="437" t="n"/>
      <c r="BX111" s="437" t="n"/>
      <c r="BY111" s="437" t="n"/>
      <c r="BZ111" s="437" t="n"/>
      <c r="CA111" s="437" t="n"/>
      <c r="CB111" s="437" t="n"/>
      <c r="CC111" s="437" t="n"/>
      <c r="CD111" s="437" t="n"/>
      <c r="CE111" s="437" t="n"/>
      <c r="CF111" s="437" t="n"/>
      <c r="CG111" s="437" t="n"/>
      <c r="CH111" s="437" t="n"/>
      <c r="CI111" s="437" t="n"/>
      <c r="CJ111" s="437" t="n"/>
      <c r="CK111" s="437" t="n"/>
      <c r="CL111" s="437" t="n"/>
      <c r="CM111" s="437" t="n"/>
      <c r="CN111" s="437" t="n"/>
      <c r="CO111" s="437" t="n"/>
      <c r="CP111" s="437" t="n"/>
      <c r="CQ111" s="437" t="n"/>
      <c r="CR111" s="437" t="n"/>
      <c r="CS111" s="437" t="n"/>
      <c r="CT111" s="437" t="n"/>
      <c r="CU111" s="437" t="n"/>
      <c r="CV111" s="437" t="n"/>
      <c r="CW111" s="437" t="n"/>
      <c r="CX111" s="437" t="n"/>
      <c r="CY111" s="437" t="n"/>
      <c r="CZ111" s="437" t="n"/>
      <c r="DA111" s="437" t="n"/>
      <c r="DB111" s="437" t="n"/>
      <c r="DC111" s="437" t="n"/>
      <c r="DD111" s="437" t="n"/>
      <c r="DE111" s="437" t="n"/>
      <c r="DF111" s="437" t="n"/>
      <c r="DG111" s="437" t="n"/>
      <c r="DH111" s="437" t="n"/>
      <c r="DI111" s="437" t="n"/>
      <c r="DJ111" s="437" t="n"/>
      <c r="DK111" s="437" t="n"/>
      <c r="DL111" s="437" t="n"/>
      <c r="DM111" s="437" t="n"/>
      <c r="DN111" s="437" t="n"/>
      <c r="DO111" s="437" t="n"/>
      <c r="DP111" s="437" t="n"/>
      <c r="DQ111" s="437" t="n"/>
      <c r="DR111" s="437" t="n"/>
      <c r="DS111" s="437" t="n"/>
      <c r="DT111" s="437" t="n"/>
      <c r="DU111" s="437" t="n"/>
      <c r="DV111" s="437" t="n"/>
      <c r="DW111" s="437" t="n"/>
      <c r="DX111" s="437" t="n"/>
      <c r="DY111" s="238" t="n"/>
      <c r="DZ111" s="23" t="n"/>
      <c r="FQ111" s="212" t="n"/>
      <c r="FR111" s="212" t="n"/>
      <c r="FS111" s="212" t="n"/>
      <c r="FT111" s="212" t="n"/>
      <c r="FU111" s="212" t="n"/>
      <c r="FV111" s="212" t="n"/>
      <c r="FW111" s="212" t="n"/>
      <c r="FX111" s="212" t="n"/>
      <c r="FY111" s="212" t="n"/>
      <c r="FZ111" s="212" t="n"/>
    </row>
    <row r="112" ht="36" customFormat="1" customHeight="1" s="5">
      <c r="A112" s="453" t="inlineStr">
        <is>
          <t>ELEVATION</t>
        </is>
      </c>
      <c r="B112" s="449" t="n"/>
      <c r="C112" s="18" t="inlineStr">
        <is>
          <t>LOC</t>
        </is>
      </c>
      <c r="D112" s="26" t="n">
        <v>1</v>
      </c>
      <c r="E112" s="27" t="n">
        <v>2</v>
      </c>
      <c r="F112" s="27" t="n">
        <v>3</v>
      </c>
      <c r="G112" s="27" t="n">
        <v>4</v>
      </c>
      <c r="H112" s="27" t="n">
        <v>5</v>
      </c>
      <c r="I112" s="27" t="n">
        <v>6</v>
      </c>
      <c r="J112" s="27" t="n">
        <v>7</v>
      </c>
      <c r="K112" s="27" t="n">
        <v>8</v>
      </c>
      <c r="L112" s="27" t="n">
        <v>9</v>
      </c>
      <c r="M112" s="27" t="n">
        <v>10</v>
      </c>
      <c r="N112" s="27" t="n">
        <v>11</v>
      </c>
      <c r="O112" s="27" t="n">
        <v>12</v>
      </c>
      <c r="P112" s="27" t="n">
        <v>13</v>
      </c>
      <c r="Q112" s="27" t="n">
        <v>14</v>
      </c>
      <c r="R112" s="27" t="n">
        <v>15</v>
      </c>
      <c r="S112" s="27" t="n">
        <v>16</v>
      </c>
      <c r="T112" s="27" t="n">
        <v>17</v>
      </c>
      <c r="U112" s="27" t="n">
        <v>18</v>
      </c>
      <c r="V112" s="27" t="n">
        <v>19</v>
      </c>
      <c r="W112" s="27" t="n">
        <v>20</v>
      </c>
      <c r="X112" s="27" t="n">
        <v>21</v>
      </c>
      <c r="Y112" s="27" t="n">
        <v>22</v>
      </c>
      <c r="Z112" s="27" t="n">
        <v>23</v>
      </c>
      <c r="AA112" s="27" t="n">
        <v>24</v>
      </c>
      <c r="AB112" s="27" t="n">
        <v>25</v>
      </c>
      <c r="AC112" s="27" t="n">
        <v>26</v>
      </c>
      <c r="AD112" s="27" t="n">
        <v>27</v>
      </c>
      <c r="AE112" s="27" t="n">
        <v>28</v>
      </c>
      <c r="AF112" s="27" t="n">
        <v>29</v>
      </c>
      <c r="AG112" s="27" t="n">
        <v>30</v>
      </c>
      <c r="AH112" s="27" t="n">
        <v>31</v>
      </c>
      <c r="AI112" s="27" t="n">
        <v>32</v>
      </c>
      <c r="AJ112" s="27" t="n">
        <v>33</v>
      </c>
      <c r="AK112" s="27" t="n">
        <v>34</v>
      </c>
      <c r="AL112" s="27" t="n">
        <v>35</v>
      </c>
      <c r="AM112" s="27" t="n">
        <v>36</v>
      </c>
      <c r="AN112" s="27" t="n">
        <v>37</v>
      </c>
      <c r="AO112" s="27" t="n">
        <v>38</v>
      </c>
      <c r="AP112" s="27" t="n">
        <v>39</v>
      </c>
      <c r="AQ112" s="27" t="n">
        <v>40</v>
      </c>
      <c r="AR112" s="27" t="n">
        <v>41</v>
      </c>
      <c r="AS112" s="27" t="n">
        <v>42</v>
      </c>
      <c r="AT112" s="27" t="n">
        <v>43</v>
      </c>
      <c r="AU112" s="27" t="n">
        <v>44</v>
      </c>
      <c r="AV112" s="27" t="n">
        <v>45</v>
      </c>
      <c r="AW112" s="27" t="n">
        <v>46</v>
      </c>
      <c r="AX112" s="27" t="n">
        <v>47</v>
      </c>
      <c r="AY112" s="27" t="n">
        <v>48</v>
      </c>
      <c r="AZ112" s="27" t="n">
        <v>49</v>
      </c>
      <c r="BA112" s="27" t="n">
        <v>50</v>
      </c>
      <c r="BB112" s="27" t="n">
        <v>51</v>
      </c>
      <c r="BC112" s="27" t="n">
        <v>52</v>
      </c>
      <c r="BD112" s="27" t="n">
        <v>53</v>
      </c>
      <c r="BE112" s="27" t="n">
        <v>54</v>
      </c>
      <c r="BF112" s="27" t="n">
        <v>55</v>
      </c>
      <c r="BG112" s="27" t="n">
        <v>56</v>
      </c>
      <c r="BH112" s="27" t="n">
        <v>57</v>
      </c>
      <c r="BI112" s="27" t="n">
        <v>58</v>
      </c>
      <c r="BJ112" s="27" t="n">
        <v>59</v>
      </c>
      <c r="BK112" s="27" t="n">
        <v>60</v>
      </c>
      <c r="BL112" s="27" t="n">
        <v>61</v>
      </c>
      <c r="BM112" s="27" t="n">
        <v>62</v>
      </c>
      <c r="BN112" s="27" t="n">
        <v>63</v>
      </c>
      <c r="BO112" s="27" t="n">
        <v>64</v>
      </c>
      <c r="BP112" s="27" t="n">
        <v>65</v>
      </c>
      <c r="BQ112" s="27" t="n">
        <v>66</v>
      </c>
      <c r="BR112" s="27" t="n">
        <v>67</v>
      </c>
      <c r="BS112" s="27" t="n">
        <v>68</v>
      </c>
      <c r="BT112" s="28" t="n">
        <v>69</v>
      </c>
      <c r="BU112" s="29" t="inlineStr">
        <is>
          <t>AVG</t>
        </is>
      </c>
      <c r="BV112" s="30" t="inlineStr">
        <is>
          <t>MIN</t>
        </is>
      </c>
      <c r="BW112" s="238" t="n"/>
      <c r="BX112" s="238" t="n"/>
      <c r="BY112" s="238" t="n"/>
      <c r="BZ112" s="238" t="n"/>
      <c r="CA112" s="238" t="n"/>
      <c r="CB112" s="238" t="n"/>
      <c r="CC112" s="238" t="n"/>
      <c r="CD112" s="238" t="n"/>
      <c r="CE112" s="238" t="n"/>
      <c r="CF112" s="238" t="n"/>
      <c r="CG112" s="238" t="n"/>
      <c r="CH112" s="238" t="n"/>
      <c r="CI112" s="238" t="n"/>
      <c r="CJ112" s="238" t="n"/>
      <c r="CK112" s="238" t="n"/>
      <c r="CL112" s="238" t="n"/>
      <c r="CM112" s="238" t="n"/>
      <c r="CN112" s="238" t="n"/>
      <c r="CO112" s="238" t="n"/>
      <c r="CP112" s="238" t="n"/>
      <c r="CQ112" s="238" t="n"/>
      <c r="CR112" s="238" t="n"/>
      <c r="CS112" s="238" t="n"/>
      <c r="CT112" s="238" t="n"/>
      <c r="CU112" s="238" t="n"/>
      <c r="CV112" s="238" t="n"/>
      <c r="CW112" s="238" t="n"/>
      <c r="CX112" s="238" t="n"/>
      <c r="CY112" s="238" t="n"/>
      <c r="CZ112" s="238" t="n"/>
      <c r="DA112" s="238" t="n"/>
      <c r="DB112" s="238" t="n"/>
      <c r="DC112" s="238" t="n"/>
      <c r="DD112" s="238" t="n"/>
      <c r="DE112" s="238" t="n"/>
      <c r="DF112" s="238" t="n"/>
      <c r="DG112" s="238" t="n"/>
      <c r="DH112" s="238" t="n"/>
      <c r="DI112" s="238" t="n"/>
      <c r="DJ112" s="238" t="n"/>
      <c r="DK112" s="238" t="n"/>
      <c r="DL112" s="238" t="n"/>
      <c r="DM112" s="238" t="n"/>
      <c r="DN112" s="238" t="n"/>
      <c r="DO112" s="238" t="n"/>
      <c r="DP112" s="238" t="n"/>
      <c r="DQ112" s="238" t="n"/>
      <c r="DR112" s="238" t="n"/>
      <c r="DS112" s="238" t="n"/>
      <c r="DT112" s="238" t="n"/>
      <c r="DU112" s="238" t="n"/>
      <c r="DV112" s="238" t="n"/>
      <c r="DW112" s="238" t="n"/>
      <c r="DX112" s="238" t="n"/>
      <c r="DY112" s="238" t="n"/>
      <c r="DZ112" s="23" t="n"/>
      <c r="FQ112" s="212" t="n"/>
      <c r="FR112" s="212" t="n"/>
      <c r="FS112" s="212" t="n"/>
      <c r="FT112" s="212" t="n"/>
      <c r="FU112" s="212" t="n"/>
      <c r="FV112" s="212" t="n"/>
      <c r="FW112" s="212" t="n"/>
      <c r="FX112" s="212" t="n"/>
      <c r="FY112" s="212" t="n"/>
      <c r="FZ112" s="212" t="n"/>
    </row>
    <row r="113" hidden="1" ht="36" customFormat="1" customHeight="1" s="5">
      <c r="A113" s="13" t="n"/>
      <c r="C113" s="238" t="n"/>
      <c r="D113" s="238" t="n"/>
      <c r="E113" s="238" t="n"/>
      <c r="F113" s="238" t="n"/>
      <c r="G113" s="238" t="n"/>
      <c r="H113" s="238" t="n"/>
      <c r="I113" s="238" t="n"/>
      <c r="J113" s="238" t="n"/>
      <c r="K113" s="238" t="n"/>
      <c r="L113" s="238" t="n"/>
      <c r="M113" s="238" t="n"/>
      <c r="N113" s="238" t="n"/>
      <c r="O113" s="238" t="n"/>
      <c r="P113" s="238" t="n"/>
      <c r="Q113" s="238" t="n"/>
      <c r="R113" s="238" t="n"/>
      <c r="S113" s="238" t="n"/>
      <c r="T113" s="238" t="n"/>
      <c r="U113" s="238" t="n"/>
      <c r="V113" s="238" t="n"/>
      <c r="W113" s="238" t="n"/>
      <c r="X113" s="238" t="n"/>
      <c r="Y113" s="238" t="n"/>
      <c r="Z113" s="238" t="n"/>
      <c r="AA113" s="238" t="n"/>
      <c r="AB113" s="238" t="n"/>
      <c r="AC113" s="238" t="n"/>
      <c r="AD113" s="238" t="n"/>
      <c r="AE113" s="238" t="n"/>
      <c r="AF113" s="238" t="n"/>
      <c r="AG113" s="238" t="n"/>
      <c r="AH113" s="238" t="n"/>
      <c r="AI113" s="238" t="n"/>
      <c r="AJ113" s="238" t="n"/>
      <c r="AK113" s="238" t="n"/>
      <c r="AL113" s="238" t="n"/>
      <c r="AM113" s="238" t="n"/>
      <c r="AN113" s="238" t="n"/>
      <c r="AO113" s="238" t="n"/>
      <c r="AP113" s="238" t="n"/>
      <c r="AQ113" s="238" t="n"/>
      <c r="AR113" s="238" t="n"/>
      <c r="AS113" s="238" t="n"/>
      <c r="AT113" s="238" t="n"/>
      <c r="AU113" s="238" t="n"/>
      <c r="AV113" s="238" t="n"/>
      <c r="AW113" s="238" t="n"/>
      <c r="AX113" s="238" t="n"/>
      <c r="AY113" s="238" t="n"/>
      <c r="AZ113" s="238" t="n"/>
      <c r="BA113" s="238" t="n"/>
      <c r="BB113" s="238" t="n"/>
      <c r="BC113" s="238" t="n"/>
      <c r="BD113" s="238" t="n"/>
      <c r="BE113" s="238" t="n"/>
      <c r="BF113" s="238" t="n"/>
      <c r="BG113" s="238" t="n"/>
      <c r="BH113" s="238" t="n"/>
      <c r="BI113" s="238" t="n"/>
      <c r="BJ113" s="238" t="n"/>
      <c r="BK113" s="238" t="n"/>
      <c r="BL113" s="238" t="n"/>
      <c r="BM113" s="238" t="n"/>
      <c r="BN113" s="238" t="n"/>
      <c r="BO113" s="238" t="n"/>
      <c r="BP113" s="238" t="n"/>
      <c r="BQ113" s="238" t="n"/>
      <c r="BR113" s="238" t="n"/>
      <c r="BS113" s="238" t="n"/>
      <c r="BT113" s="238" t="n"/>
      <c r="BU113" s="238" t="n"/>
      <c r="BV113" s="238" t="n"/>
      <c r="BW113" s="238" t="n"/>
      <c r="BX113" s="238" t="n"/>
      <c r="BY113" s="238" t="n"/>
      <c r="BZ113" s="238" t="n"/>
      <c r="CA113" s="238" t="n"/>
      <c r="CB113" s="238" t="n"/>
      <c r="CC113" s="238" t="n"/>
      <c r="CD113" s="238" t="n"/>
      <c r="CE113" s="238" t="n"/>
      <c r="CF113" s="238" t="n"/>
      <c r="CG113" s="238" t="n"/>
      <c r="CH113" s="238" t="n"/>
      <c r="CI113" s="238" t="n"/>
      <c r="CJ113" s="238" t="n"/>
      <c r="CK113" s="238" t="n"/>
      <c r="CL113" s="238" t="n"/>
      <c r="CM113" s="238" t="n"/>
      <c r="CN113" s="238" t="n"/>
      <c r="CO113" s="238" t="n"/>
      <c r="CP113" s="238" t="n"/>
      <c r="CQ113" s="238" t="n"/>
      <c r="CR113" s="238" t="n"/>
      <c r="CS113" s="238" t="n"/>
      <c r="CT113" s="238" t="n"/>
      <c r="CU113" s="238" t="n"/>
      <c r="CV113" s="238" t="n"/>
      <c r="CW113" s="238" t="n"/>
      <c r="CX113" s="238" t="n"/>
      <c r="CY113" s="238" t="n"/>
      <c r="CZ113" s="238" t="n"/>
      <c r="DA113" s="238" t="n"/>
      <c r="DB113" s="238" t="n"/>
      <c r="DC113" s="238" t="n"/>
      <c r="DD113" s="238" t="n"/>
      <c r="DE113" s="238" t="n"/>
      <c r="DF113" s="238" t="n"/>
      <c r="DG113" s="238" t="n"/>
      <c r="DH113" s="238" t="n"/>
      <c r="DI113" s="238" t="n"/>
      <c r="DJ113" s="238" t="n"/>
      <c r="DK113" s="238" t="n"/>
      <c r="DL113" s="238" t="n"/>
      <c r="DM113" s="238" t="n"/>
      <c r="DN113" s="238" t="n"/>
      <c r="DO113" s="238" t="n"/>
      <c r="DP113" s="238" t="n"/>
      <c r="DQ113" s="238" t="n"/>
      <c r="DR113" s="238" t="n"/>
      <c r="DS113" s="238" t="n"/>
      <c r="DT113" s="238" t="n"/>
      <c r="DU113" s="238" t="n"/>
      <c r="DV113" s="238" t="n"/>
      <c r="DW113" s="238" t="n"/>
      <c r="DX113" s="238" t="n"/>
      <c r="DY113" s="238" t="n"/>
      <c r="DZ113" s="23" t="n"/>
      <c r="FQ113" s="212" t="n"/>
      <c r="FR113" s="212" t="n"/>
      <c r="FS113" s="212" t="n"/>
      <c r="FT113" s="212" t="n"/>
      <c r="FU113" s="212" t="n"/>
      <c r="FV113" s="212" t="n"/>
      <c r="FW113" s="212" t="n"/>
      <c r="FX113" s="212" t="n"/>
      <c r="FY113" s="212" t="n"/>
      <c r="FZ113" s="212" t="n"/>
    </row>
    <row r="114" hidden="1" ht="36" customFormat="1" customHeight="1" s="5">
      <c r="A114" s="13" t="n"/>
      <c r="C114" s="238" t="n"/>
      <c r="D114" s="238" t="n"/>
      <c r="E114" s="238" t="n"/>
      <c r="F114" s="238" t="n"/>
      <c r="G114" s="238" t="n"/>
      <c r="H114" s="238" t="n"/>
      <c r="I114" s="238" t="n"/>
      <c r="J114" s="238" t="n"/>
      <c r="K114" s="238" t="n"/>
      <c r="L114" s="238" t="n"/>
      <c r="M114" s="238" t="n"/>
      <c r="N114" s="238" t="n"/>
      <c r="O114" s="238" t="n"/>
      <c r="P114" s="238" t="n"/>
      <c r="Q114" s="238" t="n"/>
      <c r="R114" s="238" t="n"/>
      <c r="S114" s="238" t="n"/>
      <c r="T114" s="238" t="n"/>
      <c r="U114" s="238" t="n"/>
      <c r="V114" s="238" t="n"/>
      <c r="W114" s="238" t="n"/>
      <c r="X114" s="238" t="n"/>
      <c r="Y114" s="238" t="n"/>
      <c r="Z114" s="238" t="n"/>
      <c r="AA114" s="238" t="n"/>
      <c r="AB114" s="238" t="n"/>
      <c r="AC114" s="238" t="n"/>
      <c r="AD114" s="238" t="n"/>
      <c r="AE114" s="238" t="n"/>
      <c r="AF114" s="238" t="n"/>
      <c r="AG114" s="238" t="n"/>
      <c r="AH114" s="238" t="n"/>
      <c r="AI114" s="238" t="n"/>
      <c r="AJ114" s="238" t="n"/>
      <c r="AK114" s="238" t="n"/>
      <c r="AL114" s="238" t="n"/>
      <c r="AM114" s="238" t="n"/>
      <c r="AN114" s="238" t="n"/>
      <c r="AO114" s="238" t="n"/>
      <c r="AP114" s="238" t="n"/>
      <c r="AQ114" s="238" t="n"/>
      <c r="AR114" s="238" t="n"/>
      <c r="AS114" s="238" t="n"/>
      <c r="AT114" s="238" t="n"/>
      <c r="AU114" s="238" t="n"/>
      <c r="AV114" s="238" t="n"/>
      <c r="AW114" s="238" t="n"/>
      <c r="AX114" s="238" t="n"/>
      <c r="AY114" s="238" t="n"/>
      <c r="AZ114" s="238" t="n"/>
      <c r="BA114" s="238" t="n"/>
      <c r="BB114" s="238" t="n"/>
      <c r="BC114" s="238" t="n"/>
      <c r="BD114" s="238" t="n"/>
      <c r="BE114" s="238" t="n"/>
      <c r="BF114" s="238" t="n"/>
      <c r="BG114" s="238" t="n"/>
      <c r="BH114" s="238" t="n"/>
      <c r="BI114" s="238" t="n"/>
      <c r="BJ114" s="238" t="n"/>
      <c r="BK114" s="238" t="n"/>
      <c r="BL114" s="238" t="n"/>
      <c r="BM114" s="238" t="n"/>
      <c r="BN114" s="238" t="n"/>
      <c r="BO114" s="238" t="n"/>
      <c r="BP114" s="238" t="n"/>
      <c r="BQ114" s="238" t="n"/>
      <c r="BR114" s="238" t="n"/>
      <c r="BS114" s="238" t="n"/>
      <c r="BT114" s="238" t="n"/>
      <c r="BU114" s="238" t="n"/>
      <c r="BV114" s="238" t="n"/>
      <c r="BW114" s="238" t="n"/>
      <c r="BX114" s="238" t="n"/>
      <c r="BY114" s="238" t="n"/>
      <c r="BZ114" s="238" t="n"/>
      <c r="CA114" s="238" t="n"/>
      <c r="CB114" s="238" t="n"/>
      <c r="CC114" s="238" t="n"/>
      <c r="CD114" s="238" t="n"/>
      <c r="CE114" s="238" t="n"/>
      <c r="CF114" s="238" t="n"/>
      <c r="CG114" s="238" t="n"/>
      <c r="CH114" s="238" t="n"/>
      <c r="CI114" s="238" t="n"/>
      <c r="CJ114" s="238" t="n"/>
      <c r="CK114" s="238" t="n"/>
      <c r="CL114" s="238" t="n"/>
      <c r="CM114" s="238" t="n"/>
      <c r="CN114" s="238" t="n"/>
      <c r="CO114" s="238" t="n"/>
      <c r="CP114" s="238" t="n"/>
      <c r="CQ114" s="238" t="n"/>
      <c r="CR114" s="238" t="n"/>
      <c r="CS114" s="238" t="n"/>
      <c r="CT114" s="238" t="n"/>
      <c r="CU114" s="238" t="n"/>
      <c r="CV114" s="238" t="n"/>
      <c r="CW114" s="238" t="n"/>
      <c r="CX114" s="238" t="n"/>
      <c r="CY114" s="238" t="n"/>
      <c r="CZ114" s="238" t="n"/>
      <c r="DA114" s="238" t="n"/>
      <c r="DB114" s="238" t="n"/>
      <c r="DC114" s="238" t="n"/>
      <c r="DD114" s="238" t="n"/>
      <c r="DE114" s="238" t="n"/>
      <c r="DF114" s="238" t="n"/>
      <c r="DG114" s="238" t="n"/>
      <c r="DH114" s="238" t="n"/>
      <c r="DI114" s="238" t="n"/>
      <c r="DJ114" s="238" t="n"/>
      <c r="DK114" s="238" t="n"/>
      <c r="DL114" s="238" t="n"/>
      <c r="DM114" s="238" t="n"/>
      <c r="DN114" s="238" t="n"/>
      <c r="DO114" s="238" t="n"/>
      <c r="DP114" s="238" t="n"/>
      <c r="DQ114" s="238" t="n"/>
      <c r="DR114" s="238" t="n"/>
      <c r="DS114" s="238" t="n"/>
      <c r="DT114" s="238" t="n"/>
      <c r="DU114" s="238" t="n"/>
      <c r="DV114" s="238" t="n"/>
      <c r="DW114" s="238" t="n"/>
      <c r="DX114" s="238" t="n"/>
      <c r="DY114" s="238" t="n"/>
      <c r="DZ114" s="23" t="n"/>
      <c r="FQ114" s="212" t="n"/>
      <c r="FR114" s="212" t="n"/>
      <c r="FS114" s="212" t="n"/>
      <c r="FT114" s="212" t="n"/>
      <c r="FU114" s="212" t="n"/>
      <c r="FV114" s="212" t="n"/>
      <c r="FW114" s="212" t="n"/>
      <c r="FX114" s="212" t="n"/>
      <c r="FY114" s="212" t="n"/>
      <c r="FZ114" s="212" t="n"/>
    </row>
    <row r="115" hidden="1" ht="36" customFormat="1" customHeight="1" s="5">
      <c r="A115" s="13" t="n"/>
      <c r="C115" s="238" t="n"/>
      <c r="D115" s="238" t="n"/>
      <c r="E115" s="238" t="n"/>
      <c r="F115" s="238" t="n"/>
      <c r="G115" s="238" t="n"/>
      <c r="H115" s="238" t="n"/>
      <c r="I115" s="238" t="n"/>
      <c r="J115" s="238" t="n"/>
      <c r="K115" s="238" t="n"/>
      <c r="L115" s="238" t="n"/>
      <c r="M115" s="238" t="n"/>
      <c r="N115" s="238" t="n"/>
      <c r="O115" s="238" t="n"/>
      <c r="P115" s="238" t="n"/>
      <c r="Q115" s="238" t="n"/>
      <c r="R115" s="238" t="n"/>
      <c r="S115" s="238" t="n"/>
      <c r="T115" s="238" t="n"/>
      <c r="U115" s="238" t="n"/>
      <c r="V115" s="238" t="n"/>
      <c r="W115" s="238" t="n"/>
      <c r="X115" s="238" t="n"/>
      <c r="Y115" s="238" t="n"/>
      <c r="Z115" s="238" t="n"/>
      <c r="AA115" s="238" t="n"/>
      <c r="AB115" s="238" t="n"/>
      <c r="AC115" s="238" t="n"/>
      <c r="AD115" s="238" t="n"/>
      <c r="AE115" s="238" t="n"/>
      <c r="AF115" s="238" t="n"/>
      <c r="AG115" s="238" t="n"/>
      <c r="AH115" s="238" t="n"/>
      <c r="AI115" s="238" t="n"/>
      <c r="AJ115" s="238" t="n"/>
      <c r="AK115" s="238" t="n"/>
      <c r="AL115" s="238" t="n"/>
      <c r="AM115" s="238" t="n"/>
      <c r="AN115" s="238" t="n"/>
      <c r="AO115" s="238" t="n"/>
      <c r="AP115" s="238" t="n"/>
      <c r="AQ115" s="238" t="n"/>
      <c r="AR115" s="238" t="n"/>
      <c r="AS115" s="238" t="n"/>
      <c r="AT115" s="238" t="n"/>
      <c r="AU115" s="238" t="n"/>
      <c r="AV115" s="238" t="n"/>
      <c r="AW115" s="238" t="n"/>
      <c r="AX115" s="238" t="n"/>
      <c r="AY115" s="238" t="n"/>
      <c r="AZ115" s="238" t="n"/>
      <c r="BA115" s="238" t="n"/>
      <c r="BB115" s="238" t="n"/>
      <c r="BC115" s="238" t="n"/>
      <c r="BD115" s="238" t="n"/>
      <c r="BE115" s="238" t="n"/>
      <c r="BF115" s="238" t="n"/>
      <c r="BG115" s="238" t="n"/>
      <c r="BH115" s="238" t="n"/>
      <c r="BI115" s="238" t="n"/>
      <c r="BJ115" s="238" t="n"/>
      <c r="BK115" s="238" t="n"/>
      <c r="BL115" s="238" t="n"/>
      <c r="BM115" s="238" t="n"/>
      <c r="BN115" s="238" t="n"/>
      <c r="BO115" s="238" t="n"/>
      <c r="BP115" s="238" t="n"/>
      <c r="BQ115" s="238" t="n"/>
      <c r="BR115" s="238" t="n"/>
      <c r="BS115" s="238" t="n"/>
      <c r="BT115" s="238" t="n"/>
      <c r="BU115" s="238" t="n"/>
      <c r="BV115" s="238" t="n"/>
      <c r="BW115" s="238" t="n"/>
      <c r="BX115" s="238" t="n"/>
      <c r="BY115" s="238" t="n"/>
      <c r="BZ115" s="238" t="n"/>
      <c r="CA115" s="238" t="n"/>
      <c r="CB115" s="238" t="n"/>
      <c r="CC115" s="238" t="n"/>
      <c r="CD115" s="238" t="n"/>
      <c r="CE115" s="238" t="n"/>
      <c r="CF115" s="238" t="n"/>
      <c r="CG115" s="238" t="n"/>
      <c r="CH115" s="238" t="n"/>
      <c r="CI115" s="238" t="n"/>
      <c r="CJ115" s="238" t="n"/>
      <c r="CK115" s="238" t="n"/>
      <c r="CL115" s="238" t="n"/>
      <c r="CM115" s="238" t="n"/>
      <c r="CN115" s="238" t="n"/>
      <c r="CO115" s="238" t="n"/>
      <c r="CP115" s="238" t="n"/>
      <c r="CQ115" s="238" t="n"/>
      <c r="CR115" s="238" t="n"/>
      <c r="CS115" s="238" t="n"/>
      <c r="CT115" s="238" t="n"/>
      <c r="CU115" s="238" t="n"/>
      <c r="CV115" s="238" t="n"/>
      <c r="CW115" s="238" t="n"/>
      <c r="CX115" s="238" t="n"/>
      <c r="CY115" s="238" t="n"/>
      <c r="CZ115" s="238" t="n"/>
      <c r="DA115" s="238" t="n"/>
      <c r="DB115" s="238" t="n"/>
      <c r="DC115" s="238" t="n"/>
      <c r="DD115" s="238" t="n"/>
      <c r="DE115" s="238" t="n"/>
      <c r="DF115" s="238" t="n"/>
      <c r="DG115" s="238" t="n"/>
      <c r="DH115" s="238" t="n"/>
      <c r="DI115" s="238" t="n"/>
      <c r="DJ115" s="238" t="n"/>
      <c r="DK115" s="238" t="n"/>
      <c r="DL115" s="238" t="n"/>
      <c r="DM115" s="238" t="n"/>
      <c r="DN115" s="238" t="n"/>
      <c r="DO115" s="238" t="n"/>
      <c r="DP115" s="238" t="n"/>
      <c r="DQ115" s="238" t="n"/>
      <c r="DR115" s="238" t="n"/>
      <c r="DS115" s="238" t="n"/>
      <c r="DT115" s="238" t="n"/>
      <c r="DU115" s="238" t="n"/>
      <c r="DV115" s="238" t="n"/>
      <c r="DW115" s="238" t="n"/>
      <c r="DX115" s="238" t="n"/>
      <c r="DY115" s="238" t="n"/>
      <c r="DZ115" s="23" t="n"/>
      <c r="FQ115" s="212" t="n"/>
      <c r="FR115" s="212" t="n"/>
      <c r="FS115" s="212" t="n"/>
      <c r="FT115" s="212" t="n"/>
      <c r="FU115" s="212" t="n"/>
      <c r="FV115" s="212" t="n"/>
      <c r="FW115" s="212" t="n"/>
      <c r="FX115" s="212" t="n"/>
      <c r="FY115" s="212" t="n"/>
      <c r="FZ115" s="212" t="n"/>
    </row>
    <row r="116" hidden="1" ht="36" customFormat="1" customHeight="1" s="5">
      <c r="A116" s="13" t="n"/>
      <c r="C116" s="238" t="n"/>
      <c r="D116" s="238" t="n"/>
      <c r="E116" s="238" t="n"/>
      <c r="F116" s="238" t="n"/>
      <c r="G116" s="238" t="n"/>
      <c r="H116" s="238" t="n"/>
      <c r="I116" s="238" t="n"/>
      <c r="J116" s="238" t="n"/>
      <c r="K116" s="238" t="n"/>
      <c r="L116" s="238" t="n"/>
      <c r="M116" s="238" t="n"/>
      <c r="N116" s="238" t="n"/>
      <c r="O116" s="238" t="n"/>
      <c r="P116" s="238" t="n"/>
      <c r="Q116" s="238" t="n"/>
      <c r="R116" s="238" t="n"/>
      <c r="S116" s="238" t="n"/>
      <c r="T116" s="238" t="n"/>
      <c r="U116" s="238" t="n"/>
      <c r="V116" s="238" t="n"/>
      <c r="W116" s="238" t="n"/>
      <c r="X116" s="238" t="n"/>
      <c r="Y116" s="238" t="n"/>
      <c r="Z116" s="238" t="n"/>
      <c r="AA116" s="238" t="n"/>
      <c r="AB116" s="238" t="n"/>
      <c r="AC116" s="238" t="n"/>
      <c r="AD116" s="238" t="n"/>
      <c r="AE116" s="238" t="n"/>
      <c r="AF116" s="238" t="n"/>
      <c r="AG116" s="238" t="n"/>
      <c r="AH116" s="238" t="n"/>
      <c r="AI116" s="238" t="n"/>
      <c r="AJ116" s="238" t="n"/>
      <c r="AK116" s="238" t="n"/>
      <c r="AL116" s="238" t="n"/>
      <c r="AM116" s="238" t="n"/>
      <c r="AN116" s="238" t="n"/>
      <c r="AO116" s="238" t="n"/>
      <c r="AP116" s="238" t="n"/>
      <c r="AQ116" s="238" t="n"/>
      <c r="AR116" s="238" t="n"/>
      <c r="AS116" s="238" t="n"/>
      <c r="AT116" s="238" t="n"/>
      <c r="AU116" s="238" t="n"/>
      <c r="AV116" s="238" t="n"/>
      <c r="AW116" s="238" t="n"/>
      <c r="AX116" s="238" t="n"/>
      <c r="AY116" s="238" t="n"/>
      <c r="AZ116" s="238" t="n"/>
      <c r="BA116" s="238" t="n"/>
      <c r="BB116" s="238" t="n"/>
      <c r="BC116" s="238" t="n"/>
      <c r="BD116" s="238" t="n"/>
      <c r="BE116" s="238" t="n"/>
      <c r="BF116" s="238" t="n"/>
      <c r="BG116" s="238" t="n"/>
      <c r="BH116" s="238" t="n"/>
      <c r="BI116" s="238" t="n"/>
      <c r="BJ116" s="238" t="n"/>
      <c r="BK116" s="238" t="n"/>
      <c r="BL116" s="238" t="n"/>
      <c r="BM116" s="238" t="n"/>
      <c r="BN116" s="238" t="n"/>
      <c r="BO116" s="238" t="n"/>
      <c r="BP116" s="238" t="n"/>
      <c r="BQ116" s="238" t="n"/>
      <c r="BR116" s="238" t="n"/>
      <c r="BS116" s="238" t="n"/>
      <c r="BT116" s="238" t="n"/>
      <c r="BU116" s="238" t="n"/>
      <c r="BV116" s="238" t="n"/>
      <c r="BW116" s="238" t="n"/>
      <c r="BX116" s="238" t="n"/>
      <c r="BY116" s="238" t="n"/>
      <c r="BZ116" s="238" t="n"/>
      <c r="CA116" s="238" t="n"/>
      <c r="CB116" s="238" t="n"/>
      <c r="CC116" s="238" t="n"/>
      <c r="CD116" s="238" t="n"/>
      <c r="CE116" s="238" t="n"/>
      <c r="CF116" s="238" t="n"/>
      <c r="CG116" s="238" t="n"/>
      <c r="CH116" s="238" t="n"/>
      <c r="CI116" s="238" t="n"/>
      <c r="CJ116" s="238" t="n"/>
      <c r="CK116" s="238" t="n"/>
      <c r="CL116" s="238" t="n"/>
      <c r="CM116" s="238" t="n"/>
      <c r="CN116" s="238" t="n"/>
      <c r="CO116" s="238" t="n"/>
      <c r="CP116" s="238" t="n"/>
      <c r="CQ116" s="238" t="n"/>
      <c r="CR116" s="238" t="n"/>
      <c r="CS116" s="238" t="n"/>
      <c r="CT116" s="238" t="n"/>
      <c r="CU116" s="238" t="n"/>
      <c r="CV116" s="238" t="n"/>
      <c r="CW116" s="238" t="n"/>
      <c r="CX116" s="238" t="n"/>
      <c r="CY116" s="238" t="n"/>
      <c r="CZ116" s="238" t="n"/>
      <c r="DA116" s="238" t="n"/>
      <c r="DB116" s="238" t="n"/>
      <c r="DC116" s="238" t="n"/>
      <c r="DD116" s="238" t="n"/>
      <c r="DE116" s="238" t="n"/>
      <c r="DF116" s="238" t="n"/>
      <c r="DG116" s="238" t="n"/>
      <c r="DH116" s="238" t="n"/>
      <c r="DI116" s="238" t="n"/>
      <c r="DJ116" s="238" t="n"/>
      <c r="DK116" s="238" t="n"/>
      <c r="DL116" s="238" t="n"/>
      <c r="DM116" s="238" t="n"/>
      <c r="DN116" s="238" t="n"/>
      <c r="DO116" s="238" t="n"/>
      <c r="DP116" s="238" t="n"/>
      <c r="DQ116" s="238" t="n"/>
      <c r="DR116" s="238" t="n"/>
      <c r="DS116" s="238" t="n"/>
      <c r="DT116" s="238" t="n"/>
      <c r="DU116" s="238" t="n"/>
      <c r="DV116" s="238" t="n"/>
      <c r="DW116" s="238" t="n"/>
      <c r="DX116" s="238" t="n"/>
      <c r="DY116" s="238" t="n"/>
      <c r="DZ116" s="23" t="n"/>
      <c r="FQ116" s="212" t="n"/>
      <c r="FR116" s="212" t="n"/>
      <c r="FS116" s="212" t="n"/>
      <c r="FT116" s="212" t="n"/>
      <c r="FU116" s="212" t="n"/>
      <c r="FV116" s="212" t="n"/>
      <c r="FW116" s="212" t="n"/>
      <c r="FX116" s="212" t="n"/>
      <c r="FY116" s="212" t="n"/>
      <c r="FZ116" s="212" t="n"/>
    </row>
    <row r="117" hidden="1" ht="36" customFormat="1" customHeight="1" s="5">
      <c r="A117" s="13" t="n"/>
      <c r="C117" s="238" t="n"/>
      <c r="D117" s="238" t="n"/>
      <c r="E117" s="238" t="n"/>
      <c r="F117" s="238" t="n"/>
      <c r="G117" s="238" t="n"/>
      <c r="H117" s="238" t="n"/>
      <c r="I117" s="238" t="n"/>
      <c r="J117" s="238" t="n"/>
      <c r="K117" s="238" t="n"/>
      <c r="L117" s="238" t="n"/>
      <c r="M117" s="238" t="n"/>
      <c r="N117" s="238" t="n"/>
      <c r="O117" s="238" t="n"/>
      <c r="P117" s="238" t="n"/>
      <c r="Q117" s="238" t="n"/>
      <c r="R117" s="238" t="n"/>
      <c r="S117" s="238" t="n"/>
      <c r="T117" s="238" t="n"/>
      <c r="U117" s="238" t="n"/>
      <c r="V117" s="238" t="n"/>
      <c r="W117" s="238" t="n"/>
      <c r="X117" s="238" t="n"/>
      <c r="Y117" s="238" t="n"/>
      <c r="Z117" s="238" t="n"/>
      <c r="AA117" s="238" t="n"/>
      <c r="AB117" s="238" t="n"/>
      <c r="AC117" s="238" t="n"/>
      <c r="AD117" s="238" t="n"/>
      <c r="AE117" s="238" t="n"/>
      <c r="AF117" s="238" t="n"/>
      <c r="AG117" s="238" t="n"/>
      <c r="AH117" s="238" t="n"/>
      <c r="AI117" s="238" t="n"/>
      <c r="AJ117" s="238" t="n"/>
      <c r="AK117" s="238" t="n"/>
      <c r="AL117" s="238" t="n"/>
      <c r="AM117" s="238" t="n"/>
      <c r="AN117" s="238" t="n"/>
      <c r="AO117" s="238" t="n"/>
      <c r="AP117" s="238" t="n"/>
      <c r="AQ117" s="238" t="n"/>
      <c r="AR117" s="238" t="n"/>
      <c r="AS117" s="238" t="n"/>
      <c r="AT117" s="238" t="n"/>
      <c r="AU117" s="238" t="n"/>
      <c r="AV117" s="238" t="n"/>
      <c r="AW117" s="238" t="n"/>
      <c r="AX117" s="238" t="n"/>
      <c r="AY117" s="238" t="n"/>
      <c r="AZ117" s="238" t="n"/>
      <c r="BA117" s="238" t="n"/>
      <c r="BB117" s="238" t="n"/>
      <c r="BC117" s="238" t="n"/>
      <c r="BD117" s="238" t="n"/>
      <c r="BE117" s="238" t="n"/>
      <c r="BF117" s="238" t="n"/>
      <c r="BG117" s="238" t="n"/>
      <c r="BH117" s="238" t="n"/>
      <c r="BI117" s="238" t="n"/>
      <c r="BJ117" s="238" t="n"/>
      <c r="BK117" s="238" t="n"/>
      <c r="BL117" s="238" t="n"/>
      <c r="BM117" s="238" t="n"/>
      <c r="BN117" s="238" t="n"/>
      <c r="BO117" s="238" t="n"/>
      <c r="BP117" s="238" t="n"/>
      <c r="BQ117" s="238" t="n"/>
      <c r="BR117" s="238" t="n"/>
      <c r="BS117" s="238" t="n"/>
      <c r="BT117" s="238" t="n"/>
      <c r="BU117" s="238" t="n"/>
      <c r="BV117" s="238" t="n"/>
      <c r="BW117" s="238" t="n"/>
      <c r="BX117" s="238" t="n"/>
      <c r="BY117" s="238" t="n"/>
      <c r="BZ117" s="238" t="n"/>
      <c r="CA117" s="238" t="n"/>
      <c r="CB117" s="238" t="n"/>
      <c r="CC117" s="238" t="n"/>
      <c r="CD117" s="238" t="n"/>
      <c r="CE117" s="238" t="n"/>
      <c r="CF117" s="238" t="n"/>
      <c r="CG117" s="238" t="n"/>
      <c r="CH117" s="238" t="n"/>
      <c r="CI117" s="238" t="n"/>
      <c r="CJ117" s="238" t="n"/>
      <c r="CK117" s="238" t="n"/>
      <c r="CL117" s="238" t="n"/>
      <c r="CM117" s="238" t="n"/>
      <c r="CN117" s="238" t="n"/>
      <c r="CO117" s="238" t="n"/>
      <c r="CP117" s="238" t="n"/>
      <c r="CQ117" s="238" t="n"/>
      <c r="CR117" s="238" t="n"/>
      <c r="CS117" s="238" t="n"/>
      <c r="CT117" s="238" t="n"/>
      <c r="CU117" s="238" t="n"/>
      <c r="CV117" s="238" t="n"/>
      <c r="CW117" s="238" t="n"/>
      <c r="CX117" s="238" t="n"/>
      <c r="CY117" s="238" t="n"/>
      <c r="CZ117" s="238" t="n"/>
      <c r="DA117" s="238" t="n"/>
      <c r="DB117" s="238" t="n"/>
      <c r="DC117" s="238" t="n"/>
      <c r="DD117" s="238" t="n"/>
      <c r="DE117" s="238" t="n"/>
      <c r="DF117" s="238" t="n"/>
      <c r="DG117" s="238" t="n"/>
      <c r="DH117" s="238" t="n"/>
      <c r="DI117" s="238" t="n"/>
      <c r="DJ117" s="238" t="n"/>
      <c r="DK117" s="238" t="n"/>
      <c r="DL117" s="238" t="n"/>
      <c r="DM117" s="238" t="n"/>
      <c r="DN117" s="238" t="n"/>
      <c r="DO117" s="238" t="n"/>
      <c r="DP117" s="238" t="n"/>
      <c r="DQ117" s="238" t="n"/>
      <c r="DR117" s="238" t="n"/>
      <c r="DS117" s="238" t="n"/>
      <c r="DT117" s="238" t="n"/>
      <c r="DU117" s="238" t="n"/>
      <c r="DV117" s="238" t="n"/>
      <c r="DW117" s="238" t="n"/>
      <c r="DX117" s="238" t="n"/>
      <c r="DY117" s="238" t="n"/>
      <c r="DZ117" s="23" t="n"/>
      <c r="FQ117" s="212" t="n"/>
      <c r="FR117" s="212" t="n"/>
      <c r="FS117" s="212" t="n"/>
      <c r="FT117" s="212" t="n"/>
      <c r="FU117" s="212" t="n"/>
      <c r="FV117" s="212" t="n"/>
      <c r="FW117" s="212" t="n"/>
      <c r="FX117" s="212" t="n"/>
      <c r="FY117" s="212" t="n"/>
      <c r="FZ117" s="212" t="n"/>
    </row>
    <row r="118" hidden="1" ht="36" customFormat="1" customHeight="1" s="5">
      <c r="A118" s="13" t="n"/>
      <c r="C118" s="238" t="n"/>
      <c r="D118" s="238" t="n"/>
      <c r="E118" s="238" t="n"/>
      <c r="F118" s="238" t="n"/>
      <c r="G118" s="238" t="n"/>
      <c r="H118" s="238" t="n"/>
      <c r="I118" s="238" t="n"/>
      <c r="J118" s="238" t="n"/>
      <c r="K118" s="238" t="n"/>
      <c r="L118" s="238" t="n"/>
      <c r="M118" s="238" t="n"/>
      <c r="N118" s="238" t="n"/>
      <c r="O118" s="238" t="n"/>
      <c r="P118" s="238" t="n"/>
      <c r="Q118" s="238" t="n"/>
      <c r="R118" s="238" t="n"/>
      <c r="S118" s="238" t="n"/>
      <c r="T118" s="238" t="n"/>
      <c r="U118" s="238" t="n"/>
      <c r="V118" s="238" t="n"/>
      <c r="W118" s="238" t="n"/>
      <c r="X118" s="238" t="n"/>
      <c r="Y118" s="238" t="n"/>
      <c r="Z118" s="238" t="n"/>
      <c r="AA118" s="238" t="n"/>
      <c r="AB118" s="238" t="n"/>
      <c r="AC118" s="238" t="n"/>
      <c r="AD118" s="238" t="n"/>
      <c r="AE118" s="238" t="n"/>
      <c r="AF118" s="238" t="n"/>
      <c r="AG118" s="238" t="n"/>
      <c r="AH118" s="238" t="n"/>
      <c r="AI118" s="238" t="n"/>
      <c r="AJ118" s="238" t="n"/>
      <c r="AK118" s="238" t="n"/>
      <c r="AL118" s="238" t="n"/>
      <c r="AM118" s="238" t="n"/>
      <c r="AN118" s="238" t="n"/>
      <c r="AO118" s="238" t="n"/>
      <c r="AP118" s="238" t="n"/>
      <c r="AQ118" s="238" t="n"/>
      <c r="AR118" s="238" t="n"/>
      <c r="AS118" s="238" t="n"/>
      <c r="AT118" s="238" t="n"/>
      <c r="AU118" s="238" t="n"/>
      <c r="AV118" s="238" t="n"/>
      <c r="AW118" s="238" t="n"/>
      <c r="AX118" s="238" t="n"/>
      <c r="AY118" s="238" t="n"/>
      <c r="AZ118" s="238" t="n"/>
      <c r="BA118" s="238" t="n"/>
      <c r="BB118" s="238" t="n"/>
      <c r="BC118" s="238" t="n"/>
      <c r="BD118" s="238" t="n"/>
      <c r="BE118" s="238" t="n"/>
      <c r="BF118" s="238" t="n"/>
      <c r="BG118" s="238" t="n"/>
      <c r="BH118" s="238" t="n"/>
      <c r="BI118" s="238" t="n"/>
      <c r="BJ118" s="238" t="n"/>
      <c r="BK118" s="238" t="n"/>
      <c r="BL118" s="238" t="n"/>
      <c r="BM118" s="238" t="n"/>
      <c r="BN118" s="238" t="n"/>
      <c r="BO118" s="238" t="n"/>
      <c r="BP118" s="238" t="n"/>
      <c r="BQ118" s="238" t="n"/>
      <c r="BR118" s="238" t="n"/>
      <c r="BS118" s="238" t="n"/>
      <c r="BT118" s="238" t="n"/>
      <c r="BU118" s="238" t="n"/>
      <c r="BV118" s="238" t="n"/>
      <c r="BW118" s="238" t="n"/>
      <c r="BX118" s="238" t="n"/>
      <c r="BY118" s="238" t="n"/>
      <c r="BZ118" s="238" t="n"/>
      <c r="CA118" s="238" t="n"/>
      <c r="CB118" s="238" t="n"/>
      <c r="CC118" s="238" t="n"/>
      <c r="CD118" s="238" t="n"/>
      <c r="CE118" s="238" t="n"/>
      <c r="CF118" s="238" t="n"/>
      <c r="CG118" s="238" t="n"/>
      <c r="CH118" s="238" t="n"/>
      <c r="CI118" s="238" t="n"/>
      <c r="CJ118" s="238" t="n"/>
      <c r="CK118" s="238" t="n"/>
      <c r="CL118" s="238" t="n"/>
      <c r="CM118" s="238" t="n"/>
      <c r="CN118" s="238" t="n"/>
      <c r="CO118" s="238" t="n"/>
      <c r="CP118" s="238" t="n"/>
      <c r="CQ118" s="238" t="n"/>
      <c r="CR118" s="238" t="n"/>
      <c r="CS118" s="238" t="n"/>
      <c r="CT118" s="238" t="n"/>
      <c r="CU118" s="238" t="n"/>
      <c r="CV118" s="238" t="n"/>
      <c r="CW118" s="238" t="n"/>
      <c r="CX118" s="238" t="n"/>
      <c r="CY118" s="238" t="n"/>
      <c r="CZ118" s="238" t="n"/>
      <c r="DA118" s="238" t="n"/>
      <c r="DB118" s="238" t="n"/>
      <c r="DC118" s="238" t="n"/>
      <c r="DD118" s="238" t="n"/>
      <c r="DE118" s="238" t="n"/>
      <c r="DF118" s="238" t="n"/>
      <c r="DG118" s="238" t="n"/>
      <c r="DH118" s="238" t="n"/>
      <c r="DI118" s="238" t="n"/>
      <c r="DJ118" s="238" t="n"/>
      <c r="DK118" s="238" t="n"/>
      <c r="DL118" s="238" t="n"/>
      <c r="DM118" s="238" t="n"/>
      <c r="DN118" s="238" t="n"/>
      <c r="DO118" s="238" t="n"/>
      <c r="DP118" s="238" t="n"/>
      <c r="DQ118" s="238" t="n"/>
      <c r="DR118" s="238" t="n"/>
      <c r="DS118" s="238" t="n"/>
      <c r="DT118" s="238" t="n"/>
      <c r="DU118" s="238" t="n"/>
      <c r="DV118" s="238" t="n"/>
      <c r="DW118" s="238" t="n"/>
      <c r="DX118" s="238" t="n"/>
      <c r="DY118" s="238" t="n"/>
      <c r="DZ118" s="23" t="n"/>
      <c r="FQ118" s="212" t="n"/>
      <c r="FR118" s="212" t="n"/>
      <c r="FS118" s="212" t="n"/>
      <c r="FT118" s="212" t="n"/>
      <c r="FU118" s="212" t="n"/>
      <c r="FV118" s="212" t="n"/>
      <c r="FW118" s="212" t="n"/>
      <c r="FX118" s="212" t="n"/>
      <c r="FY118" s="212" t="n"/>
      <c r="FZ118" s="212" t="n"/>
    </row>
    <row r="119" hidden="1" ht="36" customFormat="1" customHeight="1" s="5">
      <c r="A119" s="13" t="n"/>
      <c r="C119" s="238" t="n"/>
      <c r="D119" s="238" t="n"/>
      <c r="E119" s="238" t="n"/>
      <c r="F119" s="238" t="n"/>
      <c r="G119" s="238" t="n"/>
      <c r="H119" s="238" t="n"/>
      <c r="I119" s="238" t="n"/>
      <c r="J119" s="238" t="n"/>
      <c r="K119" s="238" t="n"/>
      <c r="L119" s="238" t="n"/>
      <c r="M119" s="238" t="n"/>
      <c r="N119" s="238" t="n"/>
      <c r="O119" s="238" t="n"/>
      <c r="P119" s="238" t="n"/>
      <c r="Q119" s="238" t="n"/>
      <c r="R119" s="238" t="n"/>
      <c r="S119" s="238" t="n"/>
      <c r="T119" s="238" t="n"/>
      <c r="U119" s="238" t="n"/>
      <c r="V119" s="238" t="n"/>
      <c r="W119" s="238" t="n"/>
      <c r="X119" s="238" t="n"/>
      <c r="Y119" s="238" t="n"/>
      <c r="Z119" s="238" t="n"/>
      <c r="AA119" s="238" t="n"/>
      <c r="AB119" s="238" t="n"/>
      <c r="AC119" s="238" t="n"/>
      <c r="AD119" s="238" t="n"/>
      <c r="AE119" s="238" t="n"/>
      <c r="AF119" s="238" t="n"/>
      <c r="AG119" s="238" t="n"/>
      <c r="AH119" s="238" t="n"/>
      <c r="AI119" s="238" t="n"/>
      <c r="AJ119" s="238" t="n"/>
      <c r="AK119" s="238" t="n"/>
      <c r="AL119" s="238" t="n"/>
      <c r="AM119" s="238" t="n"/>
      <c r="AN119" s="238" t="n"/>
      <c r="AO119" s="238" t="n"/>
      <c r="AP119" s="238" t="n"/>
      <c r="AQ119" s="238" t="n"/>
      <c r="AR119" s="238" t="n"/>
      <c r="AS119" s="238" t="n"/>
      <c r="AT119" s="238" t="n"/>
      <c r="AU119" s="238" t="n"/>
      <c r="AV119" s="238" t="n"/>
      <c r="AW119" s="238" t="n"/>
      <c r="AX119" s="238" t="n"/>
      <c r="AY119" s="238" t="n"/>
      <c r="AZ119" s="238" t="n"/>
      <c r="BA119" s="238" t="n"/>
      <c r="BB119" s="238" t="n"/>
      <c r="BC119" s="238" t="n"/>
      <c r="BD119" s="238" t="n"/>
      <c r="BE119" s="238" t="n"/>
      <c r="BF119" s="238" t="n"/>
      <c r="BG119" s="238" t="n"/>
      <c r="BH119" s="238" t="n"/>
      <c r="BI119" s="238" t="n"/>
      <c r="BJ119" s="238" t="n"/>
      <c r="BK119" s="238" t="n"/>
      <c r="BL119" s="238" t="n"/>
      <c r="BM119" s="238" t="n"/>
      <c r="BN119" s="238" t="n"/>
      <c r="BO119" s="238" t="n"/>
      <c r="BP119" s="238" t="n"/>
      <c r="BQ119" s="238" t="n"/>
      <c r="BR119" s="238" t="n"/>
      <c r="BS119" s="238" t="n"/>
      <c r="BT119" s="238" t="n"/>
      <c r="BU119" s="238" t="n"/>
      <c r="BV119" s="238" t="n"/>
      <c r="BW119" s="238" t="n"/>
      <c r="BX119" s="238" t="n"/>
      <c r="BY119" s="238" t="n"/>
      <c r="BZ119" s="238" t="n"/>
      <c r="CA119" s="238" t="n"/>
      <c r="CB119" s="238" t="n"/>
      <c r="CC119" s="238" t="n"/>
      <c r="CD119" s="238" t="n"/>
      <c r="CE119" s="238" t="n"/>
      <c r="CF119" s="238" t="n"/>
      <c r="CG119" s="238" t="n"/>
      <c r="CH119" s="238" t="n"/>
      <c r="CI119" s="238" t="n"/>
      <c r="CJ119" s="238" t="n"/>
      <c r="CK119" s="238" t="n"/>
      <c r="CL119" s="238" t="n"/>
      <c r="CM119" s="238" t="n"/>
      <c r="CN119" s="238" t="n"/>
      <c r="CO119" s="238" t="n"/>
      <c r="CP119" s="238" t="n"/>
      <c r="CQ119" s="238" t="n"/>
      <c r="CR119" s="238" t="n"/>
      <c r="CS119" s="238" t="n"/>
      <c r="CT119" s="238" t="n"/>
      <c r="CU119" s="238" t="n"/>
      <c r="CV119" s="238" t="n"/>
      <c r="CW119" s="238" t="n"/>
      <c r="CX119" s="238" t="n"/>
      <c r="CY119" s="238" t="n"/>
      <c r="CZ119" s="238" t="n"/>
      <c r="DA119" s="238" t="n"/>
      <c r="DB119" s="238" t="n"/>
      <c r="DC119" s="238" t="n"/>
      <c r="DD119" s="238" t="n"/>
      <c r="DE119" s="238" t="n"/>
      <c r="DF119" s="238" t="n"/>
      <c r="DG119" s="238" t="n"/>
      <c r="DH119" s="238" t="n"/>
      <c r="DI119" s="238" t="n"/>
      <c r="DJ119" s="238" t="n"/>
      <c r="DK119" s="238" t="n"/>
      <c r="DL119" s="238" t="n"/>
      <c r="DM119" s="238" t="n"/>
      <c r="DN119" s="238" t="n"/>
      <c r="DO119" s="238" t="n"/>
      <c r="DP119" s="238" t="n"/>
      <c r="DQ119" s="238" t="n"/>
      <c r="DR119" s="238" t="n"/>
      <c r="DS119" s="238" t="n"/>
      <c r="DT119" s="238" t="n"/>
      <c r="DU119" s="238" t="n"/>
      <c r="DV119" s="238" t="n"/>
      <c r="DW119" s="238" t="n"/>
      <c r="DX119" s="238" t="n"/>
      <c r="DY119" s="238" t="n"/>
      <c r="DZ119" s="23" t="n"/>
      <c r="FQ119" s="212" t="n"/>
      <c r="FR119" s="212" t="n"/>
      <c r="FS119" s="212" t="n"/>
      <c r="FT119" s="212" t="n"/>
      <c r="FU119" s="212" t="n"/>
      <c r="FV119" s="212" t="n"/>
      <c r="FW119" s="212" t="n"/>
      <c r="FX119" s="212" t="n"/>
      <c r="FY119" s="212" t="n"/>
      <c r="FZ119" s="212" t="n"/>
    </row>
    <row r="120" hidden="1" ht="36" customFormat="1" customHeight="1" s="5">
      <c r="A120" s="13" t="n"/>
      <c r="C120" s="238" t="n"/>
      <c r="D120" s="238" t="n"/>
      <c r="E120" s="238" t="n"/>
      <c r="F120" s="238" t="n"/>
      <c r="G120" s="238" t="n"/>
      <c r="H120" s="238" t="n"/>
      <c r="I120" s="238" t="n"/>
      <c r="J120" s="238" t="n"/>
      <c r="K120" s="238" t="n"/>
      <c r="L120" s="238" t="n"/>
      <c r="M120" s="238" t="n"/>
      <c r="N120" s="238" t="n"/>
      <c r="O120" s="238" t="n"/>
      <c r="P120" s="238" t="n"/>
      <c r="Q120" s="238" t="n"/>
      <c r="R120" s="238" t="n"/>
      <c r="S120" s="238" t="n"/>
      <c r="T120" s="238" t="n"/>
      <c r="U120" s="238" t="n"/>
      <c r="V120" s="238" t="n"/>
      <c r="W120" s="238" t="n"/>
      <c r="X120" s="238" t="n"/>
      <c r="Y120" s="238" t="n"/>
      <c r="Z120" s="238" t="n"/>
      <c r="AA120" s="238" t="n"/>
      <c r="AB120" s="238" t="n"/>
      <c r="AC120" s="238" t="n"/>
      <c r="AD120" s="238" t="n"/>
      <c r="AE120" s="238" t="n"/>
      <c r="AF120" s="238" t="n"/>
      <c r="AG120" s="238" t="n"/>
      <c r="AH120" s="238" t="n"/>
      <c r="AI120" s="238" t="n"/>
      <c r="AJ120" s="238" t="n"/>
      <c r="AK120" s="238" t="n"/>
      <c r="AL120" s="238" t="n"/>
      <c r="AM120" s="238" t="n"/>
      <c r="AN120" s="238" t="n"/>
      <c r="AO120" s="238" t="n"/>
      <c r="AP120" s="238" t="n"/>
      <c r="AQ120" s="238" t="n"/>
      <c r="AR120" s="238" t="n"/>
      <c r="AS120" s="238" t="n"/>
      <c r="AT120" s="238" t="n"/>
      <c r="AU120" s="238" t="n"/>
      <c r="AV120" s="238" t="n"/>
      <c r="AW120" s="238" t="n"/>
      <c r="AX120" s="238" t="n"/>
      <c r="AY120" s="238" t="n"/>
      <c r="AZ120" s="238" t="n"/>
      <c r="BA120" s="238" t="n"/>
      <c r="BB120" s="238" t="n"/>
      <c r="BC120" s="238" t="n"/>
      <c r="BD120" s="238" t="n"/>
      <c r="BE120" s="238" t="n"/>
      <c r="BF120" s="238" t="n"/>
      <c r="BG120" s="238" t="n"/>
      <c r="BH120" s="238" t="n"/>
      <c r="BI120" s="238" t="n"/>
      <c r="BJ120" s="238" t="n"/>
      <c r="BK120" s="238" t="n"/>
      <c r="BL120" s="238" t="n"/>
      <c r="BM120" s="238" t="n"/>
      <c r="BN120" s="238" t="n"/>
      <c r="BO120" s="238" t="n"/>
      <c r="BP120" s="238" t="n"/>
      <c r="BQ120" s="238" t="n"/>
      <c r="BR120" s="238" t="n"/>
      <c r="BS120" s="238" t="n"/>
      <c r="BT120" s="238" t="n"/>
      <c r="BU120" s="238" t="n"/>
      <c r="BV120" s="238" t="n"/>
      <c r="BW120" s="238" t="n"/>
      <c r="BX120" s="238" t="n"/>
      <c r="BY120" s="238" t="n"/>
      <c r="BZ120" s="238" t="n"/>
      <c r="CA120" s="238" t="n"/>
      <c r="CB120" s="238" t="n"/>
      <c r="CC120" s="238" t="n"/>
      <c r="CD120" s="238" t="n"/>
      <c r="CE120" s="238" t="n"/>
      <c r="CF120" s="238" t="n"/>
      <c r="CG120" s="238" t="n"/>
      <c r="CH120" s="238" t="n"/>
      <c r="CI120" s="238" t="n"/>
      <c r="CJ120" s="238" t="n"/>
      <c r="CK120" s="238" t="n"/>
      <c r="CL120" s="238" t="n"/>
      <c r="CM120" s="238" t="n"/>
      <c r="CN120" s="238" t="n"/>
      <c r="CO120" s="238" t="n"/>
      <c r="CP120" s="238" t="n"/>
      <c r="CQ120" s="238" t="n"/>
      <c r="CR120" s="238" t="n"/>
      <c r="CS120" s="238" t="n"/>
      <c r="CT120" s="238" t="n"/>
      <c r="CU120" s="238" t="n"/>
      <c r="CV120" s="238" t="n"/>
      <c r="CW120" s="238" t="n"/>
      <c r="CX120" s="238" t="n"/>
      <c r="CY120" s="238" t="n"/>
      <c r="CZ120" s="238" t="n"/>
      <c r="DA120" s="238" t="n"/>
      <c r="DB120" s="238" t="n"/>
      <c r="DC120" s="238" t="n"/>
      <c r="DD120" s="238" t="n"/>
      <c r="DE120" s="238" t="n"/>
      <c r="DF120" s="238" t="n"/>
      <c r="DG120" s="238" t="n"/>
      <c r="DH120" s="238" t="n"/>
      <c r="DI120" s="238" t="n"/>
      <c r="DJ120" s="238" t="n"/>
      <c r="DK120" s="238" t="n"/>
      <c r="DL120" s="238" t="n"/>
      <c r="DM120" s="238" t="n"/>
      <c r="DN120" s="238" t="n"/>
      <c r="DO120" s="238" t="n"/>
      <c r="DP120" s="238" t="n"/>
      <c r="DQ120" s="238" t="n"/>
      <c r="DR120" s="238" t="n"/>
      <c r="DS120" s="238" t="n"/>
      <c r="DT120" s="238" t="n"/>
      <c r="DU120" s="238" t="n"/>
      <c r="DV120" s="238" t="n"/>
      <c r="DW120" s="238" t="n"/>
      <c r="DX120" s="238" t="n"/>
      <c r="DY120" s="238" t="n"/>
      <c r="DZ120" s="23" t="n"/>
      <c r="FQ120" s="212" t="n"/>
      <c r="FR120" s="212" t="n"/>
      <c r="FS120" s="212" t="n"/>
      <c r="FT120" s="212" t="n"/>
      <c r="FU120" s="212" t="n"/>
      <c r="FV120" s="212" t="n"/>
      <c r="FW120" s="212" t="n"/>
      <c r="FX120" s="212" t="n"/>
      <c r="FY120" s="212" t="n"/>
      <c r="FZ120" s="212" t="n"/>
    </row>
    <row r="121" hidden="1" ht="36" customFormat="1" customHeight="1" s="5">
      <c r="A121" s="13" t="n"/>
      <c r="C121" s="238" t="n"/>
      <c r="D121" s="238" t="n"/>
      <c r="E121" s="238" t="n"/>
      <c r="F121" s="238" t="n"/>
      <c r="G121" s="238" t="n"/>
      <c r="H121" s="238" t="n"/>
      <c r="I121" s="238" t="n"/>
      <c r="J121" s="238" t="n"/>
      <c r="K121" s="238" t="n"/>
      <c r="L121" s="238" t="n"/>
      <c r="M121" s="238" t="n"/>
      <c r="N121" s="238" t="n"/>
      <c r="O121" s="238" t="n"/>
      <c r="P121" s="238" t="n"/>
      <c r="Q121" s="238" t="n"/>
      <c r="R121" s="238" t="n"/>
      <c r="S121" s="238" t="n"/>
      <c r="T121" s="238" t="n"/>
      <c r="U121" s="238" t="n"/>
      <c r="V121" s="238" t="n"/>
      <c r="W121" s="238" t="n"/>
      <c r="X121" s="238" t="n"/>
      <c r="Y121" s="238" t="n"/>
      <c r="Z121" s="238" t="n"/>
      <c r="AA121" s="238" t="n"/>
      <c r="AB121" s="238" t="n"/>
      <c r="AC121" s="238" t="n"/>
      <c r="AD121" s="238" t="n"/>
      <c r="AE121" s="238" t="n"/>
      <c r="AF121" s="238" t="n"/>
      <c r="AG121" s="238" t="n"/>
      <c r="AH121" s="238" t="n"/>
      <c r="AI121" s="238" t="n"/>
      <c r="AJ121" s="238" t="n"/>
      <c r="AK121" s="238" t="n"/>
      <c r="AL121" s="238" t="n"/>
      <c r="AM121" s="238" t="n"/>
      <c r="AN121" s="238" t="n"/>
      <c r="AO121" s="238" t="n"/>
      <c r="AP121" s="238" t="n"/>
      <c r="AQ121" s="238" t="n"/>
      <c r="AR121" s="238" t="n"/>
      <c r="AS121" s="238" t="n"/>
      <c r="AT121" s="238" t="n"/>
      <c r="AU121" s="238" t="n"/>
      <c r="AV121" s="238" t="n"/>
      <c r="AW121" s="238" t="n"/>
      <c r="AX121" s="238" t="n"/>
      <c r="AY121" s="238" t="n"/>
      <c r="AZ121" s="238" t="n"/>
      <c r="BA121" s="238" t="n"/>
      <c r="BB121" s="238" t="n"/>
      <c r="BC121" s="238" t="n"/>
      <c r="BD121" s="238" t="n"/>
      <c r="BE121" s="238" t="n"/>
      <c r="BF121" s="238" t="n"/>
      <c r="BG121" s="238" t="n"/>
      <c r="BH121" s="238" t="n"/>
      <c r="BI121" s="238" t="n"/>
      <c r="BJ121" s="238" t="n"/>
      <c r="BK121" s="238" t="n"/>
      <c r="BL121" s="238" t="n"/>
      <c r="BM121" s="238" t="n"/>
      <c r="BN121" s="238" t="n"/>
      <c r="BO121" s="238" t="n"/>
      <c r="BP121" s="238" t="n"/>
      <c r="BQ121" s="238" t="n"/>
      <c r="BR121" s="238" t="n"/>
      <c r="BS121" s="238" t="n"/>
      <c r="BT121" s="238" t="n"/>
      <c r="BU121" s="238" t="n"/>
      <c r="BV121" s="238" t="n"/>
      <c r="BW121" s="238" t="n"/>
      <c r="BX121" s="238" t="n"/>
      <c r="BY121" s="238" t="n"/>
      <c r="BZ121" s="238" t="n"/>
      <c r="CA121" s="238" t="n"/>
      <c r="CB121" s="238" t="n"/>
      <c r="CC121" s="238" t="n"/>
      <c r="CD121" s="238" t="n"/>
      <c r="CE121" s="238" t="n"/>
      <c r="CF121" s="238" t="n"/>
      <c r="CG121" s="238" t="n"/>
      <c r="CH121" s="238" t="n"/>
      <c r="CI121" s="238" t="n"/>
      <c r="CJ121" s="238" t="n"/>
      <c r="CK121" s="238" t="n"/>
      <c r="CL121" s="238" t="n"/>
      <c r="CM121" s="238" t="n"/>
      <c r="CN121" s="238" t="n"/>
      <c r="CO121" s="238" t="n"/>
      <c r="CP121" s="238" t="n"/>
      <c r="CQ121" s="238" t="n"/>
      <c r="CR121" s="238" t="n"/>
      <c r="CS121" s="238" t="n"/>
      <c r="CT121" s="238" t="n"/>
      <c r="CU121" s="238" t="n"/>
      <c r="CV121" s="238" t="n"/>
      <c r="CW121" s="238" t="n"/>
      <c r="CX121" s="238" t="n"/>
      <c r="CY121" s="238" t="n"/>
      <c r="CZ121" s="238" t="n"/>
      <c r="DA121" s="238" t="n"/>
      <c r="DB121" s="238" t="n"/>
      <c r="DC121" s="238" t="n"/>
      <c r="DD121" s="238" t="n"/>
      <c r="DE121" s="238" t="n"/>
      <c r="DF121" s="238" t="n"/>
      <c r="DG121" s="238" t="n"/>
      <c r="DH121" s="238" t="n"/>
      <c r="DI121" s="238" t="n"/>
      <c r="DJ121" s="238" t="n"/>
      <c r="DK121" s="238" t="n"/>
      <c r="DL121" s="238" t="n"/>
      <c r="DM121" s="238" t="n"/>
      <c r="DN121" s="238" t="n"/>
      <c r="DO121" s="238" t="n"/>
      <c r="DP121" s="238" t="n"/>
      <c r="DQ121" s="238" t="n"/>
      <c r="DR121" s="238" t="n"/>
      <c r="DS121" s="238" t="n"/>
      <c r="DT121" s="238" t="n"/>
      <c r="DU121" s="238" t="n"/>
      <c r="DV121" s="238" t="n"/>
      <c r="DW121" s="238" t="n"/>
      <c r="DX121" s="238" t="n"/>
      <c r="DY121" s="238" t="n"/>
      <c r="DZ121" s="23" t="n"/>
      <c r="FQ121" s="212" t="n"/>
      <c r="FR121" s="212" t="n"/>
      <c r="FS121" s="212" t="n"/>
      <c r="FT121" s="212" t="n"/>
      <c r="FU121" s="212" t="n"/>
      <c r="FV121" s="212" t="n"/>
      <c r="FW121" s="212" t="n"/>
      <c r="FX121" s="212" t="n"/>
      <c r="FY121" s="212" t="n"/>
      <c r="FZ121" s="212" t="n"/>
    </row>
    <row r="122" hidden="1" ht="36" customFormat="1" customHeight="1" s="5">
      <c r="A122" s="13" t="n"/>
      <c r="C122" s="238" t="n"/>
      <c r="D122" s="238" t="n"/>
      <c r="E122" s="238" t="n"/>
      <c r="F122" s="238" t="n"/>
      <c r="G122" s="238" t="n"/>
      <c r="H122" s="238" t="n"/>
      <c r="I122" s="238" t="n"/>
      <c r="J122" s="238" t="n"/>
      <c r="K122" s="238" t="n"/>
      <c r="L122" s="238" t="n"/>
      <c r="M122" s="238" t="n"/>
      <c r="N122" s="238" t="n"/>
      <c r="O122" s="238" t="n"/>
      <c r="P122" s="238" t="n"/>
      <c r="Q122" s="238" t="n"/>
      <c r="R122" s="238" t="n"/>
      <c r="S122" s="238" t="n"/>
      <c r="T122" s="238" t="n"/>
      <c r="U122" s="238" t="n"/>
      <c r="V122" s="238" t="n"/>
      <c r="W122" s="238" t="n"/>
      <c r="X122" s="238" t="n"/>
      <c r="Y122" s="238" t="n"/>
      <c r="Z122" s="238" t="n"/>
      <c r="AA122" s="238" t="n"/>
      <c r="AB122" s="238" t="n"/>
      <c r="AC122" s="238" t="n"/>
      <c r="AD122" s="238" t="n"/>
      <c r="AE122" s="238" t="n"/>
      <c r="AF122" s="238" t="n"/>
      <c r="AG122" s="238" t="n"/>
      <c r="AH122" s="238" t="n"/>
      <c r="AI122" s="238" t="n"/>
      <c r="AJ122" s="238" t="n"/>
      <c r="AK122" s="238" t="n"/>
      <c r="AL122" s="238" t="n"/>
      <c r="AM122" s="238" t="n"/>
      <c r="AN122" s="238" t="n"/>
      <c r="AO122" s="238" t="n"/>
      <c r="AP122" s="238" t="n"/>
      <c r="AQ122" s="238" t="n"/>
      <c r="AR122" s="238" t="n"/>
      <c r="AS122" s="238" t="n"/>
      <c r="AT122" s="238" t="n"/>
      <c r="AU122" s="238" t="n"/>
      <c r="AV122" s="238" t="n"/>
      <c r="AW122" s="238" t="n"/>
      <c r="AX122" s="238" t="n"/>
      <c r="AY122" s="238" t="n"/>
      <c r="AZ122" s="238" t="n"/>
      <c r="BA122" s="238" t="n"/>
      <c r="BB122" s="238" t="n"/>
      <c r="BC122" s="238" t="n"/>
      <c r="BD122" s="238" t="n"/>
      <c r="BE122" s="238" t="n"/>
      <c r="BF122" s="238" t="n"/>
      <c r="BG122" s="238" t="n"/>
      <c r="BH122" s="238" t="n"/>
      <c r="BI122" s="238" t="n"/>
      <c r="BJ122" s="238" t="n"/>
      <c r="BK122" s="238" t="n"/>
      <c r="BL122" s="238" t="n"/>
      <c r="BM122" s="238" t="n"/>
      <c r="BN122" s="238" t="n"/>
      <c r="BO122" s="238" t="n"/>
      <c r="BP122" s="238" t="n"/>
      <c r="BQ122" s="238" t="n"/>
      <c r="BR122" s="238" t="n"/>
      <c r="BS122" s="238" t="n"/>
      <c r="BT122" s="238" t="n"/>
      <c r="BU122" s="238" t="n"/>
      <c r="BV122" s="238" t="n"/>
      <c r="BW122" s="238" t="n"/>
      <c r="BX122" s="238" t="n"/>
      <c r="BY122" s="238" t="n"/>
      <c r="BZ122" s="238" t="n"/>
      <c r="CA122" s="238" t="n"/>
      <c r="CB122" s="238" t="n"/>
      <c r="CC122" s="238" t="n"/>
      <c r="CD122" s="238" t="n"/>
      <c r="CE122" s="238" t="n"/>
      <c r="CF122" s="238" t="n"/>
      <c r="CG122" s="238" t="n"/>
      <c r="CH122" s="238" t="n"/>
      <c r="CI122" s="238" t="n"/>
      <c r="CJ122" s="238" t="n"/>
      <c r="CK122" s="238" t="n"/>
      <c r="CL122" s="238" t="n"/>
      <c r="CM122" s="238" t="n"/>
      <c r="CN122" s="238" t="n"/>
      <c r="CO122" s="238" t="n"/>
      <c r="CP122" s="238" t="n"/>
      <c r="CQ122" s="238" t="n"/>
      <c r="CR122" s="238" t="n"/>
      <c r="CS122" s="238" t="n"/>
      <c r="CT122" s="238" t="n"/>
      <c r="CU122" s="238" t="n"/>
      <c r="CV122" s="238" t="n"/>
      <c r="CW122" s="238" t="n"/>
      <c r="CX122" s="238" t="n"/>
      <c r="CY122" s="238" t="n"/>
      <c r="CZ122" s="238" t="n"/>
      <c r="DA122" s="238" t="n"/>
      <c r="DB122" s="238" t="n"/>
      <c r="DC122" s="238" t="n"/>
      <c r="DD122" s="238" t="n"/>
      <c r="DE122" s="238" t="n"/>
      <c r="DF122" s="238" t="n"/>
      <c r="DG122" s="238" t="n"/>
      <c r="DH122" s="238" t="n"/>
      <c r="DI122" s="238" t="n"/>
      <c r="DJ122" s="238" t="n"/>
      <c r="DK122" s="238" t="n"/>
      <c r="DL122" s="238" t="n"/>
      <c r="DM122" s="238" t="n"/>
      <c r="DN122" s="238" t="n"/>
      <c r="DO122" s="238" t="n"/>
      <c r="DP122" s="238" t="n"/>
      <c r="DQ122" s="238" t="n"/>
      <c r="DR122" s="238" t="n"/>
      <c r="DS122" s="238" t="n"/>
      <c r="DT122" s="238" t="n"/>
      <c r="DU122" s="238" t="n"/>
      <c r="DV122" s="238" t="n"/>
      <c r="DW122" s="238" t="n"/>
      <c r="DX122" s="238" t="n"/>
      <c r="DY122" s="238" t="n"/>
      <c r="DZ122" s="23" t="n"/>
      <c r="FQ122" s="212" t="n"/>
      <c r="FR122" s="212" t="n"/>
      <c r="FS122" s="212" t="n"/>
      <c r="FT122" s="212" t="n"/>
      <c r="FU122" s="212" t="n"/>
      <c r="FV122" s="212" t="n"/>
      <c r="FW122" s="212" t="n"/>
      <c r="FX122" s="212" t="n"/>
      <c r="FY122" s="212" t="n"/>
      <c r="FZ122" s="212" t="n"/>
    </row>
    <row r="123" hidden="1" ht="36" customFormat="1" customHeight="1" s="5">
      <c r="A123" s="13" t="n"/>
      <c r="C123" s="238" t="n"/>
      <c r="D123" s="238" t="n"/>
      <c r="E123" s="238" t="n"/>
      <c r="F123" s="238" t="n"/>
      <c r="G123" s="238" t="n"/>
      <c r="H123" s="238" t="n"/>
      <c r="I123" s="238" t="n"/>
      <c r="J123" s="238" t="n"/>
      <c r="K123" s="238" t="n"/>
      <c r="L123" s="238" t="n"/>
      <c r="M123" s="238" t="n"/>
      <c r="N123" s="238" t="n"/>
      <c r="O123" s="238" t="n"/>
      <c r="P123" s="238" t="n"/>
      <c r="Q123" s="238" t="n"/>
      <c r="R123" s="238" t="n"/>
      <c r="S123" s="238" t="n"/>
      <c r="T123" s="238" t="n"/>
      <c r="U123" s="238" t="n"/>
      <c r="V123" s="238" t="n"/>
      <c r="W123" s="238" t="n"/>
      <c r="X123" s="238" t="n"/>
      <c r="Y123" s="238" t="n"/>
      <c r="Z123" s="238" t="n"/>
      <c r="AA123" s="238" t="n"/>
      <c r="AB123" s="238" t="n"/>
      <c r="AC123" s="238" t="n"/>
      <c r="AD123" s="238" t="n"/>
      <c r="AE123" s="238" t="n"/>
      <c r="AF123" s="238" t="n"/>
      <c r="AG123" s="238" t="n"/>
      <c r="AH123" s="238" t="n"/>
      <c r="AI123" s="238" t="n"/>
      <c r="AJ123" s="238" t="n"/>
      <c r="AK123" s="238" t="n"/>
      <c r="AL123" s="238" t="n"/>
      <c r="AM123" s="238" t="n"/>
      <c r="AN123" s="238" t="n"/>
      <c r="AO123" s="238" t="n"/>
      <c r="AP123" s="238" t="n"/>
      <c r="AQ123" s="238" t="n"/>
      <c r="AR123" s="238" t="n"/>
      <c r="AS123" s="238" t="n"/>
      <c r="AT123" s="238" t="n"/>
      <c r="AU123" s="238" t="n"/>
      <c r="AV123" s="238" t="n"/>
      <c r="AW123" s="238" t="n"/>
      <c r="AX123" s="238" t="n"/>
      <c r="AY123" s="238" t="n"/>
      <c r="AZ123" s="238" t="n"/>
      <c r="BA123" s="238" t="n"/>
      <c r="BB123" s="238" t="n"/>
      <c r="BC123" s="238" t="n"/>
      <c r="BD123" s="238" t="n"/>
      <c r="BE123" s="238" t="n"/>
      <c r="BF123" s="238" t="n"/>
      <c r="BG123" s="238" t="n"/>
      <c r="BH123" s="238" t="n"/>
      <c r="BI123" s="238" t="n"/>
      <c r="BJ123" s="238" t="n"/>
      <c r="BK123" s="238" t="n"/>
      <c r="BL123" s="238" t="n"/>
      <c r="BM123" s="238" t="n"/>
      <c r="BN123" s="238" t="n"/>
      <c r="BO123" s="238" t="n"/>
      <c r="BP123" s="238" t="n"/>
      <c r="BQ123" s="238" t="n"/>
      <c r="BR123" s="238" t="n"/>
      <c r="BS123" s="238" t="n"/>
      <c r="BT123" s="238" t="n"/>
      <c r="BU123" s="238" t="n"/>
      <c r="BV123" s="238" t="n"/>
      <c r="BW123" s="238" t="n"/>
      <c r="BX123" s="238" t="n"/>
      <c r="BY123" s="238" t="n"/>
      <c r="BZ123" s="238" t="n"/>
      <c r="CA123" s="238" t="n"/>
      <c r="CB123" s="238" t="n"/>
      <c r="CC123" s="238" t="n"/>
      <c r="CD123" s="238" t="n"/>
      <c r="CE123" s="238" t="n"/>
      <c r="CF123" s="238" t="n"/>
      <c r="CG123" s="238" t="n"/>
      <c r="CH123" s="238" t="n"/>
      <c r="CI123" s="238" t="n"/>
      <c r="CJ123" s="238" t="n"/>
      <c r="CK123" s="238" t="n"/>
      <c r="CL123" s="238" t="n"/>
      <c r="CM123" s="238" t="n"/>
      <c r="CN123" s="238" t="n"/>
      <c r="CO123" s="238" t="n"/>
      <c r="CP123" s="238" t="n"/>
      <c r="CQ123" s="238" t="n"/>
      <c r="CR123" s="238" t="n"/>
      <c r="CS123" s="238" t="n"/>
      <c r="CT123" s="238" t="n"/>
      <c r="CU123" s="238" t="n"/>
      <c r="CV123" s="238" t="n"/>
      <c r="CW123" s="238" t="n"/>
      <c r="CX123" s="238" t="n"/>
      <c r="CY123" s="238" t="n"/>
      <c r="CZ123" s="238" t="n"/>
      <c r="DA123" s="238" t="n"/>
      <c r="DB123" s="238" t="n"/>
      <c r="DC123" s="238" t="n"/>
      <c r="DD123" s="238" t="n"/>
      <c r="DE123" s="238" t="n"/>
      <c r="DF123" s="238" t="n"/>
      <c r="DG123" s="238" t="n"/>
      <c r="DH123" s="238" t="n"/>
      <c r="DI123" s="238" t="n"/>
      <c r="DJ123" s="238" t="n"/>
      <c r="DK123" s="238" t="n"/>
      <c r="DL123" s="238" t="n"/>
      <c r="DM123" s="238" t="n"/>
      <c r="DN123" s="238" t="n"/>
      <c r="DO123" s="238" t="n"/>
      <c r="DP123" s="238" t="n"/>
      <c r="DQ123" s="238" t="n"/>
      <c r="DR123" s="238" t="n"/>
      <c r="DS123" s="238" t="n"/>
      <c r="DT123" s="238" t="n"/>
      <c r="DU123" s="238" t="n"/>
      <c r="DV123" s="238" t="n"/>
      <c r="DW123" s="238" t="n"/>
      <c r="DX123" s="238" t="n"/>
      <c r="DY123" s="238" t="n"/>
      <c r="DZ123" s="23" t="n"/>
      <c r="FQ123" s="212" t="n"/>
      <c r="FR123" s="212" t="n"/>
      <c r="FS123" s="212" t="n"/>
      <c r="FT123" s="212" t="n"/>
      <c r="FU123" s="212" t="n"/>
      <c r="FV123" s="212" t="n"/>
      <c r="FW123" s="212" t="n"/>
      <c r="FX123" s="212" t="n"/>
      <c r="FY123" s="212" t="n"/>
      <c r="FZ123" s="212" t="n"/>
    </row>
    <row r="124" hidden="1" ht="36" customFormat="1" customHeight="1" s="5">
      <c r="A124" s="13" t="n"/>
      <c r="C124" s="238" t="n"/>
      <c r="D124" s="238" t="n"/>
      <c r="E124" s="238" t="n"/>
      <c r="F124" s="238" t="n"/>
      <c r="G124" s="238" t="n"/>
      <c r="H124" s="238" t="n"/>
      <c r="I124" s="238" t="n"/>
      <c r="J124" s="238" t="n"/>
      <c r="K124" s="238" t="n"/>
      <c r="L124" s="238" t="n"/>
      <c r="M124" s="238" t="n"/>
      <c r="N124" s="238" t="n"/>
      <c r="O124" s="238" t="n"/>
      <c r="P124" s="238" t="n"/>
      <c r="Q124" s="238" t="n"/>
      <c r="R124" s="238" t="n"/>
      <c r="S124" s="238" t="n"/>
      <c r="T124" s="238" t="n"/>
      <c r="U124" s="238" t="n"/>
      <c r="V124" s="238" t="n"/>
      <c r="W124" s="238" t="n"/>
      <c r="X124" s="238" t="n"/>
      <c r="Y124" s="238" t="n"/>
      <c r="Z124" s="238" t="n"/>
      <c r="AA124" s="238" t="n"/>
      <c r="AB124" s="238" t="n"/>
      <c r="AC124" s="238" t="n"/>
      <c r="AD124" s="238" t="n"/>
      <c r="AE124" s="238" t="n"/>
      <c r="AF124" s="238" t="n"/>
      <c r="AG124" s="238" t="n"/>
      <c r="AH124" s="238" t="n"/>
      <c r="AI124" s="238" t="n"/>
      <c r="AJ124" s="238" t="n"/>
      <c r="AK124" s="238" t="n"/>
      <c r="AL124" s="238" t="n"/>
      <c r="AM124" s="238" t="n"/>
      <c r="AN124" s="238" t="n"/>
      <c r="AO124" s="238" t="n"/>
      <c r="AP124" s="238" t="n"/>
      <c r="AQ124" s="238" t="n"/>
      <c r="AR124" s="238" t="n"/>
      <c r="AS124" s="238" t="n"/>
      <c r="AT124" s="238" t="n"/>
      <c r="AU124" s="238" t="n"/>
      <c r="AV124" s="238" t="n"/>
      <c r="AW124" s="238" t="n"/>
      <c r="AX124" s="238" t="n"/>
      <c r="AY124" s="238" t="n"/>
      <c r="AZ124" s="238" t="n"/>
      <c r="BA124" s="238" t="n"/>
      <c r="BB124" s="238" t="n"/>
      <c r="BC124" s="238" t="n"/>
      <c r="BD124" s="238" t="n"/>
      <c r="BE124" s="238" t="n"/>
      <c r="BF124" s="238" t="n"/>
      <c r="BG124" s="238" t="n"/>
      <c r="BH124" s="238" t="n"/>
      <c r="BI124" s="238" t="n"/>
      <c r="BJ124" s="238" t="n"/>
      <c r="BK124" s="238" t="n"/>
      <c r="BL124" s="238" t="n"/>
      <c r="BM124" s="238" t="n"/>
      <c r="BN124" s="238" t="n"/>
      <c r="BO124" s="238" t="n"/>
      <c r="BP124" s="238" t="n"/>
      <c r="BQ124" s="238" t="n"/>
      <c r="BR124" s="238" t="n"/>
      <c r="BS124" s="238" t="n"/>
      <c r="BT124" s="238" t="n"/>
      <c r="BU124" s="238" t="n"/>
      <c r="BV124" s="238" t="n"/>
      <c r="BW124" s="238" t="n"/>
      <c r="BX124" s="238" t="n"/>
      <c r="BY124" s="238" t="n"/>
      <c r="BZ124" s="238" t="n"/>
      <c r="CA124" s="238" t="n"/>
      <c r="CB124" s="238" t="n"/>
      <c r="CC124" s="238" t="n"/>
      <c r="CD124" s="238" t="n"/>
      <c r="CE124" s="238" t="n"/>
      <c r="CF124" s="238" t="n"/>
      <c r="CG124" s="238" t="n"/>
      <c r="CH124" s="238" t="n"/>
      <c r="CI124" s="238" t="n"/>
      <c r="CJ124" s="238" t="n"/>
      <c r="CK124" s="238" t="n"/>
      <c r="CL124" s="238" t="n"/>
      <c r="CM124" s="238" t="n"/>
      <c r="CN124" s="238" t="n"/>
      <c r="CO124" s="238" t="n"/>
      <c r="CP124" s="238" t="n"/>
      <c r="CQ124" s="238" t="n"/>
      <c r="CR124" s="238" t="n"/>
      <c r="CS124" s="238" t="n"/>
      <c r="CT124" s="238" t="n"/>
      <c r="CU124" s="238" t="n"/>
      <c r="CV124" s="238" t="n"/>
      <c r="CW124" s="238" t="n"/>
      <c r="CX124" s="238" t="n"/>
      <c r="CY124" s="238" t="n"/>
      <c r="CZ124" s="238" t="n"/>
      <c r="DA124" s="238" t="n"/>
      <c r="DB124" s="238" t="n"/>
      <c r="DC124" s="238" t="n"/>
      <c r="DD124" s="238" t="n"/>
      <c r="DE124" s="238" t="n"/>
      <c r="DF124" s="238" t="n"/>
      <c r="DG124" s="238" t="n"/>
      <c r="DH124" s="238" t="n"/>
      <c r="DI124" s="238" t="n"/>
      <c r="DJ124" s="238" t="n"/>
      <c r="DK124" s="238" t="n"/>
      <c r="DL124" s="238" t="n"/>
      <c r="DM124" s="238" t="n"/>
      <c r="DN124" s="238" t="n"/>
      <c r="DO124" s="238" t="n"/>
      <c r="DP124" s="238" t="n"/>
      <c r="DQ124" s="238" t="n"/>
      <c r="DR124" s="238" t="n"/>
      <c r="DS124" s="238" t="n"/>
      <c r="DT124" s="238" t="n"/>
      <c r="DU124" s="238" t="n"/>
      <c r="DV124" s="238" t="n"/>
      <c r="DW124" s="238" t="n"/>
      <c r="DX124" s="238" t="n"/>
      <c r="DY124" s="238" t="n"/>
      <c r="DZ124" s="23" t="n"/>
      <c r="FQ124" s="212" t="n"/>
      <c r="FR124" s="212" t="n"/>
      <c r="FS124" s="212" t="n"/>
      <c r="FT124" s="212" t="n"/>
      <c r="FU124" s="212" t="n"/>
      <c r="FV124" s="212" t="n"/>
      <c r="FW124" s="212" t="n"/>
      <c r="FX124" s="212" t="n"/>
      <c r="FY124" s="212" t="n"/>
      <c r="FZ124" s="212" t="n"/>
    </row>
    <row r="125" hidden="1" ht="36" customFormat="1" customHeight="1" s="5">
      <c r="A125" s="13" t="n"/>
      <c r="C125" s="238" t="n"/>
      <c r="D125" s="238" t="n"/>
      <c r="E125" s="238" t="n"/>
      <c r="F125" s="238" t="n"/>
      <c r="G125" s="238" t="n"/>
      <c r="H125" s="238" t="n"/>
      <c r="I125" s="238" t="n"/>
      <c r="J125" s="238" t="n"/>
      <c r="K125" s="238" t="n"/>
      <c r="L125" s="238" t="n"/>
      <c r="M125" s="238" t="n"/>
      <c r="N125" s="238" t="n"/>
      <c r="O125" s="238" t="n"/>
      <c r="P125" s="238" t="n"/>
      <c r="Q125" s="238" t="n"/>
      <c r="R125" s="238" t="n"/>
      <c r="S125" s="238" t="n"/>
      <c r="T125" s="238" t="n"/>
      <c r="U125" s="238" t="n"/>
      <c r="V125" s="238" t="n"/>
      <c r="W125" s="238" t="n"/>
      <c r="X125" s="238" t="n"/>
      <c r="Y125" s="238" t="n"/>
      <c r="Z125" s="238" t="n"/>
      <c r="AA125" s="238" t="n"/>
      <c r="AB125" s="238" t="n"/>
      <c r="AC125" s="238" t="n"/>
      <c r="AD125" s="238" t="n"/>
      <c r="AE125" s="238" t="n"/>
      <c r="AF125" s="238" t="n"/>
      <c r="AG125" s="238" t="n"/>
      <c r="AH125" s="238" t="n"/>
      <c r="AI125" s="238" t="n"/>
      <c r="AJ125" s="238" t="n"/>
      <c r="AK125" s="238" t="n"/>
      <c r="AL125" s="238" t="n"/>
      <c r="AM125" s="238" t="n"/>
      <c r="AN125" s="238" t="n"/>
      <c r="AO125" s="238" t="n"/>
      <c r="AP125" s="238" t="n"/>
      <c r="AQ125" s="238" t="n"/>
      <c r="AR125" s="238" t="n"/>
      <c r="AS125" s="238" t="n"/>
      <c r="AT125" s="238" t="n"/>
      <c r="AU125" s="238" t="n"/>
      <c r="AV125" s="238" t="n"/>
      <c r="AW125" s="238" t="n"/>
      <c r="AX125" s="238" t="n"/>
      <c r="AY125" s="238" t="n"/>
      <c r="AZ125" s="238" t="n"/>
      <c r="BA125" s="238" t="n"/>
      <c r="BB125" s="238" t="n"/>
      <c r="BC125" s="238" t="n"/>
      <c r="BD125" s="238" t="n"/>
      <c r="BE125" s="238" t="n"/>
      <c r="BF125" s="238" t="n"/>
      <c r="BG125" s="238" t="n"/>
      <c r="BH125" s="238" t="n"/>
      <c r="BI125" s="238" t="n"/>
      <c r="BJ125" s="238" t="n"/>
      <c r="BK125" s="238" t="n"/>
      <c r="BL125" s="238" t="n"/>
      <c r="BM125" s="238" t="n"/>
      <c r="BN125" s="238" t="n"/>
      <c r="BO125" s="238" t="n"/>
      <c r="BP125" s="238" t="n"/>
      <c r="BQ125" s="238" t="n"/>
      <c r="BR125" s="238" t="n"/>
      <c r="BS125" s="238" t="n"/>
      <c r="BT125" s="238" t="n"/>
      <c r="BU125" s="238" t="n"/>
      <c r="BV125" s="238" t="n"/>
      <c r="BW125" s="238" t="n"/>
      <c r="BX125" s="238" t="n"/>
      <c r="BY125" s="238" t="n"/>
      <c r="BZ125" s="238" t="n"/>
      <c r="CA125" s="238" t="n"/>
      <c r="CB125" s="238" t="n"/>
      <c r="CC125" s="238" t="n"/>
      <c r="CD125" s="238" t="n"/>
      <c r="CE125" s="238" t="n"/>
      <c r="CF125" s="238" t="n"/>
      <c r="CG125" s="238" t="n"/>
      <c r="CH125" s="238" t="n"/>
      <c r="CI125" s="238" t="n"/>
      <c r="CJ125" s="238" t="n"/>
      <c r="CK125" s="238" t="n"/>
      <c r="CL125" s="238" t="n"/>
      <c r="CM125" s="238" t="n"/>
      <c r="CN125" s="238" t="n"/>
      <c r="CO125" s="238" t="n"/>
      <c r="CP125" s="238" t="n"/>
      <c r="CQ125" s="238" t="n"/>
      <c r="CR125" s="238" t="n"/>
      <c r="CS125" s="238" t="n"/>
      <c r="CT125" s="238" t="n"/>
      <c r="CU125" s="238" t="n"/>
      <c r="CV125" s="238" t="n"/>
      <c r="CW125" s="238" t="n"/>
      <c r="CX125" s="238" t="n"/>
      <c r="CY125" s="238" t="n"/>
      <c r="CZ125" s="238" t="n"/>
      <c r="DA125" s="238" t="n"/>
      <c r="DB125" s="238" t="n"/>
      <c r="DC125" s="238" t="n"/>
      <c r="DD125" s="238" t="n"/>
      <c r="DE125" s="238" t="n"/>
      <c r="DF125" s="238" t="n"/>
      <c r="DG125" s="238" t="n"/>
      <c r="DH125" s="238" t="n"/>
      <c r="DI125" s="238" t="n"/>
      <c r="DJ125" s="238" t="n"/>
      <c r="DK125" s="238" t="n"/>
      <c r="DL125" s="238" t="n"/>
      <c r="DM125" s="238" t="n"/>
      <c r="DN125" s="238" t="n"/>
      <c r="DO125" s="238" t="n"/>
      <c r="DP125" s="238" t="n"/>
      <c r="DQ125" s="238" t="n"/>
      <c r="DR125" s="238" t="n"/>
      <c r="DS125" s="238" t="n"/>
      <c r="DT125" s="238" t="n"/>
      <c r="DU125" s="238" t="n"/>
      <c r="DV125" s="238" t="n"/>
      <c r="DW125" s="238" t="n"/>
      <c r="DX125" s="238" t="n"/>
      <c r="DY125" s="238" t="n"/>
      <c r="DZ125" s="23" t="n"/>
      <c r="FQ125" s="212" t="n"/>
      <c r="FR125" s="212" t="n"/>
      <c r="FS125" s="212" t="n"/>
      <c r="FT125" s="212" t="n"/>
      <c r="FU125" s="212" t="n"/>
      <c r="FV125" s="212" t="n"/>
      <c r="FW125" s="212" t="n"/>
      <c r="FX125" s="212" t="n"/>
      <c r="FY125" s="212" t="n"/>
      <c r="FZ125" s="212" t="n"/>
    </row>
    <row r="126" ht="36" customFormat="1" customHeight="1" s="5">
      <c r="A126" s="14" t="n"/>
      <c r="C126" s="238" t="n"/>
      <c r="D126" s="238" t="n"/>
      <c r="E126" s="238" t="n"/>
      <c r="F126" s="238" t="n"/>
      <c r="G126" s="238" t="n"/>
      <c r="H126" s="238" t="n"/>
      <c r="I126" s="238" t="n"/>
      <c r="J126" s="238" t="n"/>
      <c r="K126" s="238" t="n"/>
      <c r="L126" s="238" t="n"/>
      <c r="M126" s="238" t="n"/>
      <c r="N126" s="238" t="n"/>
      <c r="O126" s="238" t="n"/>
      <c r="P126" s="238" t="n"/>
      <c r="Q126" s="238" t="n"/>
      <c r="R126" s="238" t="n"/>
      <c r="S126" s="238" t="n"/>
      <c r="T126" s="238" t="n"/>
      <c r="U126" s="238" t="n"/>
      <c r="V126" s="238" t="n"/>
      <c r="W126" s="238" t="n"/>
      <c r="X126" s="238" t="n"/>
      <c r="Y126" s="238" t="n"/>
      <c r="Z126" s="238" t="n"/>
      <c r="AA126" s="238" t="n"/>
      <c r="AB126" s="238" t="n"/>
      <c r="AC126" s="238" t="n"/>
      <c r="AD126" s="238" t="n"/>
      <c r="AE126" s="238" t="n"/>
      <c r="AF126" s="238" t="n"/>
      <c r="AG126" s="238" t="n"/>
      <c r="AH126" s="238" t="n"/>
      <c r="AI126" s="238" t="n"/>
      <c r="AJ126" s="238" t="n"/>
      <c r="AK126" s="238" t="n"/>
      <c r="AL126" s="238" t="n"/>
      <c r="AM126" s="238" t="n"/>
      <c r="AN126" s="238" t="n"/>
      <c r="AO126" s="238" t="n"/>
      <c r="AP126" s="238" t="n"/>
      <c r="AQ126" s="238" t="n"/>
      <c r="AR126" s="238" t="n"/>
      <c r="AS126" s="238" t="n"/>
      <c r="AT126" s="238" t="n"/>
      <c r="AU126" s="238" t="n"/>
      <c r="AV126" s="238" t="n"/>
      <c r="AW126" s="238" t="n"/>
      <c r="AX126" s="238" t="n"/>
      <c r="AY126" s="238" t="n"/>
      <c r="AZ126" s="238" t="n"/>
      <c r="BA126" s="238" t="n"/>
      <c r="BB126" s="238" t="n"/>
      <c r="BC126" s="238" t="n"/>
      <c r="BD126" s="238" t="n"/>
      <c r="BE126" s="238" t="n"/>
      <c r="BF126" s="238" t="n"/>
      <c r="BG126" s="238" t="n"/>
      <c r="BH126" s="238" t="n"/>
      <c r="BI126" s="238" t="n"/>
      <c r="BJ126" s="238" t="n"/>
      <c r="BK126" s="238" t="n"/>
      <c r="BL126" s="238" t="n"/>
      <c r="BM126" s="238" t="n"/>
      <c r="BN126" s="238" t="n"/>
      <c r="BO126" s="238" t="n"/>
      <c r="BP126" s="238" t="n"/>
      <c r="BQ126" s="238" t="n"/>
      <c r="BR126" s="238" t="n"/>
      <c r="BS126" s="238" t="n"/>
      <c r="BT126" s="238" t="n"/>
      <c r="BU126" s="238" t="n"/>
      <c r="BV126" s="238" t="n"/>
      <c r="BW126" s="238" t="n"/>
      <c r="BX126" s="238" t="n"/>
      <c r="BY126" s="238" t="n"/>
      <c r="BZ126" s="238" t="n"/>
      <c r="CA126" s="238" t="n"/>
      <c r="CB126" s="238" t="n"/>
      <c r="CC126" s="238" t="n"/>
      <c r="CD126" s="238" t="n"/>
      <c r="CE126" s="238" t="n"/>
      <c r="CF126" s="238" t="n"/>
      <c r="CG126" s="238" t="n"/>
      <c r="CH126" s="238" t="n"/>
      <c r="CI126" s="238" t="n"/>
      <c r="CJ126" s="238" t="n"/>
      <c r="CK126" s="238" t="n"/>
      <c r="CL126" s="238" t="n"/>
      <c r="CM126" s="238" t="n"/>
      <c r="CN126" s="238" t="n"/>
      <c r="CO126" s="238" t="n"/>
      <c r="CP126" s="238" t="n"/>
      <c r="CQ126" s="238" t="n"/>
      <c r="CR126" s="238" t="n"/>
      <c r="CS126" s="238" t="n"/>
      <c r="CT126" s="238" t="n"/>
      <c r="CU126" s="238" t="n"/>
      <c r="CV126" s="238" t="n"/>
      <c r="CW126" s="238" t="n"/>
      <c r="CX126" s="238" t="n"/>
      <c r="CY126" s="238" t="n"/>
      <c r="CZ126" s="238" t="n"/>
      <c r="DA126" s="238" t="n"/>
      <c r="DB126" s="238" t="n"/>
      <c r="DC126" s="238" t="n"/>
      <c r="DD126" s="238" t="n"/>
      <c r="DE126" s="238" t="n"/>
      <c r="DF126" s="238" t="n"/>
      <c r="DG126" s="238" t="n"/>
      <c r="DH126" s="238" t="n"/>
      <c r="DI126" s="238" t="n"/>
      <c r="DJ126" s="238" t="n"/>
      <c r="DK126" s="238" t="n"/>
      <c r="DL126" s="238" t="n"/>
      <c r="DM126" s="238" t="n"/>
      <c r="DN126" s="238" t="n"/>
      <c r="DO126" s="238" t="n"/>
      <c r="DP126" s="238" t="n"/>
      <c r="DQ126" s="238" t="n"/>
      <c r="DR126" s="238" t="n"/>
      <c r="DS126" s="238" t="n"/>
      <c r="DT126" s="238" t="n"/>
      <c r="DU126" s="238" t="n"/>
      <c r="DV126" s="238" t="n"/>
      <c r="DW126" s="238" t="n"/>
      <c r="DX126" s="238" t="n"/>
      <c r="DY126" s="238" t="n"/>
      <c r="DZ126" s="24" t="n"/>
      <c r="FQ126" s="212" t="n"/>
      <c r="FR126" s="212" t="n"/>
      <c r="FS126" s="212" t="n"/>
      <c r="FT126" s="212" t="n"/>
      <c r="FU126" s="212" t="n"/>
      <c r="FV126" s="212" t="n"/>
      <c r="FW126" s="212" t="n"/>
      <c r="FX126" s="212" t="n"/>
      <c r="FY126" s="212" t="n"/>
      <c r="FZ126" s="212" t="n"/>
    </row>
    <row r="127" ht="36" customFormat="1" customHeight="1" s="5">
      <c r="A127" s="9" t="inlineStr">
        <is>
          <t>A</t>
        </is>
      </c>
      <c r="B127" s="89" t="inlineStr">
        <is>
          <t>0.001-0.083</t>
        </is>
      </c>
      <c r="C127" s="225" t="inlineStr">
        <is>
          <t>0.140-0.149</t>
        </is>
      </c>
      <c r="D127" s="448" t="n"/>
      <c r="E127" s="448" t="n"/>
      <c r="F127" s="448" t="n"/>
      <c r="G127" s="448" t="n"/>
      <c r="H127" s="448" t="n"/>
      <c r="I127" s="448" t="n"/>
      <c r="J127" s="448" t="n"/>
      <c r="K127" s="448" t="n"/>
      <c r="L127" s="449" t="n"/>
      <c r="M127" s="227" t="inlineStr">
        <is>
          <t>OUTSIDE DIAMETER:</t>
        </is>
      </c>
      <c r="N127" s="458" t="n"/>
      <c r="O127" s="458" t="n"/>
      <c r="P127" s="458" t="n"/>
      <c r="Q127" s="458" t="n"/>
      <c r="R127" s="458" t="n"/>
      <c r="S127" s="458" t="n"/>
      <c r="T127" s="458" t="n"/>
      <c r="U127" s="458" t="n"/>
      <c r="V127" s="458" t="n"/>
      <c r="W127" s="458" t="n"/>
      <c r="X127" s="458" t="n"/>
      <c r="Y127" s="458" t="n"/>
      <c r="Z127" s="230" t="n">
        <v>3</v>
      </c>
      <c r="AA127" s="458" t="n"/>
      <c r="AB127" s="458" t="n"/>
      <c r="AC127" s="458" t="n"/>
      <c r="AD127" s="458" t="n"/>
      <c r="AE127" s="458" t="n"/>
      <c r="AF127" s="446" t="n"/>
      <c r="AG127" s="459" t="inlineStr">
        <is>
          <t>INSPECTION RESULTS</t>
        </is>
      </c>
      <c r="AH127" s="458" t="n"/>
      <c r="AI127" s="458" t="n"/>
      <c r="AJ127" s="458" t="n"/>
      <c r="AK127" s="458" t="n"/>
      <c r="AL127" s="458" t="n"/>
      <c r="AM127" s="458" t="n"/>
      <c r="AN127" s="458" t="n"/>
      <c r="AO127" s="458" t="n"/>
      <c r="AP127" s="458" t="n"/>
      <c r="AQ127" s="458" t="n"/>
      <c r="AR127" s="458" t="n"/>
      <c r="AS127" s="458" t="n"/>
      <c r="AT127" s="458" t="n"/>
      <c r="AU127" s="458" t="n"/>
      <c r="AV127" s="446" t="n"/>
      <c r="AW127" s="460" t="n"/>
      <c r="AX127" s="458" t="n"/>
      <c r="AY127" s="458" t="n"/>
      <c r="AZ127" s="458" t="n"/>
      <c r="BA127" s="458" t="n"/>
      <c r="BB127" s="458" t="n"/>
      <c r="BC127" s="458" t="n"/>
      <c r="BD127" s="458" t="n"/>
      <c r="BE127" s="458" t="n"/>
      <c r="BF127" s="458" t="n"/>
      <c r="BG127" s="458" t="n"/>
      <c r="BH127" s="458" t="n"/>
      <c r="BI127" s="458" t="n"/>
      <c r="BJ127" s="458" t="n"/>
      <c r="BK127" s="458" t="n"/>
      <c r="BL127" s="458" t="n"/>
      <c r="BM127" s="458" t="n"/>
      <c r="BN127" s="458" t="n"/>
      <c r="BO127" s="458" t="n"/>
      <c r="BP127" s="458" t="n"/>
      <c r="BQ127" s="458" t="n"/>
      <c r="BR127" s="461" t="inlineStr">
        <is>
          <t>APPLIED TECHNICAL SERVICES 
1049 Triad Court
Marietta, Georgia 30062
Office # (770) 423-1400
Fax # (770) 514-3299
www.atslab.com</t>
        </is>
      </c>
      <c r="BS127" s="458" t="n"/>
      <c r="BT127" s="458" t="n"/>
      <c r="BU127" s="458" t="n"/>
      <c r="BV127" s="458" t="n"/>
      <c r="BW127" s="458" t="n"/>
      <c r="BX127" s="458" t="n"/>
      <c r="BY127" s="458" t="n"/>
      <c r="BZ127" s="458" t="n"/>
      <c r="CA127" s="458" t="n"/>
      <c r="CB127" s="458" t="n"/>
      <c r="CC127" s="458" t="n"/>
      <c r="CD127" s="458" t="n"/>
      <c r="CE127" s="458" t="n"/>
      <c r="CF127" s="458" t="n"/>
      <c r="CG127" s="458" t="n"/>
      <c r="CH127" s="458" t="n"/>
      <c r="CI127" s="458" t="n"/>
      <c r="CJ127" s="458" t="n"/>
      <c r="CK127" s="446" t="n"/>
      <c r="CL127" s="462" t="inlineStr">
        <is>
          <t xml:space="preserve">EXAMPLE PAPER </t>
        </is>
      </c>
      <c r="CM127" s="458" t="n"/>
      <c r="CN127" s="458" t="n"/>
      <c r="CO127" s="458" t="n"/>
      <c r="CP127" s="458" t="n"/>
      <c r="CQ127" s="458" t="n"/>
      <c r="CR127" s="458" t="n"/>
      <c r="CS127" s="458" t="n"/>
      <c r="CT127" s="458" t="n"/>
      <c r="CU127" s="458" t="n"/>
      <c r="CV127" s="458" t="n"/>
      <c r="CW127" s="458" t="n"/>
      <c r="CX127" s="458" t="n"/>
      <c r="CY127" s="458" t="n"/>
      <c r="CZ127" s="458" t="n"/>
      <c r="DA127" s="458" t="n"/>
      <c r="DB127" s="458" t="n"/>
      <c r="DC127" s="458" t="n"/>
      <c r="DD127" s="458" t="n"/>
      <c r="DE127" s="458" t="n"/>
      <c r="DF127" s="458" t="n"/>
      <c r="DG127" s="458" t="n"/>
      <c r="DH127" s="458" t="n"/>
      <c r="DI127" s="458" t="n"/>
      <c r="DJ127" s="458" t="n"/>
      <c r="DK127" s="458" t="n"/>
      <c r="DL127" s="458" t="n"/>
      <c r="DM127" s="458" t="n"/>
      <c r="DN127" s="458" t="n"/>
      <c r="DO127" s="458" t="n"/>
      <c r="DP127" s="458" t="n"/>
      <c r="DQ127" s="458" t="n"/>
      <c r="DR127" s="458" t="n"/>
      <c r="DS127" s="458" t="n"/>
      <c r="DT127" s="458" t="n"/>
      <c r="DU127" s="458" t="n"/>
      <c r="DV127" s="458" t="n"/>
      <c r="DW127" s="458" t="n"/>
      <c r="DX127" s="458" t="n"/>
      <c r="DY127" s="458" t="n"/>
      <c r="DZ127" s="446" t="n"/>
      <c r="FQ127" s="212" t="n"/>
      <c r="FR127" s="212" t="n"/>
      <c r="FS127" s="212" t="n"/>
      <c r="FT127" s="212" t="n"/>
      <c r="FU127" s="212" t="n"/>
      <c r="FV127" s="212" t="n"/>
      <c r="FW127" s="212" t="n"/>
      <c r="FX127" s="212" t="n"/>
      <c r="FY127" s="212" t="n"/>
      <c r="FZ127" s="212" t="n"/>
    </row>
    <row r="128" ht="36" customFormat="1" customHeight="1" s="5">
      <c r="A128" s="234" t="inlineStr">
        <is>
          <t>LEGEND</t>
        </is>
      </c>
      <c r="B128" s="90" t="inlineStr">
        <is>
          <t>0.100-0.109</t>
        </is>
      </c>
      <c r="C128" s="235" t="inlineStr">
        <is>
          <t>0.150-0.159</t>
        </is>
      </c>
      <c r="D128" s="448" t="n"/>
      <c r="E128" s="448" t="n"/>
      <c r="F128" s="448" t="n"/>
      <c r="G128" s="448" t="n"/>
      <c r="H128" s="448" t="n"/>
      <c r="I128" s="448" t="n"/>
      <c r="J128" s="448" t="n"/>
      <c r="K128" s="448" t="n"/>
      <c r="L128" s="449" t="n"/>
      <c r="M128" s="237" t="inlineStr">
        <is>
          <t>TUBE MATERIAL:</t>
        </is>
      </c>
      <c r="Z128" s="239" t="inlineStr">
        <is>
          <t>SA-210A1</t>
        </is>
      </c>
      <c r="AG128" s="240">
        <f>TRUNC(MAX(D4:BT6,D7:BT9,D10:BT12,D13:BT15,D16:BT18,D19:BT21,D22:BT24,D25:BT27,D28:BT30,D31:BT33,D34:BT36,D37:BT39,D40:BT42,D43:BT45,D46:BT48,D49:BT51,D52:BT54,D55:BT57,D58:BT60,D61:BT63,D64:BT66,D67:BT69,D70:BT72,D73:BT75,D76:BT78,D79:BT81,D82:BT84,D85:BT87,D88:BT90,D91:BT93,D94:BT96,D97:BT99,D100:BT102,D103:BT105,D106:BT108,D109:BT111),3)</f>
        <v/>
      </c>
      <c r="AH128" s="458" t="n"/>
      <c r="AI128" s="458" t="n"/>
      <c r="AJ128" s="458" t="n"/>
      <c r="AK128" s="458" t="n"/>
      <c r="AL128" s="463" t="inlineStr">
        <is>
          <t>MAX. THICKNESS</t>
        </is>
      </c>
      <c r="AM128" s="458" t="n"/>
      <c r="AN128" s="458" t="n"/>
      <c r="AO128" s="458" t="n"/>
      <c r="AP128" s="458" t="n"/>
      <c r="AQ128" s="458" t="n"/>
      <c r="AR128" s="458" t="n"/>
      <c r="AS128" s="458" t="n"/>
      <c r="AT128" s="458" t="n"/>
      <c r="AU128" s="458" t="n"/>
      <c r="AV128" s="446" t="n"/>
      <c r="AW128" s="13" t="n"/>
      <c r="CK128" s="464" t="n"/>
      <c r="CL128" s="465" t="inlineStr">
        <is>
          <t>RIVERDALE MILL</t>
        </is>
      </c>
      <c r="DZ128" s="464" t="n"/>
      <c r="FQ128" s="212" t="n"/>
      <c r="FR128" s="212" t="n"/>
      <c r="FS128" s="212" t="n"/>
      <c r="FT128" s="212" t="n"/>
      <c r="FU128" s="212" t="n"/>
      <c r="FV128" s="212" t="n"/>
      <c r="FW128" s="212" t="n"/>
      <c r="FX128" s="212" t="n"/>
      <c r="FY128" s="212" t="n"/>
      <c r="FZ128" s="212" t="n"/>
    </row>
    <row r="129" ht="36" customHeight="1">
      <c r="A129" s="456" t="n"/>
      <c r="B129" s="91" t="inlineStr">
        <is>
          <t>0.110-0.119</t>
        </is>
      </c>
      <c r="C129" s="245" t="inlineStr">
        <is>
          <t>0.160-0.169</t>
        </is>
      </c>
      <c r="D129" s="448" t="n"/>
      <c r="E129" s="448" t="n"/>
      <c r="F129" s="448" t="n"/>
      <c r="G129" s="448" t="n"/>
      <c r="H129" s="448" t="n"/>
      <c r="I129" s="448" t="n"/>
      <c r="J129" s="448" t="n"/>
      <c r="K129" s="448" t="n"/>
      <c r="L129" s="449" t="n"/>
      <c r="M129" s="237" t="inlineStr">
        <is>
          <t>NOMINAL WALL:</t>
        </is>
      </c>
      <c r="Z129" s="247" t="n">
        <v>0.203</v>
      </c>
      <c r="AG129" s="248">
        <f>TRUNC(AVERAGE(D4:BT6,D7:BT9,D10:BT12,D13:BT15,D16:BT18,D19:BT21,D22:BT24,D25:BT27,D28:BT30,D31:BT33,D34:BT36,D37:BT39,D40:BT42,D43:BT45,D46:BT48,D49:BT51,D52:BT54,D55:BT57,D58:BT60,D61:BT63,D64:BT66,D67:BT69,D70:BT72,D73:BT75,D76:BT78,D79:BT81,D82:BT84,D85:BT87,D88:BT90,D91:BT93,D94:BT96,D97:BT99,D100:BT102,D103:BT105,D106:BT108,D109:BT111),3)</f>
        <v/>
      </c>
      <c r="AL129" s="466" t="inlineStr">
        <is>
          <t>AVG. THICKNESS</t>
        </is>
      </c>
      <c r="AV129" s="464" t="n"/>
      <c r="AW129" s="13" t="n"/>
      <c r="CK129" s="464" t="n"/>
      <c r="CL129" s="467" t="inlineStr">
        <is>
          <t>TUBE WALL THICKNESS SURVEY</t>
        </is>
      </c>
      <c r="DZ129" s="464" t="n"/>
    </row>
    <row r="130" ht="36" customHeight="1">
      <c r="A130" s="456" t="n"/>
      <c r="B130" s="92" t="inlineStr">
        <is>
          <t>0.120-0.129</t>
        </is>
      </c>
      <c r="C130" s="253" t="inlineStr">
        <is>
          <t>0.170-0.179</t>
        </is>
      </c>
      <c r="D130" s="448" t="n"/>
      <c r="E130" s="448" t="n"/>
      <c r="F130" s="448" t="n"/>
      <c r="G130" s="448" t="n"/>
      <c r="H130" s="448" t="n"/>
      <c r="I130" s="448" t="n"/>
      <c r="J130" s="448" t="n"/>
      <c r="K130" s="448" t="n"/>
      <c r="L130" s="449" t="n"/>
      <c r="M130" s="237" t="inlineStr">
        <is>
          <t>ASME MIN:</t>
        </is>
      </c>
      <c r="Z130" s="255" t="n">
        <v>0.083</v>
      </c>
      <c r="AG130" s="256">
        <f>TRUNC(MIN(D4:BT6,D7:BT9,D10:BT12,D13:BT15,D16:BT18,D19:BT21,D22:BT24,D25:BT27,D28:BT30,D31:BT33,D34:BT36,D37:BT39,D40:BT42,D43:BT45,D46:BT48,D49:BT51,D52:BT54,D55:BT57,D58:BT60,D61:BT63,D64:BT66,D67:BT69,D70:BT72,D73:BT75,D76:BT78,D79:BT81,D82:BT84,D85:BT87,D88:BT90,D91:BT93,D94:BT96,D97:BT99,D100:BT102,D103:BT105,D106:BT108,D109:BT111),3)</f>
        <v/>
      </c>
      <c r="AL130" s="466" t="inlineStr">
        <is>
          <t>MIN. THICKNESS</t>
        </is>
      </c>
      <c r="AV130" s="464" t="n"/>
      <c r="AW130" s="14" t="n"/>
      <c r="AX130" s="468" t="n"/>
      <c r="AY130" s="468" t="n"/>
      <c r="AZ130" s="468" t="n"/>
      <c r="BA130" s="468" t="n"/>
      <c r="BB130" s="468" t="n"/>
      <c r="BC130" s="468" t="n"/>
      <c r="BD130" s="468" t="n"/>
      <c r="BE130" s="468" t="n"/>
      <c r="BF130" s="468" t="n"/>
      <c r="BG130" s="468" t="n"/>
      <c r="BH130" s="468" t="n"/>
      <c r="BI130" s="468" t="n"/>
      <c r="BJ130" s="468" t="n"/>
      <c r="BK130" s="468" t="n"/>
      <c r="BL130" s="468" t="n"/>
      <c r="BM130" s="468" t="n"/>
      <c r="BN130" s="468" t="n"/>
      <c r="BO130" s="468" t="n"/>
      <c r="BP130" s="468" t="n"/>
      <c r="BQ130" s="468" t="n"/>
      <c r="BR130" s="468" t="n"/>
      <c r="BS130" s="468" t="n"/>
      <c r="BT130" s="468" t="n"/>
      <c r="BU130" s="468" t="n"/>
      <c r="BV130" s="468" t="n"/>
      <c r="BW130" s="468" t="n"/>
      <c r="BX130" s="468" t="n"/>
      <c r="BY130" s="468" t="n"/>
      <c r="BZ130" s="468" t="n"/>
      <c r="CA130" s="468" t="n"/>
      <c r="CB130" s="468" t="n"/>
      <c r="CC130" s="468" t="n"/>
      <c r="CD130" s="468" t="n"/>
      <c r="CE130" s="468" t="n"/>
      <c r="CF130" s="468" t="n"/>
      <c r="CG130" s="468" t="n"/>
      <c r="CH130" s="468" t="n"/>
      <c r="CI130" s="468" t="n"/>
      <c r="CJ130" s="468" t="n"/>
      <c r="CK130" s="451" t="n"/>
      <c r="CL130" s="467" t="inlineStr">
        <is>
          <t>NO. 1 RECOVERY BOILER</t>
        </is>
      </c>
      <c r="DZ130" s="464" t="n"/>
    </row>
    <row r="131" ht="36" customHeight="1">
      <c r="A131" s="469" t="n"/>
      <c r="B131" s="93" t="inlineStr">
        <is>
          <t>0.130-0.139</t>
        </is>
      </c>
      <c r="C131" s="257" t="inlineStr">
        <is>
          <t>0.180-0.999</t>
        </is>
      </c>
      <c r="D131" s="448" t="n"/>
      <c r="E131" s="448" t="n"/>
      <c r="F131" s="448" t="n"/>
      <c r="G131" s="448" t="n"/>
      <c r="H131" s="448" t="n"/>
      <c r="I131" s="448" t="n"/>
      <c r="J131" s="448" t="n"/>
      <c r="K131" s="448" t="n"/>
      <c r="L131" s="449" t="n"/>
      <c r="M131" s="258" t="inlineStr">
        <is>
          <t>MILL FLAG:</t>
        </is>
      </c>
      <c r="N131" s="468" t="n"/>
      <c r="O131" s="468" t="n"/>
      <c r="P131" s="468" t="n"/>
      <c r="Q131" s="468" t="n"/>
      <c r="R131" s="468" t="n"/>
      <c r="S131" s="468" t="n"/>
      <c r="T131" s="468" t="n"/>
      <c r="U131" s="468" t="n"/>
      <c r="V131" s="468" t="n"/>
      <c r="W131" s="468" t="n"/>
      <c r="X131" s="468" t="n"/>
      <c r="Y131" s="468" t="n"/>
      <c r="Z131" s="260" t="n">
        <v>0.1</v>
      </c>
      <c r="AA131" s="468" t="n"/>
      <c r="AB131" s="468" t="n"/>
      <c r="AC131" s="468" t="n"/>
      <c r="AD131" s="468" t="n"/>
      <c r="AE131" s="468" t="n"/>
      <c r="AF131" s="468" t="n"/>
      <c r="AG131" s="261">
        <f>STDEV(D4:BT6,D7:BT9,D10:BT12,D13:BT15,D16:BT18,D19:BT21,D22:BT24,D25:BT27,D28:BT30,D31:BT33,D34:BT36,D37:BT39,D40:BT42,D43:BT45,D46:BT48,D49:BT51,D52:BT54,D55:BT57,D58:BT60,D61:BT63,D64:BT66,D67:BT69,D70:BT72,D73:BT75,D76:BT78,D79:BT81,D82:BT84,D85:BT87,D88:BT90,D91:BT93,D94:BT96,D97:BT99,D100:BT102,D103:BT105,D106:BT108,D109:BT111)</f>
        <v/>
      </c>
      <c r="AH131" s="468" t="n"/>
      <c r="AI131" s="468" t="n"/>
      <c r="AJ131" s="468" t="n"/>
      <c r="AK131" s="468" t="n"/>
      <c r="AL131" s="470" t="inlineStr">
        <is>
          <t>STD DEV.</t>
        </is>
      </c>
      <c r="AM131" s="468" t="n"/>
      <c r="AN131" s="468" t="n"/>
      <c r="AO131" s="468" t="n"/>
      <c r="AP131" s="468" t="n"/>
      <c r="AQ131" s="468" t="n"/>
      <c r="AR131" s="468" t="n"/>
      <c r="AS131" s="468" t="n"/>
      <c r="AT131" s="468" t="n"/>
      <c r="AU131" s="468" t="n"/>
      <c r="AV131" s="451" t="n"/>
      <c r="AW131" s="208" t="inlineStr">
        <is>
          <t>Job #  H449364  P.O. #  0018342455 W.O. #  N/A   Date:  5/05/2025</t>
        </is>
      </c>
      <c r="AX131" s="448" t="n"/>
      <c r="AY131" s="448" t="n"/>
      <c r="AZ131" s="448" t="n"/>
      <c r="BA131" s="448" t="n"/>
      <c r="BB131" s="448" t="n"/>
      <c r="BC131" s="448" t="n"/>
      <c r="BD131" s="448" t="n"/>
      <c r="BE131" s="448" t="n"/>
      <c r="BF131" s="448" t="n"/>
      <c r="BG131" s="448" t="n"/>
      <c r="BH131" s="448" t="n"/>
      <c r="BI131" s="448" t="n"/>
      <c r="BJ131" s="448" t="n"/>
      <c r="BK131" s="448" t="n"/>
      <c r="BL131" s="448" t="n"/>
      <c r="BM131" s="448" t="n"/>
      <c r="BN131" s="448" t="n"/>
      <c r="BO131" s="448" t="n"/>
      <c r="BP131" s="448" t="n"/>
      <c r="BQ131" s="448" t="n"/>
      <c r="BR131" s="448" t="n"/>
      <c r="BS131" s="448" t="n"/>
      <c r="BT131" s="448" t="n"/>
      <c r="BU131" s="448" t="n"/>
      <c r="BV131" s="448" t="n"/>
      <c r="BW131" s="448" t="n"/>
      <c r="BX131" s="448" t="n"/>
      <c r="BY131" s="448" t="n"/>
      <c r="BZ131" s="448" t="n"/>
      <c r="CA131" s="448" t="n"/>
      <c r="CB131" s="448" t="n"/>
      <c r="CC131" s="448" t="n"/>
      <c r="CD131" s="448" t="n"/>
      <c r="CE131" s="448" t="n"/>
      <c r="CF131" s="448" t="n"/>
      <c r="CG131" s="448" t="n"/>
      <c r="CH131" s="448" t="n"/>
      <c r="CI131" s="448" t="n"/>
      <c r="CJ131" s="448" t="n"/>
      <c r="CK131" s="449" t="n"/>
      <c r="CL131" s="471" t="inlineStr">
        <is>
          <t>03 LEFT WALL W/ PORTS</t>
        </is>
      </c>
      <c r="CM131" s="468" t="n"/>
      <c r="CN131" s="468" t="n"/>
      <c r="CO131" s="468" t="n"/>
      <c r="CP131" s="468" t="n"/>
      <c r="CQ131" s="468" t="n"/>
      <c r="CR131" s="468" t="n"/>
      <c r="CS131" s="468" t="n"/>
      <c r="CT131" s="468" t="n"/>
      <c r="CU131" s="468" t="n"/>
      <c r="CV131" s="468" t="n"/>
      <c r="CW131" s="468" t="n"/>
      <c r="CX131" s="468" t="n"/>
      <c r="CY131" s="468" t="n"/>
      <c r="CZ131" s="468" t="n"/>
      <c r="DA131" s="468" t="n"/>
      <c r="DB131" s="468" t="n"/>
      <c r="DC131" s="468" t="n"/>
      <c r="DD131" s="468" t="n"/>
      <c r="DE131" s="468" t="n"/>
      <c r="DF131" s="468" t="n"/>
      <c r="DG131" s="468" t="n"/>
      <c r="DH131" s="468" t="n"/>
      <c r="DI131" s="468" t="n"/>
      <c r="DJ131" s="468" t="n"/>
      <c r="DK131" s="468" t="n"/>
      <c r="DL131" s="468" t="n"/>
      <c r="DM131" s="468" t="n"/>
      <c r="DN131" s="468" t="n"/>
      <c r="DO131" s="468" t="n"/>
      <c r="DP131" s="468" t="n"/>
      <c r="DQ131" s="468" t="n"/>
      <c r="DR131" s="468" t="n"/>
      <c r="DS131" s="468" t="n"/>
      <c r="DT131" s="468" t="n"/>
      <c r="DU131" s="468" t="n"/>
      <c r="DV131" s="468" t="n"/>
      <c r="DW131" s="468" t="n"/>
      <c r="DX131" s="468" t="n"/>
      <c r="DY131" s="468" t="n"/>
      <c r="DZ131" s="451" t="n"/>
    </row>
    <row r="132" ht="36" customHeight="1">
      <c r="B132" s="16" t="inlineStr">
        <is>
          <t>THICKNESS</t>
        </is>
      </c>
    </row>
    <row r="133" ht="36" customHeight="1">
      <c r="V133" s="212" t="n"/>
      <c r="W133" s="212" t="n"/>
      <c r="X133" s="212" t="n"/>
      <c r="Y133" s="212" t="n"/>
      <c r="Z133" s="212" t="n"/>
      <c r="AA133" s="212" t="n"/>
      <c r="AB133" s="212" t="n"/>
      <c r="AC133" s="212" t="n"/>
      <c r="AD133" s="212" t="n"/>
      <c r="AE133" s="212" t="n"/>
      <c r="AF133" s="212" t="n"/>
      <c r="AG133" s="212" t="n"/>
      <c r="AH133" s="212" t="n"/>
      <c r="AI133" s="212" t="n"/>
      <c r="AJ133" s="212" t="n"/>
      <c r="AK133" s="212" t="n"/>
      <c r="AL133" s="212" t="n"/>
      <c r="AM133" s="212" t="n"/>
      <c r="AN133" s="212" t="n"/>
      <c r="AO133" s="212" t="n"/>
      <c r="AP133" s="212" t="n"/>
      <c r="AQ133" s="212" t="n"/>
      <c r="AR133" s="212" t="n"/>
      <c r="AS133" s="212" t="n"/>
      <c r="AT133" s="212" t="n"/>
      <c r="AU133" s="212" t="n"/>
    </row>
    <row r="134" ht="36" customHeight="1">
      <c r="V134" s="212" t="n"/>
      <c r="W134" s="212" t="n"/>
      <c r="X134" s="212" t="n"/>
      <c r="Y134" s="212" t="n"/>
      <c r="Z134" s="212" t="n"/>
      <c r="AA134" s="212" t="n"/>
      <c r="AB134" s="212" t="n"/>
      <c r="AC134" s="212" t="n"/>
      <c r="AD134" s="212" t="n"/>
      <c r="AE134" s="212" t="n"/>
      <c r="AF134" s="212" t="n"/>
      <c r="AG134" s="212" t="n"/>
      <c r="AH134" s="212" t="n"/>
      <c r="AI134" s="212" t="n"/>
      <c r="AJ134" s="212" t="n"/>
      <c r="AK134" s="212" t="n"/>
      <c r="AL134" s="212" t="n"/>
      <c r="AM134" s="212" t="n"/>
      <c r="AN134" s="212" t="n"/>
      <c r="AO134" s="212" t="n"/>
      <c r="AP134" s="212" t="n"/>
      <c r="AQ134" s="212" t="n"/>
      <c r="AR134" s="212" t="n"/>
      <c r="AS134" s="212" t="n"/>
      <c r="AT134" s="212" t="n"/>
      <c r="AU134" s="212" t="n"/>
      <c r="BJ134" s="212" t="n"/>
      <c r="BK134" s="212" t="n"/>
      <c r="BL134" s="212" t="n"/>
      <c r="BM134" s="212" t="n"/>
      <c r="BN134" s="212" t="n"/>
      <c r="BO134" s="212" t="n"/>
      <c r="BP134" s="212" t="n"/>
      <c r="BQ134" s="212" t="n"/>
      <c r="BR134" s="212" t="n"/>
      <c r="BS134" s="212" t="n"/>
      <c r="BT134" s="212" t="n"/>
      <c r="BU134" s="212" t="n"/>
      <c r="BV134" s="212" t="n"/>
      <c r="BW134" s="212" t="n"/>
      <c r="BX134" s="212" t="n"/>
      <c r="BY134" s="212" t="n"/>
      <c r="BZ134" s="212" t="n"/>
      <c r="CA134" s="212" t="n"/>
      <c r="CB134" s="212" t="n"/>
      <c r="CC134" s="212" t="n"/>
      <c r="CD134" s="212" t="n"/>
      <c r="CE134" s="212" t="n"/>
      <c r="CF134" s="212" t="n"/>
      <c r="CG134" s="212" t="n"/>
      <c r="CH134" s="212" t="n"/>
      <c r="CI134" s="212" t="n"/>
      <c r="CJ134" s="212" t="n"/>
      <c r="CK134" s="212" t="n"/>
      <c r="CL134" s="212" t="n"/>
      <c r="CM134" s="212" t="n"/>
      <c r="CN134" s="212" t="n"/>
      <c r="CO134" s="212" t="n"/>
      <c r="CP134" s="212" t="n"/>
      <c r="CQ134" s="212" t="n"/>
      <c r="CR134" s="212" t="n"/>
      <c r="CS134" s="212" t="n"/>
      <c r="CT134" s="212" t="n"/>
      <c r="CU134" s="212" t="n"/>
      <c r="CV134" s="212" t="n"/>
      <c r="CW134" s="212" t="n"/>
      <c r="CZ134" s="212" t="n"/>
      <c r="DA134" s="212" t="n"/>
      <c r="DB134" s="212" t="n"/>
      <c r="DC134" s="212" t="n"/>
      <c r="DD134" s="212" t="n"/>
      <c r="DE134" s="212" t="n"/>
      <c r="DF134" s="212" t="n"/>
      <c r="DG134" s="212" t="n"/>
      <c r="DH134" s="212" t="n"/>
      <c r="DI134" s="212" t="n"/>
      <c r="DJ134" s="212" t="n"/>
      <c r="DK134" s="212" t="n"/>
      <c r="DL134" s="212" t="n"/>
      <c r="DM134" s="212" t="n"/>
      <c r="DN134" s="212" t="n"/>
      <c r="DO134" s="212" t="n"/>
      <c r="DP134" s="212" t="n"/>
      <c r="DQ134" s="212" t="n"/>
      <c r="DR134" s="212" t="n"/>
      <c r="DS134" s="212" t="n"/>
      <c r="DT134" s="212" t="n"/>
      <c r="DU134" s="212" t="n"/>
      <c r="DV134" s="212" t="n"/>
    </row>
    <row r="135">
      <c r="V135" s="212" t="n"/>
      <c r="W135" s="212" t="n"/>
      <c r="X135" s="212" t="n"/>
      <c r="Y135" s="212" t="n"/>
      <c r="Z135" s="212" t="n"/>
      <c r="AA135" s="212" t="n"/>
      <c r="AB135" s="212" t="n"/>
      <c r="AC135" s="212" t="n"/>
      <c r="AD135" s="212" t="n"/>
      <c r="AE135" s="212" t="n"/>
      <c r="AF135" s="212" t="n"/>
      <c r="AG135" s="212" t="n"/>
      <c r="AH135" s="212" t="n"/>
      <c r="AI135" s="212" t="n"/>
      <c r="AJ135" s="212" t="n"/>
      <c r="AK135" s="212" t="n"/>
      <c r="AL135" s="212" t="n"/>
      <c r="AM135" s="212" t="n"/>
      <c r="AN135" s="212" t="n"/>
      <c r="AO135" s="212" t="n"/>
      <c r="AP135" s="212" t="n"/>
      <c r="AQ135" s="212" t="n"/>
      <c r="AR135" s="212" t="n"/>
      <c r="AS135" s="212" t="n"/>
      <c r="AT135" s="212" t="n"/>
      <c r="AU135" s="212" t="n"/>
      <c r="BJ135" s="212" t="n"/>
      <c r="BK135" s="212" t="n"/>
      <c r="BL135" s="212" t="n"/>
      <c r="BM135" s="212" t="n"/>
      <c r="BN135" s="212" t="n"/>
      <c r="BO135" s="212" t="n"/>
      <c r="BP135" s="212" t="n"/>
      <c r="BQ135" s="212" t="n"/>
      <c r="BR135" s="461" t="inlineStr">
        <is>
          <t>APPLIED TECHNICAL SERVICES 
1049 Triad Court
Marietta, Georgia 30062
Office # (770) 423-1400
Fax # (770) 514-3299
www.atslab.com</t>
        </is>
      </c>
      <c r="BS135" s="458" t="n"/>
      <c r="BT135" s="458" t="n"/>
      <c r="BU135" s="458" t="n"/>
      <c r="BV135" s="458" t="n"/>
      <c r="BW135" s="458" t="n"/>
      <c r="BX135" s="458" t="n"/>
      <c r="BY135" s="458" t="n"/>
      <c r="BZ135" s="458" t="n"/>
      <c r="CA135" s="458" t="n"/>
      <c r="CB135" s="458" t="n"/>
      <c r="CC135" s="458" t="n"/>
      <c r="CD135" s="458" t="n"/>
      <c r="CE135" s="458" t="n"/>
      <c r="CF135" s="458" t="n"/>
      <c r="CG135" s="458" t="n"/>
      <c r="CH135" s="458" t="n"/>
      <c r="CI135" s="458" t="n"/>
      <c r="CJ135" s="458" t="n"/>
      <c r="CK135" s="446" t="n"/>
      <c r="CL135" s="212" t="n"/>
      <c r="CM135" s="212" t="n"/>
      <c r="CN135" s="212" t="n"/>
      <c r="CO135" s="212" t="n"/>
      <c r="CP135" s="212" t="n"/>
      <c r="CQ135" s="212" t="n"/>
      <c r="CR135" s="212" t="n"/>
      <c r="CS135" s="212" t="n"/>
      <c r="CT135" s="212" t="n"/>
      <c r="CU135" s="212" t="n"/>
      <c r="CV135" s="212" t="n"/>
      <c r="CW135" s="212" t="n"/>
      <c r="CZ135" s="212" t="n"/>
      <c r="DA135" s="212" t="n"/>
      <c r="DB135" s="212" t="n"/>
      <c r="DC135" s="212" t="n"/>
      <c r="DD135" s="212" t="n"/>
      <c r="DE135" s="212" t="n"/>
      <c r="DF135" s="212" t="n"/>
      <c r="DG135" s="212" t="n"/>
      <c r="DH135" s="212" t="n"/>
      <c r="DI135" s="212" t="n"/>
      <c r="DJ135" s="212" t="n"/>
      <c r="DK135" s="212" t="n"/>
      <c r="DL135" s="212" t="n"/>
      <c r="DM135" s="212" t="n"/>
      <c r="DN135" s="212" t="n"/>
      <c r="DO135" s="212" t="n"/>
      <c r="DP135" s="212" t="n"/>
      <c r="DQ135" s="212" t="n"/>
      <c r="DR135" s="212" t="n"/>
      <c r="DS135" s="212" t="n"/>
      <c r="DT135" s="212" t="n"/>
      <c r="DU135" s="212" t="n"/>
      <c r="DV135" s="212" t="n"/>
    </row>
    <row r="136">
      <c r="BJ136" s="212" t="n"/>
      <c r="BK136" s="212" t="n"/>
      <c r="BL136" s="212" t="n"/>
      <c r="BM136" s="212" t="n"/>
      <c r="BN136" s="212" t="n"/>
      <c r="BO136" s="212" t="n"/>
      <c r="BP136" s="212" t="n"/>
      <c r="BQ136" s="212" t="n"/>
      <c r="CK136" s="464" t="n"/>
      <c r="CL136" s="212" t="n"/>
      <c r="CM136" s="212" t="n"/>
      <c r="CN136" s="212" t="n"/>
      <c r="CO136" s="212" t="n"/>
      <c r="CP136" s="212" t="n"/>
      <c r="CQ136" s="212" t="n"/>
      <c r="CR136" s="212" t="n"/>
      <c r="CS136" s="212" t="n"/>
      <c r="CT136" s="212" t="n"/>
      <c r="CU136" s="212" t="n"/>
      <c r="CV136" s="212" t="n"/>
      <c r="CW136" s="212" t="n"/>
      <c r="CZ136" s="212" t="n"/>
      <c r="DA136" s="212" t="n"/>
      <c r="DB136" s="212" t="n"/>
      <c r="DC136" s="212" t="n"/>
      <c r="DD136" s="212" t="n"/>
      <c r="DE136" s="212" t="n"/>
      <c r="DF136" s="212" t="n"/>
      <c r="DG136" s="212" t="n"/>
      <c r="DH136" s="212" t="n"/>
      <c r="DI136" s="212" t="n"/>
      <c r="DJ136" s="212" t="n"/>
      <c r="DK136" s="212" t="n"/>
      <c r="DL136" s="212" t="n"/>
      <c r="DM136" s="212" t="n"/>
      <c r="DN136" s="212" t="n"/>
      <c r="DO136" s="212" t="n"/>
      <c r="DP136" s="212" t="n"/>
      <c r="DQ136" s="212" t="n"/>
      <c r="DR136" s="212" t="n"/>
      <c r="DS136" s="212" t="n"/>
      <c r="DT136" s="212" t="n"/>
      <c r="DU136" s="212" t="n"/>
      <c r="DV136" s="212" t="n"/>
    </row>
    <row r="137">
      <c r="CK137" s="464" t="n"/>
    </row>
    <row r="138">
      <c r="BR138" s="468" t="n"/>
      <c r="BS138" s="468" t="n"/>
      <c r="BT138" s="468" t="n"/>
      <c r="BU138" s="468" t="n"/>
      <c r="BV138" s="468" t="n"/>
      <c r="BW138" s="468" t="n"/>
      <c r="BX138" s="468" t="n"/>
      <c r="BY138" s="468" t="n"/>
      <c r="BZ138" s="468" t="n"/>
      <c r="CA138" s="468" t="n"/>
      <c r="CB138" s="468" t="n"/>
      <c r="CC138" s="468" t="n"/>
      <c r="CD138" s="468" t="n"/>
      <c r="CE138" s="468" t="n"/>
      <c r="CF138" s="468" t="n"/>
      <c r="CG138" s="468" t="n"/>
      <c r="CH138" s="468" t="n"/>
      <c r="CI138" s="468" t="n"/>
      <c r="CJ138" s="468" t="n"/>
      <c r="CK138" s="451" t="n"/>
    </row>
    <row r="139"/>
    <row r="140">
      <c r="BR140" s="461" t="inlineStr">
        <is>
          <t>APPLIED TECHNICAL SERVICES 
1325-B Cavalier Boulevard               Chesapeake, Virginia 23323                (757) 558-0016 Fax (757) 558-0063
www.atslab.com</t>
        </is>
      </c>
      <c r="BS140" s="458" t="n"/>
      <c r="BT140" s="458" t="n"/>
      <c r="BU140" s="458" t="n"/>
      <c r="BV140" s="458" t="n"/>
      <c r="BW140" s="458" t="n"/>
      <c r="BX140" s="458" t="n"/>
      <c r="BY140" s="458" t="n"/>
      <c r="BZ140" s="458" t="n"/>
      <c r="CA140" s="458" t="n"/>
      <c r="CB140" s="458" t="n"/>
      <c r="CC140" s="458" t="n"/>
      <c r="CD140" s="458" t="n"/>
      <c r="CE140" s="458" t="n"/>
      <c r="CF140" s="458" t="n"/>
      <c r="CG140" s="458" t="n"/>
      <c r="CH140" s="458" t="n"/>
      <c r="CI140" s="458" t="n"/>
      <c r="CJ140" s="458" t="n"/>
      <c r="CK140" s="446" t="n"/>
    </row>
    <row r="141">
      <c r="CK141" s="464" t="n"/>
    </row>
    <row r="142">
      <c r="CK142" s="464" t="n"/>
    </row>
    <row r="143">
      <c r="BR143" s="468" t="n"/>
      <c r="BS143" s="468" t="n"/>
      <c r="BT143" s="468" t="n"/>
      <c r="BU143" s="468" t="n"/>
      <c r="BV143" s="468" t="n"/>
      <c r="BW143" s="468" t="n"/>
      <c r="BX143" s="468" t="n"/>
      <c r="BY143" s="468" t="n"/>
      <c r="BZ143" s="468" t="n"/>
      <c r="CA143" s="468" t="n"/>
      <c r="CB143" s="468" t="n"/>
      <c r="CC143" s="468" t="n"/>
      <c r="CD143" s="468" t="n"/>
      <c r="CE143" s="468" t="n"/>
      <c r="CF143" s="468" t="n"/>
      <c r="CG143" s="468" t="n"/>
      <c r="CH143" s="468" t="n"/>
      <c r="CI143" s="468" t="n"/>
      <c r="CJ143" s="468" t="n"/>
      <c r="CK143" s="451" t="n"/>
    </row>
    <row r="144"/>
    <row r="145">
      <c r="BR145" s="461" t="inlineStr">
        <is>
          <t>APPLIED TECHNICAL SERVICES 
2312 Commerce Ctr. Dr., Suite A                           Rockville, Virginia 23146                          (804) 550-7610 Fax (804) 550-7611                           www.atslab.com</t>
        </is>
      </c>
      <c r="BS145" s="458" t="n"/>
      <c r="BT145" s="458" t="n"/>
      <c r="BU145" s="458" t="n"/>
      <c r="BV145" s="458" t="n"/>
      <c r="BW145" s="458" t="n"/>
      <c r="BX145" s="458" t="n"/>
      <c r="BY145" s="458" t="n"/>
      <c r="BZ145" s="458" t="n"/>
      <c r="CA145" s="458" t="n"/>
      <c r="CB145" s="458" t="n"/>
      <c r="CC145" s="458" t="n"/>
      <c r="CD145" s="458" t="n"/>
      <c r="CE145" s="458" t="n"/>
      <c r="CF145" s="458" t="n"/>
      <c r="CG145" s="458" t="n"/>
      <c r="CH145" s="458" t="n"/>
      <c r="CI145" s="458" t="n"/>
      <c r="CJ145" s="458" t="n"/>
      <c r="CK145" s="446" t="n"/>
    </row>
    <row r="146">
      <c r="CK146" s="464" t="n"/>
    </row>
    <row r="147">
      <c r="CK147" s="464" t="n"/>
    </row>
    <row r="148">
      <c r="BR148" s="468" t="n"/>
      <c r="BS148" s="468" t="n"/>
      <c r="BT148" s="468" t="n"/>
      <c r="BU148" s="468" t="n"/>
      <c r="BV148" s="468" t="n"/>
      <c r="BW148" s="468" t="n"/>
      <c r="BX148" s="468" t="n"/>
      <c r="BY148" s="468" t="n"/>
      <c r="BZ148" s="468" t="n"/>
      <c r="CA148" s="468" t="n"/>
      <c r="CB148" s="468" t="n"/>
      <c r="CC148" s="468" t="n"/>
      <c r="CD148" s="468" t="n"/>
      <c r="CE148" s="468" t="n"/>
      <c r="CF148" s="468" t="n"/>
      <c r="CG148" s="468" t="n"/>
      <c r="CH148" s="468" t="n"/>
      <c r="CI148" s="468" t="n"/>
      <c r="CJ148" s="468" t="n"/>
      <c r="CK148" s="451" t="n"/>
    </row>
  </sheetData>
  <mergeCells count="151">
    <mergeCell ref="BV40:BV42"/>
    <mergeCell ref="BV76:BV78"/>
    <mergeCell ref="BV91:BV93"/>
    <mergeCell ref="BV82:BV84"/>
    <mergeCell ref="BU55:BU57"/>
    <mergeCell ref="Z128:AF128"/>
    <mergeCell ref="A71:A72"/>
    <mergeCell ref="BU79:BU81"/>
    <mergeCell ref="M127:Y127"/>
    <mergeCell ref="DQ1:DZ1"/>
    <mergeCell ref="BV34:BV36"/>
    <mergeCell ref="BU97:BU99"/>
    <mergeCell ref="BU7:BU9"/>
    <mergeCell ref="BU16:BU18"/>
    <mergeCell ref="BV49:BV51"/>
    <mergeCell ref="BV58:BV60"/>
    <mergeCell ref="C2:DP2"/>
    <mergeCell ref="BV97:BV99"/>
    <mergeCell ref="C128:L128"/>
    <mergeCell ref="BU43:BU45"/>
    <mergeCell ref="BU58:BU60"/>
    <mergeCell ref="BR127:CK130"/>
    <mergeCell ref="A20:A21"/>
    <mergeCell ref="A77:A78"/>
    <mergeCell ref="BV100:BV102"/>
    <mergeCell ref="BV94:BV96"/>
    <mergeCell ref="A53:A54"/>
    <mergeCell ref="A35:A36"/>
    <mergeCell ref="BV22:BV24"/>
    <mergeCell ref="C127:L127"/>
    <mergeCell ref="BV31:BV33"/>
    <mergeCell ref="Z130:AF130"/>
    <mergeCell ref="A59:A60"/>
    <mergeCell ref="C130:L130"/>
    <mergeCell ref="BU19:BU21"/>
    <mergeCell ref="BU34:BU36"/>
    <mergeCell ref="AL128:AV128"/>
    <mergeCell ref="BU28:BU30"/>
    <mergeCell ref="A110:A111"/>
    <mergeCell ref="AW131:CK131"/>
    <mergeCell ref="BU37:BU39"/>
    <mergeCell ref="AG129:AK129"/>
    <mergeCell ref="BV70:BV72"/>
    <mergeCell ref="BV106:BV108"/>
    <mergeCell ref="BR145:CK148"/>
    <mergeCell ref="BV7:BV9"/>
    <mergeCell ref="AG131:AK131"/>
    <mergeCell ref="A128:A131"/>
    <mergeCell ref="A65:A66"/>
    <mergeCell ref="BU85:BU87"/>
    <mergeCell ref="C1:DP1"/>
    <mergeCell ref="C131:L131"/>
    <mergeCell ref="A74:A75"/>
    <mergeCell ref="A56:A57"/>
    <mergeCell ref="BU94:BU96"/>
    <mergeCell ref="A26:A27"/>
    <mergeCell ref="BU4:BU6"/>
    <mergeCell ref="A89:A90"/>
    <mergeCell ref="BU46:BU48"/>
    <mergeCell ref="A8:A9"/>
    <mergeCell ref="A17:A18"/>
    <mergeCell ref="M129:Y129"/>
    <mergeCell ref="AL130:AV130"/>
    <mergeCell ref="BU61:BU63"/>
    <mergeCell ref="A23:A24"/>
    <mergeCell ref="BU70:BU72"/>
    <mergeCell ref="CL128:DZ128"/>
    <mergeCell ref="A68:A69"/>
    <mergeCell ref="BV25:BV27"/>
    <mergeCell ref="BV103:BV105"/>
    <mergeCell ref="BV85:BV87"/>
    <mergeCell ref="M128:Y128"/>
    <mergeCell ref="AW127:BQ130"/>
    <mergeCell ref="Z131:AF131"/>
    <mergeCell ref="A92:A93"/>
    <mergeCell ref="BU73:BU75"/>
    <mergeCell ref="BU88:BU90"/>
    <mergeCell ref="BR135:CK138"/>
    <mergeCell ref="A107:A108"/>
    <mergeCell ref="A11:A12"/>
    <mergeCell ref="BV46:BV48"/>
    <mergeCell ref="BU10:BU12"/>
    <mergeCell ref="BV52:BV54"/>
    <mergeCell ref="BV61:BV63"/>
    <mergeCell ref="AG128:AK128"/>
    <mergeCell ref="A41:A42"/>
    <mergeCell ref="AG127:AV127"/>
    <mergeCell ref="A50:A51"/>
    <mergeCell ref="BU49:BU51"/>
    <mergeCell ref="A80:A81"/>
    <mergeCell ref="BU76:BU78"/>
    <mergeCell ref="BV13:BV15"/>
    <mergeCell ref="BU91:BU93"/>
    <mergeCell ref="BU100:BU102"/>
    <mergeCell ref="BU109:BU111"/>
    <mergeCell ref="A3:B3"/>
    <mergeCell ref="A14:A15"/>
    <mergeCell ref="BU22:BU24"/>
    <mergeCell ref="BU31:BU33"/>
    <mergeCell ref="A104:A105"/>
    <mergeCell ref="BV79:BV81"/>
    <mergeCell ref="BV73:BV75"/>
    <mergeCell ref="BV88:BV90"/>
    <mergeCell ref="A1:B2"/>
    <mergeCell ref="BV10:BV12"/>
    <mergeCell ref="BV16:BV18"/>
    <mergeCell ref="CL127:DZ127"/>
    <mergeCell ref="A38:A39"/>
    <mergeCell ref="Z127:AF127"/>
    <mergeCell ref="A83:A84"/>
    <mergeCell ref="BU13:BU15"/>
    <mergeCell ref="BV43:BV45"/>
    <mergeCell ref="A98:A99"/>
    <mergeCell ref="BR140:CK143"/>
    <mergeCell ref="BU40:BU42"/>
    <mergeCell ref="CL129:DZ129"/>
    <mergeCell ref="BU64:BU66"/>
    <mergeCell ref="BV67:BV69"/>
    <mergeCell ref="BV19:BV21"/>
    <mergeCell ref="CL131:DZ131"/>
    <mergeCell ref="BV28:BV30"/>
    <mergeCell ref="BV37:BV39"/>
    <mergeCell ref="M131:Y131"/>
    <mergeCell ref="A86:A87"/>
    <mergeCell ref="BU106:BU108"/>
    <mergeCell ref="CL130:DZ130"/>
    <mergeCell ref="A95:A96"/>
    <mergeCell ref="Z129:AF129"/>
    <mergeCell ref="M130:Y130"/>
    <mergeCell ref="BU25:BU27"/>
    <mergeCell ref="A101:A102"/>
    <mergeCell ref="A5:A6"/>
    <mergeCell ref="A32:A33"/>
    <mergeCell ref="BV55:BV57"/>
    <mergeCell ref="A29:A30"/>
    <mergeCell ref="BV4:BV6"/>
    <mergeCell ref="DQ2:DZ2"/>
    <mergeCell ref="A47:A48"/>
    <mergeCell ref="BV64:BV66"/>
    <mergeCell ref="A62:A63"/>
    <mergeCell ref="BU82:BU84"/>
    <mergeCell ref="A44:A45"/>
    <mergeCell ref="BU52:BU54"/>
    <mergeCell ref="BU67:BU69"/>
    <mergeCell ref="C129:L129"/>
    <mergeCell ref="AG130:AK130"/>
    <mergeCell ref="AL131:AV131"/>
    <mergeCell ref="A112:B112"/>
    <mergeCell ref="BV109:BV111"/>
    <mergeCell ref="AL129:AV129"/>
    <mergeCell ref="BU103:BU105"/>
  </mergeCells>
  <conditionalFormatting sqref="D4:BT111 AG128:AG130">
    <cfRule type="cellIs" priority="1" operator="between" dxfId="10">
      <formula>0.001</formula>
      <formula>0.083</formula>
    </cfRule>
    <cfRule type="cellIs" priority="2" operator="between" dxfId="9">
      <formula>0.1</formula>
      <formula>0.109</formula>
    </cfRule>
    <cfRule type="cellIs" priority="3" operator="between" dxfId="8">
      <formula>0.11</formula>
      <formula>0.119</formula>
    </cfRule>
    <cfRule type="cellIs" priority="4" operator="between" dxfId="7">
      <formula>0.12</formula>
      <formula>0.129</formula>
    </cfRule>
    <cfRule type="cellIs" priority="5" operator="between" dxfId="6">
      <formula>0.13</formula>
      <formula>0.139</formula>
    </cfRule>
    <cfRule type="cellIs" priority="6" operator="between" dxfId="5">
      <formula>0.14</formula>
      <formula>0.149</formula>
    </cfRule>
    <cfRule type="cellIs" priority="7" operator="between" dxfId="4">
      <formula>0.15</formula>
      <formula>0.159</formula>
    </cfRule>
    <cfRule type="cellIs" priority="8" operator="between" dxfId="3">
      <formula>0.16</formula>
      <formula>0.169</formula>
    </cfRule>
    <cfRule type="cellIs" priority="9" operator="between" dxfId="2">
      <formula>0.17</formula>
      <formula>0.179</formula>
    </cfRule>
    <cfRule type="cellIs" priority="10" operator="between" dxfId="1">
      <formula>0.18</formula>
      <formula>0.999</formula>
    </cfRule>
    <cfRule type="containsText" priority="50" operator="containsText" dxfId="0" text="">
      <formula>NOT(ISERROR(SEARCH("",D4)))</formula>
    </cfRule>
  </conditionalFormatting>
  <printOptions horizontalCentered="1"/>
  <pageMargins left="0.25" right="0.25" top="0.75" bottom="0.25" header="0" footer="0"/>
  <pageSetup orientation="portrait" paperSize="3" scale="35" pageOrder="overThenDown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Z148"/>
  <sheetViews>
    <sheetView topLeftCell="A92" zoomScale="40" zoomScaleNormal="40" workbookViewId="0">
      <selection activeCell="CH8" sqref="CH8"/>
    </sheetView>
  </sheetViews>
  <sheetFormatPr baseColWidth="8" defaultColWidth="11.7109375" defaultRowHeight="12.75"/>
  <cols>
    <col width="5.7109375" customWidth="1" style="212" min="1" max="1"/>
    <col width="30.7109375" customWidth="1" style="1" min="2" max="2"/>
    <col width="7.28515625" bestFit="1" customWidth="1" style="2" min="3" max="3"/>
    <col width="2.5703125" customWidth="1" style="1" min="4" max="128"/>
    <col width="2.7109375" customWidth="1" style="1" min="129" max="130"/>
    <col hidden="1" width="2.42578125" customWidth="1" style="1" min="131" max="131"/>
    <col hidden="1" width="8.7109375" customWidth="1" style="2" min="132" max="132"/>
    <col hidden="1" style="2" min="133" max="172"/>
    <col hidden="1" width="11.5703125" customWidth="1" style="212" min="173" max="173"/>
    <col hidden="1" width="10.5703125" customWidth="1" style="212" min="174" max="174"/>
    <col hidden="1" width="10.85546875" customWidth="1" style="212" min="175" max="175"/>
    <col hidden="1" width="10.5703125" customWidth="1" style="212" min="176" max="177"/>
    <col hidden="1" width="10.85546875" customWidth="1" style="212" min="178" max="178"/>
    <col hidden="1" width="9.5703125" customWidth="1" style="212" min="179" max="179"/>
    <col hidden="1" width="11.7109375" customWidth="1" style="212" min="180" max="245"/>
    <col width="11.7109375" customWidth="1" style="212" min="246" max="247"/>
    <col width="11.7109375" customWidth="1" style="212" min="248" max="16384"/>
  </cols>
  <sheetData>
    <row r="1" ht="36" customHeight="1">
      <c r="A1" s="472">
        <f>Thickness!A1</f>
        <v/>
      </c>
      <c r="B1" s="446" t="n"/>
      <c r="C1" s="473">
        <f>IF(ISBLANK(Thickness!C1),"",(Thickness!C1))</f>
        <v/>
      </c>
      <c r="D1" s="448" t="n"/>
      <c r="E1" s="448" t="n"/>
      <c r="F1" s="448" t="n"/>
      <c r="G1" s="448" t="n"/>
      <c r="H1" s="448" t="n"/>
      <c r="I1" s="448" t="n"/>
      <c r="J1" s="448" t="n"/>
      <c r="K1" s="448" t="n"/>
      <c r="L1" s="448" t="n"/>
      <c r="M1" s="448" t="n"/>
      <c r="N1" s="448" t="n"/>
      <c r="O1" s="448" t="n"/>
      <c r="P1" s="448" t="n"/>
      <c r="Q1" s="448" t="n"/>
      <c r="R1" s="448" t="n"/>
      <c r="S1" s="448" t="n"/>
      <c r="T1" s="448" t="n"/>
      <c r="U1" s="448" t="n"/>
      <c r="V1" s="448" t="n"/>
      <c r="W1" s="448" t="n"/>
      <c r="X1" s="448" t="n"/>
      <c r="Y1" s="448" t="n"/>
      <c r="Z1" s="448" t="n"/>
      <c r="AA1" s="448" t="n"/>
      <c r="AB1" s="448" t="n"/>
      <c r="AC1" s="448" t="n"/>
      <c r="AD1" s="448" t="n"/>
      <c r="AE1" s="448" t="n"/>
      <c r="AF1" s="448" t="n"/>
      <c r="AG1" s="448" t="n"/>
      <c r="AH1" s="448" t="n"/>
      <c r="AI1" s="448" t="n"/>
      <c r="AJ1" s="448" t="n"/>
      <c r="AK1" s="448" t="n"/>
      <c r="AL1" s="448" t="n"/>
      <c r="AM1" s="448" t="n"/>
      <c r="AN1" s="448" t="n"/>
      <c r="AO1" s="448" t="n"/>
      <c r="AP1" s="448" t="n"/>
      <c r="AQ1" s="448" t="n"/>
      <c r="AR1" s="448" t="n"/>
      <c r="AS1" s="448" t="n"/>
      <c r="AT1" s="448" t="n"/>
      <c r="AU1" s="448" t="n"/>
      <c r="AV1" s="448" t="n"/>
      <c r="AW1" s="448" t="n"/>
      <c r="AX1" s="448" t="n"/>
      <c r="AY1" s="448" t="n"/>
      <c r="AZ1" s="448" t="n"/>
      <c r="BA1" s="448" t="n"/>
      <c r="BB1" s="448" t="n"/>
      <c r="BC1" s="448" t="n"/>
      <c r="BD1" s="448" t="n"/>
      <c r="BE1" s="448" t="n"/>
      <c r="BF1" s="448" t="n"/>
      <c r="BG1" s="448" t="n"/>
      <c r="BH1" s="448" t="n"/>
      <c r="BI1" s="448" t="n"/>
      <c r="BJ1" s="448" t="n"/>
      <c r="BK1" s="448" t="n"/>
      <c r="BL1" s="448" t="n"/>
      <c r="BM1" s="448" t="n"/>
      <c r="BN1" s="448" t="n"/>
      <c r="BO1" s="448" t="n"/>
      <c r="BP1" s="448" t="n"/>
      <c r="BQ1" s="448" t="n"/>
      <c r="BR1" s="448" t="n"/>
      <c r="BS1" s="448" t="n"/>
      <c r="BT1" s="448" t="n"/>
      <c r="BU1" s="448" t="n"/>
      <c r="BV1" s="448" t="n"/>
      <c r="BW1" s="448" t="n"/>
      <c r="BX1" s="448" t="n"/>
      <c r="BY1" s="448" t="n"/>
      <c r="BZ1" s="448" t="n"/>
      <c r="CA1" s="448" t="n"/>
      <c r="CB1" s="448" t="n"/>
      <c r="CC1" s="448" t="n"/>
      <c r="CD1" s="448" t="n"/>
      <c r="CE1" s="448" t="n"/>
      <c r="CF1" s="448" t="n"/>
      <c r="CG1" s="448" t="n"/>
      <c r="CH1" s="448" t="n"/>
      <c r="CI1" s="448" t="n"/>
      <c r="CJ1" s="448" t="n"/>
      <c r="CK1" s="448" t="n"/>
      <c r="CL1" s="448" t="n"/>
      <c r="CM1" s="448" t="n"/>
      <c r="CN1" s="448" t="n"/>
      <c r="CO1" s="448" t="n"/>
      <c r="CP1" s="448" t="n"/>
      <c r="CQ1" s="448" t="n"/>
      <c r="CR1" s="448" t="n"/>
      <c r="CS1" s="448" t="n"/>
      <c r="CT1" s="448" t="n"/>
      <c r="CU1" s="448" t="n"/>
      <c r="CV1" s="448" t="n"/>
      <c r="CW1" s="448" t="n"/>
      <c r="CX1" s="448" t="n"/>
      <c r="CY1" s="448" t="n"/>
      <c r="CZ1" s="448" t="n"/>
      <c r="DA1" s="448" t="n"/>
      <c r="DB1" s="448" t="n"/>
      <c r="DC1" s="448" t="n"/>
      <c r="DD1" s="448" t="n"/>
      <c r="DE1" s="448" t="n"/>
      <c r="DF1" s="448" t="n"/>
      <c r="DG1" s="448" t="n"/>
      <c r="DH1" s="448" t="n"/>
      <c r="DI1" s="448" t="n"/>
      <c r="DJ1" s="448" t="n"/>
      <c r="DK1" s="448" t="n"/>
      <c r="DL1" s="448" t="n"/>
      <c r="DM1" s="448" t="n"/>
      <c r="DN1" s="448" t="n"/>
      <c r="DO1" s="448" t="n"/>
      <c r="DP1" s="449" t="n"/>
      <c r="DQ1" s="450" t="inlineStr">
        <is>
          <t>OBSTRUCTION</t>
        </is>
      </c>
      <c r="DR1" s="448" t="n"/>
      <c r="DS1" s="448" t="n"/>
      <c r="DT1" s="448" t="n"/>
      <c r="DU1" s="448" t="n"/>
      <c r="DV1" s="448" t="n"/>
      <c r="DW1" s="448" t="n"/>
      <c r="DX1" s="448" t="n"/>
      <c r="DY1" s="448" t="n"/>
      <c r="DZ1" s="449" t="n"/>
    </row>
    <row r="2" ht="36" customFormat="1" customHeight="1" s="5">
      <c r="A2" s="14" t="n"/>
      <c r="B2" s="451" t="n"/>
      <c r="C2" s="452" t="inlineStr">
        <is>
          <t>TUBES NUMBERED LEFT TO RIGHT FACING WALL.  CORROSION RATE MEASUREMENTS ARE IN MILS.</t>
        </is>
      </c>
      <c r="D2" s="448" t="n"/>
      <c r="E2" s="448" t="n"/>
      <c r="F2" s="448" t="n"/>
      <c r="G2" s="448" t="n"/>
      <c r="H2" s="448" t="n"/>
      <c r="I2" s="448" t="n"/>
      <c r="J2" s="448" t="n"/>
      <c r="K2" s="448" t="n"/>
      <c r="L2" s="448" t="n"/>
      <c r="M2" s="448" t="n"/>
      <c r="N2" s="448" t="n"/>
      <c r="O2" s="448" t="n"/>
      <c r="P2" s="448" t="n"/>
      <c r="Q2" s="448" t="n"/>
      <c r="R2" s="448" t="n"/>
      <c r="S2" s="448" t="n"/>
      <c r="T2" s="448" t="n"/>
      <c r="U2" s="448" t="n"/>
      <c r="V2" s="448" t="n"/>
      <c r="W2" s="448" t="n"/>
      <c r="X2" s="448" t="n"/>
      <c r="Y2" s="448" t="n"/>
      <c r="Z2" s="448" t="n"/>
      <c r="AA2" s="448" t="n"/>
      <c r="AB2" s="448" t="n"/>
      <c r="AC2" s="448" t="n"/>
      <c r="AD2" s="448" t="n"/>
      <c r="AE2" s="448" t="n"/>
      <c r="AF2" s="448" t="n"/>
      <c r="AG2" s="448" t="n"/>
      <c r="AH2" s="448" t="n"/>
      <c r="AI2" s="448" t="n"/>
      <c r="AJ2" s="448" t="n"/>
      <c r="AK2" s="448" t="n"/>
      <c r="AL2" s="448" t="n"/>
      <c r="AM2" s="448" t="n"/>
      <c r="AN2" s="448" t="n"/>
      <c r="AO2" s="448" t="n"/>
      <c r="AP2" s="448" t="n"/>
      <c r="AQ2" s="448" t="n"/>
      <c r="AR2" s="448" t="n"/>
      <c r="AS2" s="448" t="n"/>
      <c r="AT2" s="448" t="n"/>
      <c r="AU2" s="448" t="n"/>
      <c r="AV2" s="448" t="n"/>
      <c r="AW2" s="448" t="n"/>
      <c r="AX2" s="448" t="n"/>
      <c r="AY2" s="448" t="n"/>
      <c r="AZ2" s="448" t="n"/>
      <c r="BA2" s="448" t="n"/>
      <c r="BB2" s="448" t="n"/>
      <c r="BC2" s="448" t="n"/>
      <c r="BD2" s="448" t="n"/>
      <c r="BE2" s="448" t="n"/>
      <c r="BF2" s="448" t="n"/>
      <c r="BG2" s="448" t="n"/>
      <c r="BH2" s="448" t="n"/>
      <c r="BI2" s="448" t="n"/>
      <c r="BJ2" s="448" t="n"/>
      <c r="BK2" s="448" t="n"/>
      <c r="BL2" s="448" t="n"/>
      <c r="BM2" s="448" t="n"/>
      <c r="BN2" s="448" t="n"/>
      <c r="BO2" s="448" t="n"/>
      <c r="BP2" s="448" t="n"/>
      <c r="BQ2" s="448" t="n"/>
      <c r="BR2" s="448" t="n"/>
      <c r="BS2" s="448" t="n"/>
      <c r="BT2" s="448" t="n"/>
      <c r="BU2" s="448" t="n"/>
      <c r="BV2" s="448" t="n"/>
      <c r="BW2" s="448" t="n"/>
      <c r="BX2" s="448" t="n"/>
      <c r="BY2" s="448" t="n"/>
      <c r="BZ2" s="448" t="n"/>
      <c r="CA2" s="448" t="n"/>
      <c r="CB2" s="448" t="n"/>
      <c r="CC2" s="448" t="n"/>
      <c r="CD2" s="448" t="n"/>
      <c r="CE2" s="448" t="n"/>
      <c r="CF2" s="448" t="n"/>
      <c r="CG2" s="448" t="n"/>
      <c r="CH2" s="448" t="n"/>
      <c r="CI2" s="448" t="n"/>
      <c r="CJ2" s="448" t="n"/>
      <c r="CK2" s="448" t="n"/>
      <c r="CL2" s="448" t="n"/>
      <c r="CM2" s="448" t="n"/>
      <c r="CN2" s="448" t="n"/>
      <c r="CO2" s="448" t="n"/>
      <c r="CP2" s="448" t="n"/>
      <c r="CQ2" s="448" t="n"/>
      <c r="CR2" s="448" t="n"/>
      <c r="CS2" s="448" t="n"/>
      <c r="CT2" s="448" t="n"/>
      <c r="CU2" s="448" t="n"/>
      <c r="CV2" s="448" t="n"/>
      <c r="CW2" s="448" t="n"/>
      <c r="CX2" s="448" t="n"/>
      <c r="CY2" s="448" t="n"/>
      <c r="CZ2" s="448" t="n"/>
      <c r="DA2" s="448" t="n"/>
      <c r="DB2" s="448" t="n"/>
      <c r="DC2" s="448" t="n"/>
      <c r="DD2" s="448" t="n"/>
      <c r="DE2" s="448" t="n"/>
      <c r="DF2" s="448" t="n"/>
      <c r="DG2" s="448" t="n"/>
      <c r="DH2" s="448" t="n"/>
      <c r="DI2" s="448" t="n"/>
      <c r="DJ2" s="448" t="n"/>
      <c r="DK2" s="448" t="n"/>
      <c r="DL2" s="448" t="n"/>
      <c r="DM2" s="448" t="n"/>
      <c r="DN2" s="448" t="n"/>
      <c r="DO2" s="448" t="n"/>
      <c r="DP2" s="449" t="n"/>
      <c r="DQ2" s="450" t="inlineStr">
        <is>
          <t>ORIENTATION</t>
        </is>
      </c>
      <c r="DR2" s="448" t="n"/>
      <c r="DS2" s="448" t="n"/>
      <c r="DT2" s="448" t="n"/>
      <c r="DU2" s="448" t="n"/>
      <c r="DV2" s="448" t="n"/>
      <c r="DW2" s="448" t="n"/>
      <c r="DX2" s="448" t="n"/>
      <c r="DY2" s="448" t="n"/>
      <c r="DZ2" s="449" t="n"/>
      <c r="EA2" s="4" t="n"/>
    </row>
    <row r="3" ht="36" customFormat="1" customHeight="1" s="5">
      <c r="A3" s="453" t="inlineStr">
        <is>
          <t>ELEVATION</t>
        </is>
      </c>
      <c r="B3" s="449" t="n"/>
      <c r="C3" s="18" t="inlineStr">
        <is>
          <t>LOC</t>
        </is>
      </c>
      <c r="D3" s="25" t="n">
        <v>1</v>
      </c>
      <c r="E3" s="19" t="n">
        <v>2</v>
      </c>
      <c r="F3" s="19" t="n">
        <v>3</v>
      </c>
      <c r="G3" s="19" t="n">
        <v>4</v>
      </c>
      <c r="H3" s="19" t="n">
        <v>5</v>
      </c>
      <c r="I3" s="19" t="n">
        <v>6</v>
      </c>
      <c r="J3" s="19" t="n">
        <v>7</v>
      </c>
      <c r="K3" s="19" t="n">
        <v>8</v>
      </c>
      <c r="L3" s="19" t="n">
        <v>9</v>
      </c>
      <c r="M3" s="19" t="n">
        <v>10</v>
      </c>
      <c r="N3" s="19" t="n">
        <v>11</v>
      </c>
      <c r="O3" s="19" t="n">
        <v>12</v>
      </c>
      <c r="P3" s="19" t="n">
        <v>13</v>
      </c>
      <c r="Q3" s="19" t="n">
        <v>14</v>
      </c>
      <c r="R3" s="19" t="n">
        <v>15</v>
      </c>
      <c r="S3" s="19" t="n">
        <v>16</v>
      </c>
      <c r="T3" s="19" t="n">
        <v>17</v>
      </c>
      <c r="U3" s="19" t="n">
        <v>18</v>
      </c>
      <c r="V3" s="19" t="n">
        <v>19</v>
      </c>
      <c r="W3" s="19" t="n">
        <v>20</v>
      </c>
      <c r="X3" s="19" t="n">
        <v>21</v>
      </c>
      <c r="Y3" s="19" t="n">
        <v>22</v>
      </c>
      <c r="Z3" s="19" t="n">
        <v>23</v>
      </c>
      <c r="AA3" s="19" t="n">
        <v>24</v>
      </c>
      <c r="AB3" s="19" t="n">
        <v>25</v>
      </c>
      <c r="AC3" s="19" t="n">
        <v>26</v>
      </c>
      <c r="AD3" s="19" t="n">
        <v>27</v>
      </c>
      <c r="AE3" s="19" t="n">
        <v>28</v>
      </c>
      <c r="AF3" s="19" t="n">
        <v>29</v>
      </c>
      <c r="AG3" s="19" t="n">
        <v>30</v>
      </c>
      <c r="AH3" s="19" t="n">
        <v>31</v>
      </c>
      <c r="AI3" s="19" t="n">
        <v>32</v>
      </c>
      <c r="AJ3" s="19" t="n">
        <v>33</v>
      </c>
      <c r="AK3" s="19" t="n">
        <v>34</v>
      </c>
      <c r="AL3" s="19" t="n">
        <v>35</v>
      </c>
      <c r="AM3" s="19" t="n">
        <v>36</v>
      </c>
      <c r="AN3" s="19" t="n">
        <v>37</v>
      </c>
      <c r="AO3" s="19" t="n">
        <v>38</v>
      </c>
      <c r="AP3" s="19" t="n">
        <v>39</v>
      </c>
      <c r="AQ3" s="19" t="n">
        <v>40</v>
      </c>
      <c r="AR3" s="19" t="n">
        <v>41</v>
      </c>
      <c r="AS3" s="19" t="n">
        <v>42</v>
      </c>
      <c r="AT3" s="19" t="n">
        <v>43</v>
      </c>
      <c r="AU3" s="19" t="n">
        <v>44</v>
      </c>
      <c r="AV3" s="19" t="n">
        <v>45</v>
      </c>
      <c r="AW3" s="19" t="n">
        <v>46</v>
      </c>
      <c r="AX3" s="19" t="n">
        <v>47</v>
      </c>
      <c r="AY3" s="19" t="n">
        <v>48</v>
      </c>
      <c r="AZ3" s="19" t="n">
        <v>49</v>
      </c>
      <c r="BA3" s="19" t="n">
        <v>50</v>
      </c>
      <c r="BB3" s="19" t="n">
        <v>51</v>
      </c>
      <c r="BC3" s="19" t="n">
        <v>52</v>
      </c>
      <c r="BD3" s="19" t="n">
        <v>53</v>
      </c>
      <c r="BE3" s="19" t="n">
        <v>54</v>
      </c>
      <c r="BF3" s="19" t="n">
        <v>55</v>
      </c>
      <c r="BG3" s="19" t="n">
        <v>56</v>
      </c>
      <c r="BH3" s="19" t="n">
        <v>57</v>
      </c>
      <c r="BI3" s="19" t="n">
        <v>58</v>
      </c>
      <c r="BJ3" s="19" t="n">
        <v>59</v>
      </c>
      <c r="BK3" s="19" t="n">
        <v>60</v>
      </c>
      <c r="BL3" s="19" t="n">
        <v>61</v>
      </c>
      <c r="BM3" s="19" t="n">
        <v>62</v>
      </c>
      <c r="BN3" s="19" t="n">
        <v>63</v>
      </c>
      <c r="BO3" s="19" t="n">
        <v>64</v>
      </c>
      <c r="BP3" s="19" t="n">
        <v>65</v>
      </c>
      <c r="BQ3" s="19" t="n">
        <v>66</v>
      </c>
      <c r="BR3" s="19" t="n">
        <v>67</v>
      </c>
      <c r="BS3" s="19" t="n">
        <v>68</v>
      </c>
      <c r="BT3" s="94" t="n">
        <v>69</v>
      </c>
      <c r="BU3" s="29" t="inlineStr">
        <is>
          <t>AVG</t>
        </is>
      </c>
      <c r="BV3" s="30" t="inlineStr">
        <is>
          <t>MAX</t>
        </is>
      </c>
      <c r="BW3" s="19" t="n"/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19" t="n"/>
      <c r="CL3" s="19" t="n"/>
      <c r="CM3" s="19" t="n"/>
      <c r="CN3" s="19" t="n"/>
      <c r="CO3" s="19" t="n"/>
      <c r="CP3" s="19" t="n"/>
      <c r="CQ3" s="19" t="n"/>
      <c r="CR3" s="19" t="n"/>
      <c r="CS3" s="19" t="n"/>
      <c r="CT3" s="19" t="n"/>
      <c r="CU3" s="19" t="n"/>
      <c r="CV3" s="19" t="n"/>
      <c r="CW3" s="19" t="n"/>
      <c r="CX3" s="19" t="n"/>
      <c r="CY3" s="19" t="n"/>
      <c r="CZ3" s="19" t="n"/>
      <c r="DA3" s="19" t="n"/>
      <c r="DB3" s="19" t="n"/>
      <c r="DC3" s="19" t="n"/>
      <c r="DD3" s="19" t="n"/>
      <c r="DE3" s="19" t="n"/>
      <c r="DF3" s="19" t="n"/>
      <c r="DG3" s="19" t="n"/>
      <c r="DH3" s="19" t="n"/>
      <c r="DI3" s="19" t="n"/>
      <c r="DJ3" s="19" t="n"/>
      <c r="DK3" s="19" t="n"/>
      <c r="DL3" s="19" t="n"/>
      <c r="DM3" s="19" t="n"/>
      <c r="DN3" s="19" t="n"/>
      <c r="DO3" s="20" t="n"/>
      <c r="DP3" s="20" t="n"/>
      <c r="DQ3" s="20" t="n"/>
      <c r="DR3" s="20" t="n"/>
      <c r="DS3" s="20" t="n"/>
      <c r="DT3" s="20" t="n"/>
      <c r="DU3" s="20" t="n"/>
      <c r="DV3" s="20" t="n"/>
      <c r="DW3" s="20" t="n"/>
      <c r="DX3" s="20" t="n"/>
      <c r="DY3" s="20" t="n"/>
      <c r="DZ3" s="21" t="n"/>
    </row>
    <row r="4" ht="36" customFormat="1" customHeight="1" s="5">
      <c r="A4" s="10" t="inlineStr">
        <is>
          <t>A</t>
        </is>
      </c>
      <c r="B4" s="6" t="n"/>
      <c r="C4" s="11" t="inlineStr">
        <is>
          <t>L</t>
        </is>
      </c>
      <c r="D4" s="474" t="n">
        <v>8.15</v>
      </c>
      <c r="E4" s="475" t="n">
        <v>1.16</v>
      </c>
      <c r="F4" s="475" t="n">
        <v>1.45</v>
      </c>
      <c r="G4" s="112" t="n">
        <v>0.532</v>
      </c>
      <c r="H4" s="476" t="n">
        <v>2.42</v>
      </c>
      <c r="I4" s="477" t="inlineStr">
        <is>
          <t>ND</t>
        </is>
      </c>
      <c r="J4" s="436" t="n">
        <v>0.051</v>
      </c>
      <c r="K4" s="478" t="inlineStr">
        <is>
          <t>ND</t>
        </is>
      </c>
      <c r="L4" s="479" t="n">
        <v>8.5</v>
      </c>
      <c r="M4" s="439" t="inlineStr">
        <is>
          <t>ND</t>
        </is>
      </c>
      <c r="N4" s="442" t="inlineStr">
        <is>
          <t>ND</t>
        </is>
      </c>
      <c r="O4" s="112" t="n">
        <v>0.263</v>
      </c>
      <c r="P4" s="475" t="n">
        <v>1.45</v>
      </c>
      <c r="Q4" s="479" t="n">
        <v>6.4</v>
      </c>
      <c r="R4" s="113" t="n">
        <v>0.359</v>
      </c>
      <c r="S4" s="442" t="n">
        <v>0.493</v>
      </c>
      <c r="T4" s="112" t="n">
        <v>0.436</v>
      </c>
      <c r="U4" s="436" t="n">
        <v>0.304</v>
      </c>
      <c r="V4" s="436" t="inlineStr">
        <is>
          <t>ND</t>
        </is>
      </c>
      <c r="W4" s="480" t="n">
        <v>4.37</v>
      </c>
      <c r="X4" s="477" t="n">
        <v>4.59</v>
      </c>
      <c r="Y4" s="436" t="inlineStr">
        <is>
          <t>ND</t>
        </is>
      </c>
      <c r="Z4" s="112" t="n">
        <v>0.136</v>
      </c>
      <c r="AA4" s="436" t="inlineStr">
        <is>
          <t>ND</t>
        </is>
      </c>
      <c r="AB4" s="480" t="n">
        <v>1.48</v>
      </c>
      <c r="AC4" s="115" t="n">
        <v>0.21</v>
      </c>
      <c r="AD4" s="436" t="n">
        <v>0.801</v>
      </c>
      <c r="AE4" s="481" t="n">
        <v>2.2</v>
      </c>
      <c r="AF4" s="478" t="n">
        <v>5.13</v>
      </c>
      <c r="AG4" s="476" t="n">
        <v>1.87</v>
      </c>
      <c r="AH4" s="482" t="n">
        <v>3.6</v>
      </c>
      <c r="AI4" s="436" t="inlineStr">
        <is>
          <t>ND</t>
        </is>
      </c>
      <c r="AJ4" s="436" t="inlineStr">
        <is>
          <t>ND</t>
        </is>
      </c>
      <c r="AK4" s="436" t="inlineStr">
        <is>
          <t>ND</t>
        </is>
      </c>
      <c r="AL4" s="439" t="inlineStr">
        <is>
          <t>ND</t>
        </is>
      </c>
      <c r="AM4" s="477" t="n">
        <v>1.59</v>
      </c>
      <c r="AN4" s="478" t="n">
        <v>3.38</v>
      </c>
      <c r="AO4" s="478" t="n">
        <v>4.56</v>
      </c>
      <c r="AP4" s="475" t="n">
        <v>8.49</v>
      </c>
      <c r="AQ4" s="439" t="inlineStr">
        <is>
          <t>ND</t>
        </is>
      </c>
      <c r="AR4" s="442" t="inlineStr">
        <is>
          <t>ND</t>
        </is>
      </c>
      <c r="AS4" s="436" t="inlineStr">
        <is>
          <t>ND</t>
        </is>
      </c>
      <c r="AT4" s="481" t="n">
        <v>2.1</v>
      </c>
      <c r="AU4" s="478" t="n">
        <v>2.18</v>
      </c>
      <c r="AV4" s="476" t="inlineStr">
        <is>
          <t>ND</t>
        </is>
      </c>
      <c r="AW4" s="442" t="inlineStr">
        <is>
          <t>ND</t>
        </is>
      </c>
      <c r="AX4" s="436" t="inlineStr">
        <is>
          <t>ND</t>
        </is>
      </c>
      <c r="AY4" s="436" t="n">
        <v>0.852</v>
      </c>
      <c r="AZ4" s="436" t="inlineStr">
        <is>
          <t>ND</t>
        </is>
      </c>
      <c r="BA4" s="476" t="inlineStr">
        <is>
          <t>ND</t>
        </is>
      </c>
      <c r="BB4" s="442" t="inlineStr">
        <is>
          <t>ND</t>
        </is>
      </c>
      <c r="BC4" s="475" t="n">
        <v>1.35</v>
      </c>
      <c r="BD4" s="436" t="inlineStr">
        <is>
          <t>ND</t>
        </is>
      </c>
      <c r="BE4" s="436" t="n">
        <v>0.451</v>
      </c>
      <c r="BF4" s="476" t="n">
        <v>4.14</v>
      </c>
      <c r="BG4" s="442" t="inlineStr">
        <is>
          <t>ND</t>
        </is>
      </c>
      <c r="BH4" s="436" t="inlineStr">
        <is>
          <t>ND</t>
        </is>
      </c>
      <c r="BI4" s="436" t="inlineStr">
        <is>
          <t>ND</t>
        </is>
      </c>
      <c r="BJ4" s="436" t="inlineStr">
        <is>
          <t>ND</t>
        </is>
      </c>
      <c r="BK4" s="439" t="inlineStr">
        <is>
          <t>ND</t>
        </is>
      </c>
      <c r="BL4" s="483" t="n">
        <v>1.11</v>
      </c>
      <c r="BM4" s="436" t="n">
        <v>0.678</v>
      </c>
      <c r="BN4" s="436" t="inlineStr">
        <is>
          <t>ND</t>
        </is>
      </c>
      <c r="BO4" s="436" t="inlineStr">
        <is>
          <t>ND</t>
        </is>
      </c>
      <c r="BP4" s="439" t="inlineStr">
        <is>
          <t>ND</t>
        </is>
      </c>
      <c r="BQ4" s="442" t="n">
        <v>0.973</v>
      </c>
      <c r="BR4" s="436" t="n">
        <v>0.645</v>
      </c>
      <c r="BS4" s="436" t="inlineStr">
        <is>
          <t>ND</t>
        </is>
      </c>
      <c r="BT4" s="480" t="n">
        <v>2.82</v>
      </c>
      <c r="BU4" s="454">
        <f>IFERROR(AVERAGE(D4:BT6),0)</f>
        <v/>
      </c>
      <c r="BV4" s="454">
        <f>MAX(D4:BT6)</f>
        <v/>
      </c>
      <c r="BW4" s="437" t="n"/>
      <c r="BX4" s="437" t="n"/>
      <c r="BY4" s="437" t="n"/>
      <c r="BZ4" s="437" t="n"/>
      <c r="CA4" s="437" t="n"/>
      <c r="CB4" s="437" t="n"/>
      <c r="CC4" s="437" t="n"/>
      <c r="CD4" s="437" t="n"/>
      <c r="CE4" s="437" t="n"/>
      <c r="CF4" s="437" t="n"/>
      <c r="CG4" s="437" t="n"/>
      <c r="CH4" s="437" t="n"/>
      <c r="CI4" s="437" t="n"/>
      <c r="CJ4" s="437" t="n"/>
      <c r="CK4" s="437" t="n"/>
      <c r="CL4" s="437" t="n"/>
      <c r="CM4" s="437" t="n"/>
      <c r="CN4" s="437" t="n"/>
      <c r="CO4" s="437" t="n"/>
      <c r="CP4" s="437" t="n"/>
      <c r="CQ4" s="437" t="n"/>
      <c r="CR4" s="437" t="n"/>
      <c r="CS4" s="437" t="n"/>
      <c r="CT4" s="437" t="n"/>
      <c r="CU4" s="437" t="n"/>
      <c r="CV4" s="437" t="n"/>
      <c r="CW4" s="437" t="n"/>
      <c r="CX4" s="437" t="n"/>
      <c r="CY4" s="437" t="n"/>
      <c r="CZ4" s="437" t="n"/>
      <c r="DA4" s="437" t="n"/>
      <c r="DB4" s="437" t="n"/>
      <c r="DC4" s="437" t="n"/>
      <c r="DD4" s="437" t="n"/>
      <c r="DE4" s="437" t="n"/>
      <c r="DF4" s="437" t="n"/>
      <c r="DG4" s="437" t="n"/>
      <c r="DH4" s="437" t="n"/>
      <c r="DI4" s="437" t="n"/>
      <c r="DJ4" s="437" t="n"/>
      <c r="DK4" s="437" t="n"/>
      <c r="DL4" s="437" t="n"/>
      <c r="DM4" s="437" t="n"/>
      <c r="DN4" s="437" t="n"/>
      <c r="DO4" s="437" t="n"/>
      <c r="DP4" s="437" t="n"/>
      <c r="DQ4" s="437" t="n"/>
      <c r="DR4" s="437" t="n"/>
      <c r="DS4" s="437" t="n"/>
      <c r="DT4" s="437" t="n"/>
      <c r="DU4" s="437" t="n"/>
      <c r="DV4" s="437" t="n"/>
      <c r="DW4" s="437" t="n"/>
      <c r="DX4" s="437" t="n"/>
      <c r="DY4" s="238" t="n"/>
      <c r="DZ4" s="23" t="n"/>
      <c r="FQ4" s="212" t="n"/>
      <c r="FR4" s="212" t="n"/>
      <c r="FS4" s="212" t="n"/>
      <c r="FT4" s="212" t="n"/>
      <c r="FU4" s="212" t="n"/>
      <c r="FV4" s="212" t="n"/>
      <c r="FW4" s="212" t="n"/>
      <c r="FX4" s="212" t="n"/>
      <c r="FY4" s="212" t="n"/>
      <c r="FZ4" s="212" t="n"/>
    </row>
    <row r="5" ht="36" customFormat="1" customHeight="1" s="5">
      <c r="A5" s="182" t="inlineStr"/>
      <c r="B5" s="7" t="inlineStr">
        <is>
          <t>+16 FT 6 IN</t>
        </is>
      </c>
      <c r="C5" s="11" t="inlineStr">
        <is>
          <t>C</t>
        </is>
      </c>
      <c r="D5" s="484" t="n">
        <v>4.39</v>
      </c>
      <c r="E5" s="485" t="n">
        <v>1.63</v>
      </c>
      <c r="F5" s="486" t="n">
        <v>1.86</v>
      </c>
      <c r="G5" s="437" t="inlineStr">
        <is>
          <t>ND</t>
        </is>
      </c>
      <c r="H5" s="440" t="inlineStr">
        <is>
          <t>ND</t>
        </is>
      </c>
      <c r="I5" s="443" t="n">
        <v>0.779</v>
      </c>
      <c r="J5" s="437" t="inlineStr">
        <is>
          <t>ND</t>
        </is>
      </c>
      <c r="K5" s="437" t="inlineStr">
        <is>
          <t>ND</t>
        </is>
      </c>
      <c r="L5" s="437" t="inlineStr">
        <is>
          <t>ND</t>
        </is>
      </c>
      <c r="M5" s="120" t="n">
        <v>0.26</v>
      </c>
      <c r="N5" s="487" t="n">
        <v>2.12</v>
      </c>
      <c r="O5" s="437" t="inlineStr">
        <is>
          <t>ND</t>
        </is>
      </c>
      <c r="P5" s="437" t="n">
        <v>0.196</v>
      </c>
      <c r="Q5" s="437" t="inlineStr">
        <is>
          <t>ND</t>
        </is>
      </c>
      <c r="R5" s="488" t="inlineStr">
        <is>
          <t>ND</t>
        </is>
      </c>
      <c r="S5" s="443" t="n">
        <v>0.576</v>
      </c>
      <c r="T5" s="437" t="inlineStr">
        <is>
          <t>ND</t>
        </is>
      </c>
      <c r="U5" s="437" t="n">
        <v>0.213</v>
      </c>
      <c r="V5" s="122" t="n">
        <v>0.62</v>
      </c>
      <c r="W5" s="440" t="inlineStr">
        <is>
          <t>ND</t>
        </is>
      </c>
      <c r="X5" s="443" t="inlineStr">
        <is>
          <t>ND</t>
        </is>
      </c>
      <c r="Y5" s="122" t="n">
        <v>0.514</v>
      </c>
      <c r="Z5" s="437" t="inlineStr">
        <is>
          <t>ND</t>
        </is>
      </c>
      <c r="AA5" s="437" t="inlineStr">
        <is>
          <t>ND</t>
        </is>
      </c>
      <c r="AB5" s="489" t="n">
        <v>1.17</v>
      </c>
      <c r="AC5" s="490" t="inlineStr">
        <is>
          <t>ND</t>
        </is>
      </c>
      <c r="AD5" s="486" t="n">
        <v>2.18</v>
      </c>
      <c r="AE5" s="437" t="inlineStr">
        <is>
          <t>ND</t>
        </is>
      </c>
      <c r="AF5" s="485" t="n">
        <v>6.66</v>
      </c>
      <c r="AG5" s="488" t="n">
        <v>3.92</v>
      </c>
      <c r="AH5" s="490" t="n">
        <v>5.19</v>
      </c>
      <c r="AI5" s="437" t="inlineStr">
        <is>
          <t>ND</t>
        </is>
      </c>
      <c r="AJ5" s="437" t="inlineStr">
        <is>
          <t>ND</t>
        </is>
      </c>
      <c r="AK5" s="437" t="inlineStr">
        <is>
          <t>ND</t>
        </is>
      </c>
      <c r="AL5" s="440" t="inlineStr">
        <is>
          <t>ND</t>
        </is>
      </c>
      <c r="AM5" s="443" t="inlineStr">
        <is>
          <t>ND</t>
        </is>
      </c>
      <c r="AN5" s="485" t="n">
        <v>4.57</v>
      </c>
      <c r="AO5" s="486" t="n">
        <v>3.37</v>
      </c>
      <c r="AP5" s="486" t="n">
        <v>1.08</v>
      </c>
      <c r="AQ5" s="440" t="inlineStr">
        <is>
          <t>ND</t>
        </is>
      </c>
      <c r="AR5" s="443" t="inlineStr">
        <is>
          <t>ND</t>
        </is>
      </c>
      <c r="AS5" s="437" t="inlineStr">
        <is>
          <t>ND</t>
        </is>
      </c>
      <c r="AT5" s="437" t="inlineStr">
        <is>
          <t>ND</t>
        </is>
      </c>
      <c r="AU5" s="486" t="n">
        <v>1.26</v>
      </c>
      <c r="AV5" s="440" t="inlineStr">
        <is>
          <t>ND</t>
        </is>
      </c>
      <c r="AW5" s="443" t="inlineStr">
        <is>
          <t>ND</t>
        </is>
      </c>
      <c r="AX5" s="437" t="inlineStr">
        <is>
          <t>ND</t>
        </is>
      </c>
      <c r="AY5" s="485" t="n">
        <v>5.66</v>
      </c>
      <c r="AZ5" s="122" t="n">
        <v>0.229</v>
      </c>
      <c r="BA5" s="488" t="inlineStr">
        <is>
          <t>ND</t>
        </is>
      </c>
      <c r="BB5" s="443" t="n">
        <v>0.373</v>
      </c>
      <c r="BC5" s="122" t="n">
        <v>0.8139999999999999</v>
      </c>
      <c r="BD5" s="437" t="inlineStr">
        <is>
          <t>ND</t>
        </is>
      </c>
      <c r="BE5" s="485" t="n">
        <v>1.72</v>
      </c>
      <c r="BF5" s="120" t="n">
        <v>0.665</v>
      </c>
      <c r="BG5" s="487" t="n">
        <v>1.33</v>
      </c>
      <c r="BH5" s="437" t="inlineStr">
        <is>
          <t>ND</t>
        </is>
      </c>
      <c r="BI5" s="437" t="inlineStr">
        <is>
          <t>ND</t>
        </is>
      </c>
      <c r="BJ5" s="437" t="inlineStr">
        <is>
          <t>ND</t>
        </is>
      </c>
      <c r="BK5" s="440" t="inlineStr">
        <is>
          <t>ND</t>
        </is>
      </c>
      <c r="BL5" s="487" t="n">
        <v>1.31</v>
      </c>
      <c r="BM5" s="437" t="inlineStr">
        <is>
          <t>ND</t>
        </is>
      </c>
      <c r="BN5" s="437" t="inlineStr">
        <is>
          <t>ND</t>
        </is>
      </c>
      <c r="BO5" s="437" t="inlineStr">
        <is>
          <t>ND</t>
        </is>
      </c>
      <c r="BP5" s="440" t="inlineStr">
        <is>
          <t>ND</t>
        </is>
      </c>
      <c r="BQ5" s="443" t="n">
        <v>0.964</v>
      </c>
      <c r="BR5" s="437" t="inlineStr">
        <is>
          <t>ND</t>
        </is>
      </c>
      <c r="BS5" s="437" t="inlineStr">
        <is>
          <t>ND</t>
        </is>
      </c>
      <c r="BT5" s="489" t="n">
        <v>2.75</v>
      </c>
      <c r="BU5" s="455" t="n"/>
      <c r="BV5" s="455" t="n"/>
      <c r="BW5" s="437" t="n"/>
      <c r="BX5" s="437" t="n"/>
      <c r="BY5" s="437" t="n"/>
      <c r="BZ5" s="437" t="n"/>
      <c r="CA5" s="437" t="n"/>
      <c r="CB5" s="437" t="n"/>
      <c r="CC5" s="437" t="n"/>
      <c r="CD5" s="437" t="n"/>
      <c r="CE5" s="437" t="n"/>
      <c r="CF5" s="437" t="n"/>
      <c r="CG5" s="437" t="n"/>
      <c r="CH5" s="437" t="n"/>
      <c r="CI5" s="437" t="n"/>
      <c r="CJ5" s="437" t="n"/>
      <c r="CK5" s="437" t="n"/>
      <c r="CL5" s="437" t="n"/>
      <c r="CM5" s="437" t="n"/>
      <c r="CN5" s="437" t="n"/>
      <c r="CO5" s="437" t="n"/>
      <c r="CP5" s="437" t="n"/>
      <c r="CQ5" s="437" t="n"/>
      <c r="CR5" s="437" t="n"/>
      <c r="CS5" s="437" t="n"/>
      <c r="CT5" s="437" t="n"/>
      <c r="CU5" s="437" t="n"/>
      <c r="CV5" s="437" t="n"/>
      <c r="CW5" s="437" t="n"/>
      <c r="CX5" s="437" t="n"/>
      <c r="CY5" s="437" t="n"/>
      <c r="CZ5" s="437" t="n"/>
      <c r="DA5" s="437" t="n"/>
      <c r="DB5" s="437" t="n"/>
      <c r="DC5" s="437" t="n"/>
      <c r="DD5" s="437" t="n"/>
      <c r="DE5" s="437" t="n"/>
      <c r="DF5" s="437" t="n"/>
      <c r="DG5" s="437" t="n"/>
      <c r="DH5" s="437" t="n"/>
      <c r="DI5" s="437" t="n"/>
      <c r="DJ5" s="437" t="n"/>
      <c r="DK5" s="437" t="n"/>
      <c r="DL5" s="437" t="n"/>
      <c r="DM5" s="437" t="n"/>
      <c r="DN5" s="437" t="n"/>
      <c r="DO5" s="437" t="n"/>
      <c r="DP5" s="437" t="n"/>
      <c r="DQ5" s="437" t="n"/>
      <c r="DR5" s="437" t="n"/>
      <c r="DS5" s="437" t="n"/>
      <c r="DT5" s="437" t="n"/>
      <c r="DU5" s="437" t="n"/>
      <c r="DV5" s="437" t="n"/>
      <c r="DW5" s="437" t="n"/>
      <c r="DX5" s="437" t="n"/>
      <c r="DY5" s="238" t="n"/>
      <c r="DZ5" s="23" t="n"/>
      <c r="FQ5" s="212" t="n"/>
      <c r="FR5" s="212" t="n"/>
      <c r="FS5" s="212" t="n"/>
      <c r="FT5" s="212" t="n"/>
      <c r="FU5" s="212" t="n"/>
      <c r="FV5" s="212" t="n"/>
      <c r="FW5" s="212" t="n"/>
      <c r="FX5" s="212" t="n"/>
      <c r="FY5" s="212" t="n"/>
      <c r="FZ5" s="212" t="n"/>
    </row>
    <row r="6" ht="36" customFormat="1" customHeight="1" s="5">
      <c r="A6" s="456" t="n"/>
      <c r="B6" s="8" t="n"/>
      <c r="C6" s="12" t="inlineStr">
        <is>
          <t>R</t>
        </is>
      </c>
      <c r="D6" s="491" t="n">
        <v>2.28</v>
      </c>
      <c r="E6" s="492" t="n">
        <v>2.2</v>
      </c>
      <c r="F6" s="438" t="inlineStr">
        <is>
          <t>ND</t>
        </is>
      </c>
      <c r="G6" s="438" t="inlineStr">
        <is>
          <t>ND</t>
        </is>
      </c>
      <c r="H6" s="441" t="inlineStr">
        <is>
          <t>ND</t>
        </is>
      </c>
      <c r="I6" s="444" t="n">
        <v>0.061</v>
      </c>
      <c r="J6" s="493" t="n">
        <v>12.7</v>
      </c>
      <c r="K6" s="494" t="n">
        <v>7.52</v>
      </c>
      <c r="L6" s="438" t="inlineStr">
        <is>
          <t>ND</t>
        </is>
      </c>
      <c r="M6" s="495" t="inlineStr">
        <is>
          <t>ND</t>
        </is>
      </c>
      <c r="N6" s="496" t="n">
        <v>5.67</v>
      </c>
      <c r="O6" s="438" t="inlineStr">
        <is>
          <t>ND</t>
        </is>
      </c>
      <c r="P6" s="438" t="inlineStr">
        <is>
          <t>ND</t>
        </is>
      </c>
      <c r="Q6" s="438" t="inlineStr">
        <is>
          <t>ND</t>
        </is>
      </c>
      <c r="R6" s="495" t="n">
        <v>1.04</v>
      </c>
      <c r="S6" s="444" t="inlineStr">
        <is>
          <t>ND</t>
        </is>
      </c>
      <c r="T6" s="125" t="n">
        <v>0.094</v>
      </c>
      <c r="U6" s="497" t="n">
        <v>1.08</v>
      </c>
      <c r="V6" s="494" t="n">
        <v>2.16</v>
      </c>
      <c r="W6" s="498" t="n">
        <v>7.89</v>
      </c>
      <c r="X6" s="444" t="inlineStr">
        <is>
          <t>ND</t>
        </is>
      </c>
      <c r="Y6" s="492" t="inlineStr">
        <is>
          <t>ND</t>
        </is>
      </c>
      <c r="Z6" s="438" t="inlineStr">
        <is>
          <t>ND</t>
        </is>
      </c>
      <c r="AA6" s="438" t="inlineStr">
        <is>
          <t>ND</t>
        </is>
      </c>
      <c r="AB6" s="498" t="n">
        <v>1.26</v>
      </c>
      <c r="AC6" s="496" t="n">
        <v>3.34</v>
      </c>
      <c r="AD6" s="438" t="n">
        <v>0.192</v>
      </c>
      <c r="AE6" s="438" t="n">
        <v>0.8070000000000001</v>
      </c>
      <c r="AF6" s="494" t="n">
        <v>3.91</v>
      </c>
      <c r="AG6" s="495" t="n">
        <v>1.72</v>
      </c>
      <c r="AH6" s="496" t="n">
        <v>4.39</v>
      </c>
      <c r="AI6" s="497" t="n">
        <v>3.73</v>
      </c>
      <c r="AJ6" s="438" t="inlineStr">
        <is>
          <t>ND</t>
        </is>
      </c>
      <c r="AK6" s="438" t="inlineStr">
        <is>
          <t>ND</t>
        </is>
      </c>
      <c r="AL6" s="441" t="inlineStr">
        <is>
          <t>ND</t>
        </is>
      </c>
      <c r="AM6" s="444" t="inlineStr">
        <is>
          <t>ND</t>
        </is>
      </c>
      <c r="AN6" s="499" t="n">
        <v>3.9</v>
      </c>
      <c r="AO6" s="497" t="n">
        <v>1.43</v>
      </c>
      <c r="AP6" s="438" t="n">
        <v>0.727</v>
      </c>
      <c r="AQ6" s="441" t="n">
        <v>0.459</v>
      </c>
      <c r="AR6" s="444" t="inlineStr">
        <is>
          <t>ND</t>
        </is>
      </c>
      <c r="AS6" s="438" t="inlineStr">
        <is>
          <t>ND</t>
        </is>
      </c>
      <c r="AT6" s="494" t="n">
        <v>4.82</v>
      </c>
      <c r="AU6" s="438" t="inlineStr">
        <is>
          <t>ND</t>
        </is>
      </c>
      <c r="AV6" s="441" t="inlineStr">
        <is>
          <t>ND</t>
        </is>
      </c>
      <c r="AW6" s="444" t="inlineStr">
        <is>
          <t>ND</t>
        </is>
      </c>
      <c r="AX6" s="438" t="inlineStr">
        <is>
          <t>ND</t>
        </is>
      </c>
      <c r="AY6" s="438" t="n">
        <v>0.547</v>
      </c>
      <c r="AZ6" s="438" t="n">
        <v>0.207</v>
      </c>
      <c r="BA6" s="495" t="n">
        <v>4.14</v>
      </c>
      <c r="BB6" s="444" t="n">
        <v>0.8120000000000001</v>
      </c>
      <c r="BC6" s="494" t="n">
        <v>1.94</v>
      </c>
      <c r="BD6" s="494" t="inlineStr">
        <is>
          <t>ND</t>
        </is>
      </c>
      <c r="BE6" s="438" t="n">
        <v>0.723</v>
      </c>
      <c r="BF6" s="498" t="n">
        <v>1.68</v>
      </c>
      <c r="BG6" s="444" t="n">
        <v>0.6850000000000001</v>
      </c>
      <c r="BH6" s="438" t="inlineStr">
        <is>
          <t>ND</t>
        </is>
      </c>
      <c r="BI6" s="438" t="inlineStr">
        <is>
          <t>ND</t>
        </is>
      </c>
      <c r="BJ6" s="497" t="n">
        <v>4.12</v>
      </c>
      <c r="BK6" s="441" t="n">
        <v>0.07099999999999999</v>
      </c>
      <c r="BL6" s="444" t="inlineStr">
        <is>
          <t>ND</t>
        </is>
      </c>
      <c r="BM6" s="438" t="n">
        <v>0.797</v>
      </c>
      <c r="BN6" s="438" t="n">
        <v>0.117</v>
      </c>
      <c r="BO6" s="438" t="inlineStr">
        <is>
          <t>ND</t>
        </is>
      </c>
      <c r="BP6" s="441" t="inlineStr">
        <is>
          <t>ND</t>
        </is>
      </c>
      <c r="BQ6" s="444" t="inlineStr">
        <is>
          <t>ND</t>
        </is>
      </c>
      <c r="BR6" s="438" t="inlineStr">
        <is>
          <t>ND</t>
        </is>
      </c>
      <c r="BS6" s="438" t="inlineStr">
        <is>
          <t>ND</t>
        </is>
      </c>
      <c r="BT6" s="441" t="inlineStr">
        <is>
          <t>ND</t>
        </is>
      </c>
      <c r="BU6" s="457" t="n"/>
      <c r="BV6" s="457" t="n"/>
      <c r="BW6" s="437" t="n"/>
      <c r="BX6" s="437" t="n"/>
      <c r="BY6" s="437" t="n"/>
      <c r="BZ6" s="437" t="n"/>
      <c r="CA6" s="437" t="n"/>
      <c r="CB6" s="437" t="n"/>
      <c r="CC6" s="437" t="n"/>
      <c r="CD6" s="437" t="n"/>
      <c r="CE6" s="437" t="n"/>
      <c r="CF6" s="437" t="n"/>
      <c r="CG6" s="437" t="n"/>
      <c r="CH6" s="437" t="n"/>
      <c r="CI6" s="437" t="n"/>
      <c r="CJ6" s="437" t="n"/>
      <c r="CK6" s="437" t="n"/>
      <c r="CL6" s="437" t="n"/>
      <c r="CM6" s="437" t="n"/>
      <c r="CN6" s="437" t="n"/>
      <c r="CO6" s="437" t="n"/>
      <c r="CP6" s="437" t="n"/>
      <c r="CQ6" s="437" t="n"/>
      <c r="CR6" s="437" t="n"/>
      <c r="CS6" s="437" t="n"/>
      <c r="CT6" s="437" t="n"/>
      <c r="CU6" s="437" t="n"/>
      <c r="CV6" s="437" t="n"/>
      <c r="CW6" s="437" t="n"/>
      <c r="CX6" s="437" t="n"/>
      <c r="CY6" s="437" t="n"/>
      <c r="CZ6" s="437" t="n"/>
      <c r="DA6" s="437" t="n"/>
      <c r="DB6" s="437" t="n"/>
      <c r="DC6" s="437" t="n"/>
      <c r="DD6" s="437" t="n"/>
      <c r="DE6" s="437" t="n"/>
      <c r="DF6" s="437" t="n"/>
      <c r="DG6" s="437" t="n"/>
      <c r="DH6" s="437" t="n"/>
      <c r="DI6" s="437" t="n"/>
      <c r="DJ6" s="437" t="n"/>
      <c r="DK6" s="437" t="n"/>
      <c r="DL6" s="437" t="n"/>
      <c r="DM6" s="437" t="n"/>
      <c r="DN6" s="437" t="n"/>
      <c r="DO6" s="437" t="n"/>
      <c r="DP6" s="437" t="n"/>
      <c r="DQ6" s="437" t="n"/>
      <c r="DR6" s="437" t="n"/>
      <c r="DS6" s="437" t="n"/>
      <c r="DT6" s="437" t="n"/>
      <c r="DU6" s="437" t="n"/>
      <c r="DV6" s="437" t="n"/>
      <c r="DW6" s="437" t="n"/>
      <c r="DX6" s="437" t="n"/>
      <c r="DY6" s="238" t="n"/>
      <c r="DZ6" s="23" t="n"/>
      <c r="FQ6" s="212" t="n"/>
      <c r="FR6" s="212" t="n"/>
      <c r="FS6" s="212" t="n"/>
      <c r="FT6" s="212" t="n"/>
      <c r="FU6" s="212" t="n"/>
      <c r="FV6" s="212" t="n"/>
      <c r="FW6" s="212" t="n"/>
      <c r="FX6" s="212" t="n"/>
      <c r="FY6" s="212" t="n"/>
      <c r="FZ6" s="212" t="n"/>
    </row>
    <row r="7" ht="39.95" customFormat="1" customHeight="1" s="5">
      <c r="A7" s="10" t="inlineStr">
        <is>
          <t>A</t>
        </is>
      </c>
      <c r="B7" s="6" t="n"/>
      <c r="C7" s="11" t="inlineStr">
        <is>
          <t>L</t>
        </is>
      </c>
      <c r="D7" s="433" t="inlineStr">
        <is>
          <t>ND</t>
        </is>
      </c>
      <c r="E7" s="436" t="inlineStr">
        <is>
          <t>ND</t>
        </is>
      </c>
      <c r="F7" s="436" t="inlineStr">
        <is>
          <t>ND</t>
        </is>
      </c>
      <c r="G7" s="475" t="n">
        <v>3.56</v>
      </c>
      <c r="H7" s="476" t="n">
        <v>3.99</v>
      </c>
      <c r="I7" s="477" t="inlineStr">
        <is>
          <t>ND</t>
        </is>
      </c>
      <c r="J7" s="478" t="n">
        <v>1.19</v>
      </c>
      <c r="K7" s="478" t="n">
        <v>1.87</v>
      </c>
      <c r="L7" s="478" t="n">
        <v>1.15</v>
      </c>
      <c r="M7" s="439" t="n">
        <v>0.293</v>
      </c>
      <c r="N7" s="500" t="n">
        <v>3.2</v>
      </c>
      <c r="O7" s="112" t="n">
        <v>0.837</v>
      </c>
      <c r="P7" s="436" t="inlineStr">
        <is>
          <t>ND</t>
        </is>
      </c>
      <c r="Q7" s="436" t="n">
        <v>0.982</v>
      </c>
      <c r="R7" s="476" t="n">
        <v>3.48</v>
      </c>
      <c r="S7" s="477" t="n">
        <v>1.86</v>
      </c>
      <c r="T7" s="112" t="n">
        <v>0.883</v>
      </c>
      <c r="U7" s="112" t="n">
        <v>0.271</v>
      </c>
      <c r="V7" s="112" t="n">
        <v>0.401</v>
      </c>
      <c r="W7" s="476" t="n">
        <v>2.27</v>
      </c>
      <c r="X7" s="477" t="n">
        <v>1.91</v>
      </c>
      <c r="Y7" s="436" t="n">
        <v>0.531</v>
      </c>
      <c r="Z7" s="436" t="inlineStr">
        <is>
          <t>ND</t>
        </is>
      </c>
      <c r="AA7" s="112" t="n">
        <v>0.502</v>
      </c>
      <c r="AB7" s="476" t="n">
        <v>2.64</v>
      </c>
      <c r="AC7" s="115" t="n">
        <v>0.408</v>
      </c>
      <c r="AD7" s="478" t="inlineStr">
        <is>
          <t>ND</t>
        </is>
      </c>
      <c r="AE7" s="478" t="n">
        <v>1.18</v>
      </c>
      <c r="AF7" s="478" t="inlineStr">
        <is>
          <t>ND</t>
        </is>
      </c>
      <c r="AG7" s="476" t="inlineStr">
        <is>
          <t>ND</t>
        </is>
      </c>
      <c r="AH7" s="482" t="n">
        <v>1.9</v>
      </c>
      <c r="AI7" s="479" t="inlineStr">
        <is>
          <t>ND</t>
        </is>
      </c>
      <c r="AJ7" s="475" t="n">
        <v>6.38</v>
      </c>
      <c r="AK7" s="436" t="inlineStr">
        <is>
          <t>ND</t>
        </is>
      </c>
      <c r="AL7" s="476" t="inlineStr">
        <is>
          <t>ND</t>
        </is>
      </c>
      <c r="AM7" s="442" t="inlineStr">
        <is>
          <t>ND</t>
        </is>
      </c>
      <c r="AN7" s="478" t="n">
        <v>1.76</v>
      </c>
      <c r="AO7" s="475" t="n">
        <v>1.53</v>
      </c>
      <c r="AP7" s="112" t="n">
        <v>0.883</v>
      </c>
      <c r="AQ7" s="476" t="n">
        <v>2.75</v>
      </c>
      <c r="AR7" s="477" t="inlineStr">
        <is>
          <t>ND</t>
        </is>
      </c>
      <c r="AS7" s="478" t="n">
        <v>4.11</v>
      </c>
      <c r="AT7" s="478" t="inlineStr">
        <is>
          <t>ND</t>
        </is>
      </c>
      <c r="AU7" s="478" t="n">
        <v>1.73</v>
      </c>
      <c r="AV7" s="439" t="n">
        <v>0.961</v>
      </c>
      <c r="AW7" s="477" t="n">
        <v>1.21</v>
      </c>
      <c r="AX7" s="112" t="n">
        <v>0.257</v>
      </c>
      <c r="AY7" s="481" t="n">
        <v>2.4</v>
      </c>
      <c r="AZ7" s="436" t="inlineStr">
        <is>
          <t>ND</t>
        </is>
      </c>
      <c r="BA7" s="480" t="n">
        <v>5.08</v>
      </c>
      <c r="BB7" s="442" t="inlineStr">
        <is>
          <t>ND</t>
        </is>
      </c>
      <c r="BC7" s="478" t="n">
        <v>1.82</v>
      </c>
      <c r="BD7" s="478" t="inlineStr">
        <is>
          <t>ND</t>
        </is>
      </c>
      <c r="BE7" s="478" t="n">
        <v>5.83</v>
      </c>
      <c r="BF7" s="476" t="n">
        <v>5.16</v>
      </c>
      <c r="BG7" s="442" t="inlineStr">
        <is>
          <t>ND</t>
        </is>
      </c>
      <c r="BH7" s="436" t="inlineStr">
        <is>
          <t>ND</t>
        </is>
      </c>
      <c r="BI7" s="475" t="n">
        <v>1.54</v>
      </c>
      <c r="BJ7" s="475" t="n">
        <v>2.04</v>
      </c>
      <c r="BK7" s="480" t="n">
        <v>2.69</v>
      </c>
      <c r="BL7" s="483" t="n">
        <v>1.35</v>
      </c>
      <c r="BM7" s="436" t="n">
        <v>0.269</v>
      </c>
      <c r="BN7" s="475" t="n">
        <v>2.31</v>
      </c>
      <c r="BO7" s="436" t="n">
        <v>0.261</v>
      </c>
      <c r="BP7" s="439" t="inlineStr">
        <is>
          <t>ND</t>
        </is>
      </c>
      <c r="BQ7" s="442" t="inlineStr">
        <is>
          <t>ND</t>
        </is>
      </c>
      <c r="BR7" s="478" t="n">
        <v>1.22</v>
      </c>
      <c r="BS7" s="436" t="n">
        <v>0.01</v>
      </c>
      <c r="BT7" s="439" t="inlineStr">
        <is>
          <t>ND</t>
        </is>
      </c>
      <c r="BU7" s="454">
        <f>IFERROR(AVERAGE(D7:BT9),0)</f>
        <v/>
      </c>
      <c r="BV7" s="454">
        <f>MAX(D7:BT9)</f>
        <v/>
      </c>
      <c r="BW7" s="238" t="n"/>
      <c r="BX7" s="238" t="n"/>
      <c r="BY7" s="238" t="n"/>
      <c r="BZ7" s="238" t="n"/>
      <c r="CA7" s="238" t="n"/>
      <c r="CB7" s="238" t="n"/>
      <c r="CC7" s="238" t="n"/>
      <c r="CD7" s="238" t="n"/>
      <c r="CE7" s="238" t="n"/>
      <c r="CF7" s="238" t="n"/>
      <c r="CG7" s="238" t="n"/>
      <c r="CH7" s="238" t="n"/>
      <c r="CI7" s="238" t="n"/>
      <c r="CJ7" s="238" t="n"/>
      <c r="CK7" s="238" t="n"/>
      <c r="CL7" s="238" t="n"/>
      <c r="CM7" s="238" t="n"/>
      <c r="CN7" s="238" t="n"/>
      <c r="CO7" s="238" t="n"/>
      <c r="CP7" s="238" t="n"/>
      <c r="CQ7" s="238" t="n"/>
      <c r="CR7" s="238" t="n"/>
      <c r="CS7" s="238" t="n"/>
      <c r="CT7" s="238" t="n"/>
      <c r="CU7" s="238" t="n"/>
      <c r="CV7" s="238" t="n"/>
      <c r="CW7" s="238" t="n"/>
      <c r="CX7" s="238" t="n"/>
      <c r="CY7" s="238" t="n"/>
      <c r="CZ7" s="238" t="n"/>
      <c r="DA7" s="238" t="n"/>
      <c r="DB7" s="238" t="n"/>
      <c r="DC7" s="238" t="n"/>
      <c r="DD7" s="238" t="n"/>
      <c r="DE7" s="238" t="n"/>
      <c r="DF7" s="238" t="n"/>
      <c r="DG7" s="238" t="n"/>
      <c r="DH7" s="238" t="n"/>
      <c r="DI7" s="238" t="n"/>
      <c r="DJ7" s="238" t="n"/>
      <c r="DK7" s="238" t="n"/>
      <c r="DL7" s="238" t="n"/>
      <c r="DM7" s="238" t="n"/>
      <c r="DN7" s="238" t="n"/>
      <c r="DO7" s="238" t="n"/>
      <c r="DP7" s="238" t="n"/>
      <c r="DQ7" s="238" t="n"/>
      <c r="DR7" s="238" t="n"/>
      <c r="DS7" s="238" t="n"/>
      <c r="DT7" s="238" t="n"/>
      <c r="DU7" s="238" t="n"/>
      <c r="DV7" s="238" t="n"/>
      <c r="DW7" s="238" t="n"/>
      <c r="DX7" s="238" t="n"/>
      <c r="DY7" s="238" t="n"/>
      <c r="DZ7" s="23" t="n"/>
      <c r="FQ7" s="212" t="n"/>
      <c r="FR7" s="212" t="n"/>
      <c r="FS7" s="212" t="n"/>
      <c r="FT7" s="212" t="n"/>
      <c r="FU7" s="212" t="n"/>
      <c r="FV7" s="212" t="n"/>
      <c r="FW7" s="212" t="n"/>
      <c r="FX7" s="212" t="n"/>
      <c r="FY7" s="212" t="n"/>
      <c r="FZ7" s="212" t="n"/>
    </row>
    <row r="8" ht="39.95" customFormat="1" customHeight="1" s="5">
      <c r="A8" s="182" t="inlineStr"/>
      <c r="B8" s="7" t="inlineStr">
        <is>
          <t>+15 FT</t>
        </is>
      </c>
      <c r="C8" s="11" t="inlineStr">
        <is>
          <t>C</t>
        </is>
      </c>
      <c r="D8" s="434" t="inlineStr">
        <is>
          <t>ND</t>
        </is>
      </c>
      <c r="E8" s="437" t="inlineStr">
        <is>
          <t>ND</t>
        </is>
      </c>
      <c r="F8" s="437" t="n">
        <v>0.446</v>
      </c>
      <c r="G8" s="501" t="n">
        <v>1.2</v>
      </c>
      <c r="H8" s="488" t="n">
        <v>4.61</v>
      </c>
      <c r="I8" s="443" t="inlineStr">
        <is>
          <t>ND</t>
        </is>
      </c>
      <c r="J8" s="502" t="inlineStr">
        <is>
          <t>ND</t>
        </is>
      </c>
      <c r="K8" s="485" t="n">
        <v>1.36</v>
      </c>
      <c r="L8" s="485" t="inlineStr">
        <is>
          <t>ND</t>
        </is>
      </c>
      <c r="M8" s="503" t="n">
        <v>1.2</v>
      </c>
      <c r="N8" s="487" t="n">
        <v>3.61</v>
      </c>
      <c r="O8" s="437" t="inlineStr">
        <is>
          <t>ND</t>
        </is>
      </c>
      <c r="P8" s="437" t="inlineStr">
        <is>
          <t>ND</t>
        </is>
      </c>
      <c r="Q8" s="486" t="n">
        <v>1.32</v>
      </c>
      <c r="R8" s="440" t="inlineStr">
        <is>
          <t>ND</t>
        </is>
      </c>
      <c r="S8" s="490" t="inlineStr">
        <is>
          <t>ND</t>
        </is>
      </c>
      <c r="T8" s="437" t="inlineStr">
        <is>
          <t>ND</t>
        </is>
      </c>
      <c r="U8" s="485" t="inlineStr">
        <is>
          <t>ND</t>
        </is>
      </c>
      <c r="V8" s="485" t="n">
        <v>1.03</v>
      </c>
      <c r="W8" s="488" t="n">
        <v>1.63</v>
      </c>
      <c r="X8" s="490" t="inlineStr">
        <is>
          <t>ND</t>
        </is>
      </c>
      <c r="Y8" s="486" t="n">
        <v>5.69</v>
      </c>
      <c r="Z8" s="486" t="n">
        <v>6.99</v>
      </c>
      <c r="AA8" s="502" t="inlineStr">
        <is>
          <t>ND</t>
        </is>
      </c>
      <c r="AB8" s="504" t="n">
        <v>6.4</v>
      </c>
      <c r="AC8" s="490" t="n">
        <v>1.41</v>
      </c>
      <c r="AD8" s="485" t="n">
        <v>3.13</v>
      </c>
      <c r="AE8" s="485" t="n">
        <v>1.92</v>
      </c>
      <c r="AF8" s="485" t="inlineStr">
        <is>
          <t>ND</t>
        </is>
      </c>
      <c r="AG8" s="488" t="n">
        <v>2.08</v>
      </c>
      <c r="AH8" s="443" t="inlineStr">
        <is>
          <t>ND</t>
        </is>
      </c>
      <c r="AI8" s="485" t="inlineStr">
        <is>
          <t>ND</t>
        </is>
      </c>
      <c r="AJ8" s="437" t="inlineStr">
        <is>
          <t>ND</t>
        </is>
      </c>
      <c r="AK8" s="485" t="n">
        <v>1.21</v>
      </c>
      <c r="AL8" s="488" t="n">
        <v>4.11</v>
      </c>
      <c r="AM8" s="490" t="inlineStr">
        <is>
          <t>ND</t>
        </is>
      </c>
      <c r="AN8" s="437" t="n">
        <v>0.412</v>
      </c>
      <c r="AO8" s="486" t="n">
        <v>1.04</v>
      </c>
      <c r="AP8" s="485" t="n">
        <v>1.37</v>
      </c>
      <c r="AQ8" s="440" t="inlineStr">
        <is>
          <t>ND</t>
        </is>
      </c>
      <c r="AR8" s="443" t="inlineStr">
        <is>
          <t>ND</t>
        </is>
      </c>
      <c r="AS8" s="122" t="n">
        <v>0.902</v>
      </c>
      <c r="AT8" s="486" t="n">
        <v>2.12</v>
      </c>
      <c r="AU8" s="485" t="inlineStr">
        <is>
          <t>ND</t>
        </is>
      </c>
      <c r="AV8" s="489" t="n">
        <v>2.37</v>
      </c>
      <c r="AW8" s="132" t="n">
        <v>0.625</v>
      </c>
      <c r="AX8" s="485" t="n">
        <v>2.01</v>
      </c>
      <c r="AY8" s="437" t="inlineStr">
        <is>
          <t>ND</t>
        </is>
      </c>
      <c r="AZ8" s="437" t="n">
        <v>0.354</v>
      </c>
      <c r="BA8" s="440" t="inlineStr">
        <is>
          <t>ND</t>
        </is>
      </c>
      <c r="BB8" s="443" t="n">
        <v>0.08599999999999999</v>
      </c>
      <c r="BC8" s="485" t="n">
        <v>5.14</v>
      </c>
      <c r="BD8" s="437" t="inlineStr">
        <is>
          <t>ND</t>
        </is>
      </c>
      <c r="BE8" s="486" t="n">
        <v>3.72</v>
      </c>
      <c r="BF8" s="488" t="n">
        <v>3.54</v>
      </c>
      <c r="BG8" s="490" t="n">
        <v>4.79</v>
      </c>
      <c r="BH8" s="486" t="n">
        <v>3.06</v>
      </c>
      <c r="BI8" s="437" t="inlineStr">
        <is>
          <t>ND</t>
        </is>
      </c>
      <c r="BJ8" s="437" t="n">
        <v>0.164</v>
      </c>
      <c r="BK8" s="440" t="inlineStr">
        <is>
          <t>ND</t>
        </is>
      </c>
      <c r="BL8" s="443" t="n">
        <v>0.829</v>
      </c>
      <c r="BM8" s="437" t="n">
        <v>0.831</v>
      </c>
      <c r="BN8" s="437" t="inlineStr">
        <is>
          <t>ND</t>
        </is>
      </c>
      <c r="BO8" s="437" t="n">
        <v>0.481</v>
      </c>
      <c r="BP8" s="440" t="inlineStr">
        <is>
          <t>ND</t>
        </is>
      </c>
      <c r="BQ8" s="443" t="inlineStr">
        <is>
          <t>ND</t>
        </is>
      </c>
      <c r="BR8" s="485" t="n">
        <v>2.09</v>
      </c>
      <c r="BS8" s="437" t="n">
        <v>0.513</v>
      </c>
      <c r="BT8" s="440" t="inlineStr">
        <is>
          <t>ND</t>
        </is>
      </c>
      <c r="BU8" s="455" t="n"/>
      <c r="BV8" s="455" t="n"/>
      <c r="BW8" s="238" t="n"/>
      <c r="BX8" s="238" t="n"/>
      <c r="BY8" s="238" t="n"/>
      <c r="BZ8" s="238" t="n"/>
      <c r="CA8" s="238" t="n"/>
      <c r="CB8" s="238" t="n"/>
      <c r="CC8" s="238" t="n"/>
      <c r="CD8" s="238" t="n"/>
      <c r="CE8" s="238" t="n"/>
      <c r="CF8" s="238" t="n"/>
      <c r="CG8" s="238" t="n"/>
      <c r="CH8" s="238" t="n"/>
      <c r="CI8" s="238" t="n"/>
      <c r="CJ8" s="238" t="n"/>
      <c r="CK8" s="238" t="n"/>
      <c r="CL8" s="238" t="n"/>
      <c r="CM8" s="238" t="n"/>
      <c r="CN8" s="238" t="n"/>
      <c r="CO8" s="238" t="n"/>
      <c r="CP8" s="238" t="n"/>
      <c r="CQ8" s="238" t="n"/>
      <c r="CR8" s="238" t="n"/>
      <c r="CS8" s="238" t="n"/>
      <c r="CT8" s="238" t="n"/>
      <c r="CU8" s="238" t="n"/>
      <c r="CV8" s="238" t="n"/>
      <c r="CW8" s="238" t="n"/>
      <c r="CX8" s="238" t="n"/>
      <c r="CY8" s="238" t="n"/>
      <c r="CZ8" s="238" t="n"/>
      <c r="DA8" s="238" t="n"/>
      <c r="DB8" s="238" t="n"/>
      <c r="DC8" s="238" t="n"/>
      <c r="DD8" s="238" t="n"/>
      <c r="DE8" s="238" t="n"/>
      <c r="DF8" s="238" t="n"/>
      <c r="DG8" s="238" t="n"/>
      <c r="DH8" s="238" t="n"/>
      <c r="DI8" s="238" t="n"/>
      <c r="DJ8" s="238" t="n"/>
      <c r="DK8" s="238" t="n"/>
      <c r="DL8" s="238" t="n"/>
      <c r="DM8" s="238" t="n"/>
      <c r="DN8" s="238" t="n"/>
      <c r="DO8" s="238" t="n"/>
      <c r="DP8" s="238" t="n"/>
      <c r="DQ8" s="238" t="n"/>
      <c r="DR8" s="238" t="n"/>
      <c r="DS8" s="238" t="n"/>
      <c r="DT8" s="238" t="n"/>
      <c r="DU8" s="238" t="n"/>
      <c r="DV8" s="238" t="n"/>
      <c r="DW8" s="238" t="n"/>
      <c r="DX8" s="238" t="n"/>
      <c r="DY8" s="238" t="n"/>
      <c r="DZ8" s="23" t="n"/>
      <c r="FQ8" s="212" t="n"/>
      <c r="FR8" s="212" t="n"/>
      <c r="FS8" s="212" t="n"/>
      <c r="FT8" s="212" t="n"/>
      <c r="FU8" s="212" t="n"/>
      <c r="FV8" s="212" t="n"/>
      <c r="FW8" s="212" t="n"/>
      <c r="FX8" s="212" t="n"/>
      <c r="FY8" s="212" t="n"/>
      <c r="FZ8" s="212" t="n"/>
    </row>
    <row r="9" ht="39.95" customFormat="1" customHeight="1" s="5">
      <c r="A9" s="456" t="n"/>
      <c r="B9" s="8" t="n"/>
      <c r="C9" s="12" t="inlineStr">
        <is>
          <t>R</t>
        </is>
      </c>
      <c r="D9" s="435" t="inlineStr">
        <is>
          <t>ND</t>
        </is>
      </c>
      <c r="E9" s="125" t="n">
        <v>0.896</v>
      </c>
      <c r="F9" s="497" t="n">
        <v>1.53</v>
      </c>
      <c r="G9" s="497" t="n">
        <v>1.84</v>
      </c>
      <c r="H9" s="495" t="n">
        <v>5.22</v>
      </c>
      <c r="I9" s="444" t="inlineStr">
        <is>
          <t>ND</t>
        </is>
      </c>
      <c r="J9" s="494" t="inlineStr">
        <is>
          <t>ND</t>
        </is>
      </c>
      <c r="K9" s="494" t="n">
        <v>2.65</v>
      </c>
      <c r="L9" s="494" t="inlineStr">
        <is>
          <t>ND</t>
        </is>
      </c>
      <c r="M9" s="495" t="n">
        <v>1.21</v>
      </c>
      <c r="N9" s="444" t="inlineStr">
        <is>
          <t>ND</t>
        </is>
      </c>
      <c r="O9" s="494" t="n">
        <v>1.55</v>
      </c>
      <c r="P9" s="438" t="n">
        <v>0.598</v>
      </c>
      <c r="Q9" s="497" t="n">
        <v>2.36</v>
      </c>
      <c r="R9" s="498" t="n">
        <v>1.71</v>
      </c>
      <c r="S9" s="496" t="inlineStr">
        <is>
          <t>ND</t>
        </is>
      </c>
      <c r="T9" s="438" t="inlineStr">
        <is>
          <t>ND</t>
        </is>
      </c>
      <c r="U9" s="494" t="n">
        <v>1.48</v>
      </c>
      <c r="V9" s="125" t="n">
        <v>0.857</v>
      </c>
      <c r="W9" s="495" t="n">
        <v>2.63</v>
      </c>
      <c r="X9" s="496" t="n">
        <v>1.03</v>
      </c>
      <c r="Y9" s="493" t="n">
        <v>10.9</v>
      </c>
      <c r="Z9" s="497" t="n">
        <v>7.68</v>
      </c>
      <c r="AA9" s="492" t="inlineStr">
        <is>
          <t>ND</t>
        </is>
      </c>
      <c r="AB9" s="495" t="n">
        <v>5.93</v>
      </c>
      <c r="AC9" s="496" t="n">
        <v>4.18</v>
      </c>
      <c r="AD9" s="125" t="n">
        <v>0.765</v>
      </c>
      <c r="AE9" s="494" t="n">
        <v>1.81</v>
      </c>
      <c r="AF9" s="125" t="n">
        <v>0.719</v>
      </c>
      <c r="AG9" s="495" t="inlineStr">
        <is>
          <t>ND</t>
        </is>
      </c>
      <c r="AH9" s="505" t="n">
        <v>2.61</v>
      </c>
      <c r="AI9" s="494" t="n">
        <v>4.29</v>
      </c>
      <c r="AJ9" s="438" t="inlineStr">
        <is>
          <t>ND</t>
        </is>
      </c>
      <c r="AK9" s="494" t="n">
        <v>2.05</v>
      </c>
      <c r="AL9" s="495" t="inlineStr">
        <is>
          <t>ND</t>
        </is>
      </c>
      <c r="AM9" s="505" t="n">
        <v>1.09</v>
      </c>
      <c r="AN9" s="438" t="inlineStr">
        <is>
          <t>ND</t>
        </is>
      </c>
      <c r="AO9" s="497" t="n">
        <v>4.99</v>
      </c>
      <c r="AP9" s="492" t="n">
        <v>2.7</v>
      </c>
      <c r="AQ9" s="495" t="n">
        <v>2.33</v>
      </c>
      <c r="AR9" s="505" t="n">
        <v>1.51</v>
      </c>
      <c r="AS9" s="438" t="n">
        <v>0.8080000000000001</v>
      </c>
      <c r="AT9" s="438" t="n">
        <v>0.397</v>
      </c>
      <c r="AU9" s="497" t="n">
        <v>1.28</v>
      </c>
      <c r="AV9" s="495" t="n">
        <v>4.42</v>
      </c>
      <c r="AW9" s="496" t="n">
        <v>3.42</v>
      </c>
      <c r="AX9" s="125" t="n">
        <v>0.641</v>
      </c>
      <c r="AY9" s="438" t="n">
        <v>0.633</v>
      </c>
      <c r="AZ9" s="494" t="n">
        <v>2.54</v>
      </c>
      <c r="BA9" s="498" t="n">
        <v>1.12</v>
      </c>
      <c r="BB9" s="444" t="inlineStr">
        <is>
          <t>ND</t>
        </is>
      </c>
      <c r="BC9" s="438" t="inlineStr">
        <is>
          <t>ND</t>
        </is>
      </c>
      <c r="BD9" s="438" t="n">
        <v>0.828</v>
      </c>
      <c r="BE9" s="438" t="n">
        <v>0.002</v>
      </c>
      <c r="BF9" s="495" t="n">
        <v>6.62</v>
      </c>
      <c r="BG9" s="444" t="n">
        <v>0.642</v>
      </c>
      <c r="BH9" s="438" t="n">
        <v>0.46</v>
      </c>
      <c r="BI9" s="438" t="inlineStr">
        <is>
          <t>ND</t>
        </is>
      </c>
      <c r="BJ9" s="497" t="n">
        <v>1.95</v>
      </c>
      <c r="BK9" s="441" t="n">
        <v>0.636</v>
      </c>
      <c r="BL9" s="496" t="n">
        <v>2.89</v>
      </c>
      <c r="BM9" s="438" t="inlineStr">
        <is>
          <t>ND</t>
        </is>
      </c>
      <c r="BN9" s="438" t="inlineStr">
        <is>
          <t>ND</t>
        </is>
      </c>
      <c r="BO9" s="438" t="n">
        <v>0.157</v>
      </c>
      <c r="BP9" s="441" t="inlineStr">
        <is>
          <t>ND</t>
        </is>
      </c>
      <c r="BQ9" s="444" t="inlineStr">
        <is>
          <t>ND</t>
        </is>
      </c>
      <c r="BR9" s="438" t="n">
        <v>0.029</v>
      </c>
      <c r="BS9" s="497" t="n">
        <v>2.54</v>
      </c>
      <c r="BT9" s="495" t="inlineStr">
        <is>
          <t>ND</t>
        </is>
      </c>
      <c r="BU9" s="457" t="n"/>
      <c r="BV9" s="457" t="n"/>
      <c r="BW9" s="238" t="n"/>
      <c r="BX9" s="238" t="n"/>
      <c r="BY9" s="238" t="n"/>
      <c r="BZ9" s="238" t="n"/>
      <c r="CA9" s="238" t="n"/>
      <c r="CB9" s="238" t="n"/>
      <c r="CC9" s="238" t="n"/>
      <c r="CD9" s="238" t="n"/>
      <c r="CE9" s="238" t="n"/>
      <c r="CF9" s="238" t="n"/>
      <c r="CG9" s="238" t="n"/>
      <c r="CH9" s="238" t="n"/>
      <c r="CI9" s="238" t="n"/>
      <c r="CJ9" s="238" t="n"/>
      <c r="CK9" s="238" t="n"/>
      <c r="CL9" s="238" t="n"/>
      <c r="CM9" s="238" t="n"/>
      <c r="CN9" s="238" t="n"/>
      <c r="CO9" s="238" t="n"/>
      <c r="CP9" s="238" t="n"/>
      <c r="CQ9" s="238" t="n"/>
      <c r="CR9" s="238" t="n"/>
      <c r="CS9" s="238" t="n"/>
      <c r="CT9" s="238" t="n"/>
      <c r="CU9" s="238" t="n"/>
      <c r="CV9" s="238" t="n"/>
      <c r="CW9" s="238" t="n"/>
      <c r="CX9" s="238" t="n"/>
      <c r="CY9" s="238" t="n"/>
      <c r="CZ9" s="238" t="n"/>
      <c r="DA9" s="238" t="n"/>
      <c r="DB9" s="238" t="n"/>
      <c r="DC9" s="238" t="n"/>
      <c r="DD9" s="238" t="n"/>
      <c r="DE9" s="238" t="n"/>
      <c r="DF9" s="238" t="n"/>
      <c r="DG9" s="238" t="n"/>
      <c r="DH9" s="238" t="n"/>
      <c r="DI9" s="238" t="n"/>
      <c r="DJ9" s="238" t="n"/>
      <c r="DK9" s="238" t="n"/>
      <c r="DL9" s="238" t="n"/>
      <c r="DM9" s="238" t="n"/>
      <c r="DN9" s="238" t="n"/>
      <c r="DO9" s="238" t="n"/>
      <c r="DP9" s="238" t="n"/>
      <c r="DQ9" s="238" t="n"/>
      <c r="DR9" s="238" t="n"/>
      <c r="DS9" s="238" t="n"/>
      <c r="DT9" s="238" t="n"/>
      <c r="DU9" s="238" t="n"/>
      <c r="DV9" s="238" t="n"/>
      <c r="DW9" s="238" t="n"/>
      <c r="DX9" s="238" t="n"/>
      <c r="DY9" s="238" t="n"/>
      <c r="DZ9" s="23" t="n"/>
      <c r="FQ9" s="212" t="n"/>
      <c r="FR9" s="212" t="n"/>
      <c r="FS9" s="212" t="n"/>
      <c r="FT9" s="212" t="n"/>
      <c r="FU9" s="212" t="n"/>
      <c r="FV9" s="212" t="n"/>
      <c r="FW9" s="212" t="n"/>
      <c r="FX9" s="212" t="n"/>
      <c r="FY9" s="212" t="n"/>
      <c r="FZ9" s="212" t="n"/>
    </row>
    <row r="10" ht="39.95" customFormat="1" customHeight="1" s="5">
      <c r="A10" s="10" t="inlineStr">
        <is>
          <t>A</t>
        </is>
      </c>
      <c r="B10" s="6" t="n"/>
      <c r="C10" s="11" t="inlineStr">
        <is>
          <t>L</t>
        </is>
      </c>
      <c r="D10" s="506" t="n">
        <v>14.6</v>
      </c>
      <c r="E10" s="475" t="n">
        <v>2.33</v>
      </c>
      <c r="F10" s="475" t="n">
        <v>3.05</v>
      </c>
      <c r="G10" s="436" t="inlineStr">
        <is>
          <t>ND</t>
        </is>
      </c>
      <c r="H10" s="113" t="n">
        <v>0.873</v>
      </c>
      <c r="I10" s="442" t="n">
        <v>0.001</v>
      </c>
      <c r="J10" s="436" t="inlineStr">
        <is>
          <t>ND</t>
        </is>
      </c>
      <c r="K10" s="436" t="n">
        <v>0.651</v>
      </c>
      <c r="L10" s="436" t="inlineStr">
        <is>
          <t>ND</t>
        </is>
      </c>
      <c r="M10" s="439" t="inlineStr">
        <is>
          <t>ND</t>
        </is>
      </c>
      <c r="N10" s="483" t="n">
        <v>1.22</v>
      </c>
      <c r="O10" s="436" t="inlineStr">
        <is>
          <t>ND</t>
        </is>
      </c>
      <c r="P10" s="475" t="n">
        <v>2.65</v>
      </c>
      <c r="Q10" s="507" t="n">
        <v>11.7</v>
      </c>
      <c r="R10" s="480" t="n">
        <v>3.73</v>
      </c>
      <c r="S10" s="483" t="n">
        <v>2.11</v>
      </c>
      <c r="T10" s="436" t="n">
        <v>0.765</v>
      </c>
      <c r="U10" s="478" t="n">
        <v>1.14</v>
      </c>
      <c r="V10" s="112" t="n">
        <v>0.6899999999999999</v>
      </c>
      <c r="W10" s="439" t="n">
        <v>0.555</v>
      </c>
      <c r="X10" s="442" t="n">
        <v>0.841</v>
      </c>
      <c r="Y10" s="475" t="n">
        <v>1.33</v>
      </c>
      <c r="Z10" s="478" t="n">
        <v>3.99</v>
      </c>
      <c r="AA10" s="475" t="n">
        <v>1.18</v>
      </c>
      <c r="AB10" s="439" t="inlineStr">
        <is>
          <t>ND</t>
        </is>
      </c>
      <c r="AC10" s="477" t="n">
        <v>2.29</v>
      </c>
      <c r="AD10" s="475" t="n">
        <v>1.58</v>
      </c>
      <c r="AE10" s="436" t="inlineStr">
        <is>
          <t>ND</t>
        </is>
      </c>
      <c r="AF10" s="475" t="n">
        <v>3.58</v>
      </c>
      <c r="AG10" s="508" t="n">
        <v>3.2</v>
      </c>
      <c r="AH10" s="483" t="n">
        <v>2.27</v>
      </c>
      <c r="AI10" s="436" t="inlineStr">
        <is>
          <t>ND</t>
        </is>
      </c>
      <c r="AJ10" s="478" t="n">
        <v>5.32</v>
      </c>
      <c r="AK10" s="475" t="n">
        <v>1.57</v>
      </c>
      <c r="AL10" s="480" t="n">
        <v>3.82</v>
      </c>
      <c r="AM10" s="483" t="n">
        <v>5.03</v>
      </c>
      <c r="AN10" s="112" t="n">
        <v>0.791</v>
      </c>
      <c r="AO10" s="436" t="inlineStr">
        <is>
          <t>ND</t>
        </is>
      </c>
      <c r="AP10" s="507" t="n">
        <v>15.7</v>
      </c>
      <c r="AQ10" s="480" t="n">
        <v>6.28</v>
      </c>
      <c r="AR10" s="483" t="n">
        <v>1.69</v>
      </c>
      <c r="AS10" s="507" t="n">
        <v>10.7</v>
      </c>
      <c r="AT10" s="479" t="n">
        <v>7.5</v>
      </c>
      <c r="AU10" s="475" t="n">
        <v>1.18</v>
      </c>
      <c r="AV10" s="476" t="n">
        <v>1.36</v>
      </c>
      <c r="AW10" s="483" t="n">
        <v>7.85</v>
      </c>
      <c r="AX10" s="436" t="inlineStr">
        <is>
          <t>ND</t>
        </is>
      </c>
      <c r="AY10" s="475" t="n">
        <v>1.16</v>
      </c>
      <c r="AZ10" s="475" t="n">
        <v>6.88</v>
      </c>
      <c r="BA10" s="480" t="n">
        <v>1.92</v>
      </c>
      <c r="BB10" s="509" t="n">
        <v>13.4</v>
      </c>
      <c r="BC10" s="475" t="n">
        <v>2.17</v>
      </c>
      <c r="BD10" s="479" t="n">
        <v>5.7</v>
      </c>
      <c r="BE10" s="475" t="n">
        <v>5.63</v>
      </c>
      <c r="BF10" s="439" t="inlineStr">
        <is>
          <t>ND</t>
        </is>
      </c>
      <c r="BG10" s="477" t="n">
        <v>2.45</v>
      </c>
      <c r="BH10" s="478" t="n">
        <v>2.19</v>
      </c>
      <c r="BI10" s="507" t="n">
        <v>13.3</v>
      </c>
      <c r="BJ10" s="507" t="n">
        <v>10.6</v>
      </c>
      <c r="BK10" s="439" t="n">
        <v>0.576</v>
      </c>
      <c r="BL10" s="483" t="n">
        <v>2.81</v>
      </c>
      <c r="BM10" s="436" t="n">
        <v>0.674</v>
      </c>
      <c r="BN10" s="436" t="inlineStr">
        <is>
          <t>ND</t>
        </is>
      </c>
      <c r="BO10" s="436" t="n">
        <v>0.054</v>
      </c>
      <c r="BP10" s="439" t="inlineStr">
        <is>
          <t>ND</t>
        </is>
      </c>
      <c r="BQ10" s="500" t="n">
        <v>2.1</v>
      </c>
      <c r="BR10" s="436" t="n">
        <v>0.176</v>
      </c>
      <c r="BS10" s="436" t="n">
        <v>0.6830000000000001</v>
      </c>
      <c r="BT10" s="439" t="inlineStr">
        <is>
          <t>ND</t>
        </is>
      </c>
      <c r="BU10" s="454">
        <f>IFERROR(AVERAGE(D10:BT12),0)</f>
        <v/>
      </c>
      <c r="BV10" s="454">
        <f>MAX(D10:BT12)</f>
        <v/>
      </c>
      <c r="BW10" s="238" t="n"/>
      <c r="BX10" s="238" t="n"/>
      <c r="BY10" s="238" t="n"/>
      <c r="BZ10" s="238" t="n"/>
      <c r="CA10" s="238" t="n"/>
      <c r="CB10" s="238" t="n"/>
      <c r="CC10" s="238" t="n"/>
      <c r="CD10" s="238" t="n"/>
      <c r="CE10" s="238" t="n"/>
      <c r="CF10" s="238" t="n"/>
      <c r="CG10" s="238" t="n"/>
      <c r="CH10" s="238" t="n"/>
      <c r="CI10" s="238" t="n"/>
      <c r="CJ10" s="238" t="n"/>
      <c r="CK10" s="238" t="n"/>
      <c r="CL10" s="238" t="n"/>
      <c r="CM10" s="238" t="n"/>
      <c r="CN10" s="238" t="n"/>
      <c r="CO10" s="238" t="n"/>
      <c r="CP10" s="238" t="n"/>
      <c r="CQ10" s="238" t="n"/>
      <c r="CR10" s="238" t="n"/>
      <c r="CS10" s="238" t="n"/>
      <c r="CT10" s="238" t="n"/>
      <c r="CU10" s="238" t="n"/>
      <c r="CV10" s="238" t="n"/>
      <c r="CW10" s="238" t="n"/>
      <c r="CX10" s="238" t="n"/>
      <c r="CY10" s="238" t="n"/>
      <c r="CZ10" s="238" t="n"/>
      <c r="DA10" s="238" t="n"/>
      <c r="DB10" s="238" t="n"/>
      <c r="DC10" s="238" t="n"/>
      <c r="DD10" s="238" t="n"/>
      <c r="DE10" s="238" t="n"/>
      <c r="DF10" s="238" t="n"/>
      <c r="DG10" s="238" t="n"/>
      <c r="DH10" s="238" t="n"/>
      <c r="DI10" s="238" t="n"/>
      <c r="DJ10" s="238" t="n"/>
      <c r="DK10" s="238" t="n"/>
      <c r="DL10" s="238" t="n"/>
      <c r="DM10" s="238" t="n"/>
      <c r="DN10" s="238" t="n"/>
      <c r="DO10" s="238" t="n"/>
      <c r="DP10" s="238" t="n"/>
      <c r="DQ10" s="238" t="n"/>
      <c r="DR10" s="238" t="n"/>
      <c r="DS10" s="238" t="n"/>
      <c r="DT10" s="238" t="n"/>
      <c r="DU10" s="238" t="n"/>
      <c r="DV10" s="238" t="n"/>
      <c r="DW10" s="238" t="n"/>
      <c r="DX10" s="238" t="n"/>
      <c r="DY10" s="238" t="n"/>
      <c r="DZ10" s="23" t="n"/>
      <c r="FQ10" s="212" t="n"/>
      <c r="FR10" s="212" t="n"/>
      <c r="FS10" s="212" t="n"/>
      <c r="FT10" s="212" t="n"/>
      <c r="FU10" s="212" t="n"/>
      <c r="FV10" s="212" t="n"/>
      <c r="FW10" s="212" t="n"/>
      <c r="FX10" s="212" t="n"/>
      <c r="FY10" s="212" t="n"/>
      <c r="FZ10" s="212" t="n"/>
    </row>
    <row r="11" ht="39.95" customFormat="1" customHeight="1" s="5">
      <c r="A11" s="182" t="inlineStr"/>
      <c r="B11" s="7" t="inlineStr">
        <is>
          <t>+13 FT 6 IN</t>
        </is>
      </c>
      <c r="C11" s="11" t="inlineStr">
        <is>
          <t>C</t>
        </is>
      </c>
      <c r="D11" s="510" t="inlineStr">
        <is>
          <t>ND</t>
        </is>
      </c>
      <c r="E11" s="437" t="inlineStr">
        <is>
          <t>ND</t>
        </is>
      </c>
      <c r="F11" s="486" t="n">
        <v>3.39</v>
      </c>
      <c r="G11" s="437" t="n">
        <v>0.404</v>
      </c>
      <c r="H11" s="488" t="n">
        <v>1.74</v>
      </c>
      <c r="I11" s="443" t="inlineStr">
        <is>
          <t>ND</t>
        </is>
      </c>
      <c r="J11" s="437" t="inlineStr">
        <is>
          <t>ND</t>
        </is>
      </c>
      <c r="K11" s="437" t="n">
        <v>0.61</v>
      </c>
      <c r="L11" s="437" t="n">
        <v>0.143</v>
      </c>
      <c r="M11" s="440" t="n">
        <v>0.788</v>
      </c>
      <c r="N11" s="511" t="n">
        <v>6.4</v>
      </c>
      <c r="O11" s="486" t="n">
        <v>1.24</v>
      </c>
      <c r="P11" s="485" t="n">
        <v>1.03</v>
      </c>
      <c r="Q11" s="437" t="n">
        <v>0.083</v>
      </c>
      <c r="R11" s="489" t="n">
        <v>4.02</v>
      </c>
      <c r="S11" s="487" t="n">
        <v>1.88</v>
      </c>
      <c r="T11" s="437" t="n">
        <v>0.11</v>
      </c>
      <c r="U11" s="437" t="n">
        <v>0.845</v>
      </c>
      <c r="V11" s="485" t="n">
        <v>3.69</v>
      </c>
      <c r="W11" s="488" t="n">
        <v>4.39</v>
      </c>
      <c r="X11" s="443" t="inlineStr">
        <is>
          <t>ND</t>
        </is>
      </c>
      <c r="Y11" s="437" t="inlineStr">
        <is>
          <t>ND</t>
        </is>
      </c>
      <c r="Z11" s="122" t="n">
        <v>0.346</v>
      </c>
      <c r="AA11" s="437" t="inlineStr">
        <is>
          <t>ND</t>
        </is>
      </c>
      <c r="AB11" s="489" t="n">
        <v>4.47</v>
      </c>
      <c r="AC11" s="490" t="n">
        <v>7.82</v>
      </c>
      <c r="AD11" s="486" t="n">
        <v>5.29</v>
      </c>
      <c r="AE11" s="502" t="n">
        <v>1.4</v>
      </c>
      <c r="AF11" s="486" t="n">
        <v>1.24</v>
      </c>
      <c r="AG11" s="512" t="n">
        <v>10.9</v>
      </c>
      <c r="AH11" s="487" t="n">
        <v>2.34</v>
      </c>
      <c r="AI11" s="501" t="n">
        <v>2.9</v>
      </c>
      <c r="AJ11" s="485" t="n">
        <v>5.73</v>
      </c>
      <c r="AK11" s="437" t="inlineStr">
        <is>
          <t>ND</t>
        </is>
      </c>
      <c r="AL11" s="489" t="n">
        <v>1.81</v>
      </c>
      <c r="AM11" s="487" t="n">
        <v>3.23</v>
      </c>
      <c r="AN11" s="486" t="n">
        <v>9.970000000000001</v>
      </c>
      <c r="AO11" s="437" t="n">
        <v>0.759</v>
      </c>
      <c r="AP11" s="486" t="n">
        <v>1.15</v>
      </c>
      <c r="AQ11" s="488" t="n">
        <v>1.98</v>
      </c>
      <c r="AR11" s="490" t="n">
        <v>6.75</v>
      </c>
      <c r="AS11" s="437" t="inlineStr">
        <is>
          <t>ND</t>
        </is>
      </c>
      <c r="AT11" s="437" t="n">
        <v>0.798</v>
      </c>
      <c r="AU11" s="485" t="n">
        <v>6.21</v>
      </c>
      <c r="AV11" s="489" t="n">
        <v>2.36</v>
      </c>
      <c r="AW11" s="487" t="n">
        <v>1.49</v>
      </c>
      <c r="AX11" s="486" t="n">
        <v>7.63</v>
      </c>
      <c r="AY11" s="437" t="inlineStr">
        <is>
          <t>ND</t>
        </is>
      </c>
      <c r="AZ11" s="486" t="n">
        <v>6.98</v>
      </c>
      <c r="BA11" s="489" t="n">
        <v>4.01</v>
      </c>
      <c r="BB11" s="490" t="inlineStr">
        <is>
          <t>ND</t>
        </is>
      </c>
      <c r="BC11" s="437" t="inlineStr">
        <is>
          <t>ND</t>
        </is>
      </c>
      <c r="BD11" s="485" t="n">
        <v>3.77</v>
      </c>
      <c r="BE11" s="486" t="n">
        <v>2.99</v>
      </c>
      <c r="BF11" s="489" t="n">
        <v>6.98</v>
      </c>
      <c r="BG11" s="490" t="n">
        <v>2.47</v>
      </c>
      <c r="BH11" s="437" t="inlineStr">
        <is>
          <t>ND</t>
        </is>
      </c>
      <c r="BI11" s="437" t="inlineStr">
        <is>
          <t>ND</t>
        </is>
      </c>
      <c r="BJ11" s="486" t="n">
        <v>1.56</v>
      </c>
      <c r="BK11" s="489" t="n">
        <v>1.77</v>
      </c>
      <c r="BL11" s="443" t="inlineStr">
        <is>
          <t>ND</t>
        </is>
      </c>
      <c r="BM11" s="486" t="n">
        <v>1.28</v>
      </c>
      <c r="BN11" s="486" t="n">
        <v>3.32</v>
      </c>
      <c r="BO11" s="486" t="n">
        <v>4.24</v>
      </c>
      <c r="BP11" s="440" t="n">
        <v>0.176</v>
      </c>
      <c r="BQ11" s="443" t="inlineStr">
        <is>
          <t>ND</t>
        </is>
      </c>
      <c r="BR11" s="437" t="n">
        <v>0.87</v>
      </c>
      <c r="BS11" s="486" t="n">
        <v>2.15</v>
      </c>
      <c r="BT11" s="440" t="inlineStr">
        <is>
          <t>ND</t>
        </is>
      </c>
      <c r="BU11" s="455" t="n"/>
      <c r="BV11" s="455" t="n"/>
      <c r="BW11" s="238" t="n"/>
      <c r="BX11" s="238" t="n"/>
      <c r="BY11" s="238" t="n"/>
      <c r="BZ11" s="238" t="n"/>
      <c r="CA11" s="238" t="n"/>
      <c r="CB11" s="238" t="n"/>
      <c r="CC11" s="238" t="n"/>
      <c r="CD11" s="238" t="n"/>
      <c r="CE11" s="238" t="n"/>
      <c r="CF11" s="238" t="n"/>
      <c r="CG11" s="238" t="n"/>
      <c r="CH11" s="238" t="n"/>
      <c r="CI11" s="238" t="n"/>
      <c r="CJ11" s="238" t="n"/>
      <c r="CK11" s="238" t="n"/>
      <c r="CL11" s="238" t="n"/>
      <c r="CM11" s="238" t="n"/>
      <c r="CN11" s="238" t="n"/>
      <c r="CO11" s="238" t="n"/>
      <c r="CP11" s="238" t="n"/>
      <c r="CQ11" s="238" t="n"/>
      <c r="CR11" s="238" t="n"/>
      <c r="CS11" s="238" t="n"/>
      <c r="CT11" s="238" t="n"/>
      <c r="CU11" s="238" t="n"/>
      <c r="CV11" s="238" t="n"/>
      <c r="CW11" s="238" t="n"/>
      <c r="CX11" s="238" t="n"/>
      <c r="CY11" s="238" t="n"/>
      <c r="CZ11" s="238" t="n"/>
      <c r="DA11" s="238" t="n"/>
      <c r="DB11" s="238" t="n"/>
      <c r="DC11" s="238" t="n"/>
      <c r="DD11" s="238" t="n"/>
      <c r="DE11" s="238" t="n"/>
      <c r="DF11" s="238" t="n"/>
      <c r="DG11" s="238" t="n"/>
      <c r="DH11" s="238" t="n"/>
      <c r="DI11" s="238" t="n"/>
      <c r="DJ11" s="238" t="n"/>
      <c r="DK11" s="238" t="n"/>
      <c r="DL11" s="238" t="n"/>
      <c r="DM11" s="238" t="n"/>
      <c r="DN11" s="238" t="n"/>
      <c r="DO11" s="238" t="n"/>
      <c r="DP11" s="238" t="n"/>
      <c r="DQ11" s="238" t="n"/>
      <c r="DR11" s="238" t="n"/>
      <c r="DS11" s="238" t="n"/>
      <c r="DT11" s="238" t="n"/>
      <c r="DU11" s="238" t="n"/>
      <c r="DV11" s="238" t="n"/>
      <c r="DW11" s="238" t="n"/>
      <c r="DX11" s="238" t="n"/>
      <c r="DY11" s="238" t="n"/>
      <c r="DZ11" s="23" t="n"/>
      <c r="FQ11" s="212" t="n"/>
      <c r="FR11" s="212" t="n"/>
      <c r="FS11" s="212" t="n"/>
      <c r="FT11" s="212" t="n"/>
      <c r="FU11" s="212" t="n"/>
      <c r="FV11" s="212" t="n"/>
      <c r="FW11" s="212" t="n"/>
      <c r="FX11" s="212" t="n"/>
      <c r="FY11" s="212" t="n"/>
      <c r="FZ11" s="212" t="n"/>
    </row>
    <row r="12" ht="39.95" customFormat="1" customHeight="1" s="5">
      <c r="A12" s="456" t="n"/>
      <c r="B12" s="8" t="n"/>
      <c r="C12" s="12" t="inlineStr">
        <is>
          <t>R</t>
        </is>
      </c>
      <c r="D12" s="513" t="n">
        <v>3</v>
      </c>
      <c r="E12" s="494" t="n">
        <v>2.05</v>
      </c>
      <c r="F12" s="497" t="n">
        <v>3.13</v>
      </c>
      <c r="G12" s="497" t="n">
        <v>2.28</v>
      </c>
      <c r="H12" s="495" t="n">
        <v>2.35</v>
      </c>
      <c r="I12" s="444" t="inlineStr">
        <is>
          <t>ND</t>
        </is>
      </c>
      <c r="J12" s="438" t="inlineStr">
        <is>
          <t>ND</t>
        </is>
      </c>
      <c r="K12" s="497" t="n">
        <v>1.96</v>
      </c>
      <c r="L12" s="438" t="inlineStr">
        <is>
          <t>ND</t>
        </is>
      </c>
      <c r="M12" s="441" t="n">
        <v>0.658</v>
      </c>
      <c r="N12" s="505" t="n">
        <v>1.73</v>
      </c>
      <c r="O12" s="438" t="n">
        <v>0.327</v>
      </c>
      <c r="P12" s="497" t="n">
        <v>2.14</v>
      </c>
      <c r="Q12" s="497" t="n">
        <v>2.47</v>
      </c>
      <c r="R12" s="495" t="n">
        <v>2.45</v>
      </c>
      <c r="S12" s="496" t="n">
        <v>2.03</v>
      </c>
      <c r="T12" s="494" t="n">
        <v>1.75</v>
      </c>
      <c r="U12" s="494" t="n">
        <v>4.29</v>
      </c>
      <c r="V12" s="494" t="n">
        <v>2.64</v>
      </c>
      <c r="W12" s="495" t="n">
        <v>2.36</v>
      </c>
      <c r="X12" s="514" t="n">
        <v>3.4</v>
      </c>
      <c r="Y12" s="438" t="inlineStr">
        <is>
          <t>ND</t>
        </is>
      </c>
      <c r="Z12" s="494" t="n">
        <v>1.79</v>
      </c>
      <c r="AA12" s="497" t="n">
        <v>5.91</v>
      </c>
      <c r="AB12" s="495" t="n">
        <v>3.35</v>
      </c>
      <c r="AC12" s="514" t="n">
        <v>3.9</v>
      </c>
      <c r="AD12" s="497" t="n">
        <v>5.85</v>
      </c>
      <c r="AE12" s="499" t="n">
        <v>2.6</v>
      </c>
      <c r="AF12" s="515" t="n">
        <v>14.4</v>
      </c>
      <c r="AG12" s="516" t="n">
        <v>11.5</v>
      </c>
      <c r="AH12" s="517" t="n">
        <v>15.4</v>
      </c>
      <c r="AI12" s="494" t="n">
        <v>1.34</v>
      </c>
      <c r="AJ12" s="494" t="n">
        <v>6.02</v>
      </c>
      <c r="AK12" s="438" t="n">
        <v>0.629</v>
      </c>
      <c r="AL12" s="495" t="n">
        <v>2.25</v>
      </c>
      <c r="AM12" s="505" t="n">
        <v>1.46</v>
      </c>
      <c r="AN12" s="515" t="n">
        <v>13.9</v>
      </c>
      <c r="AO12" s="438" t="n">
        <v>0.489</v>
      </c>
      <c r="AP12" s="515" t="n">
        <v>13.8</v>
      </c>
      <c r="AQ12" s="495" t="n">
        <v>2.85</v>
      </c>
      <c r="AR12" s="505" t="n">
        <v>5.19</v>
      </c>
      <c r="AS12" s="438" t="inlineStr">
        <is>
          <t>ND</t>
        </is>
      </c>
      <c r="AT12" s="515" t="n">
        <v>17.3</v>
      </c>
      <c r="AU12" s="494" t="n">
        <v>5.33</v>
      </c>
      <c r="AV12" s="516" t="n">
        <v>12.5</v>
      </c>
      <c r="AW12" s="496" t="inlineStr">
        <is>
          <t>ND</t>
        </is>
      </c>
      <c r="AX12" s="438" t="inlineStr">
        <is>
          <t>ND</t>
        </is>
      </c>
      <c r="AY12" s="499" t="n">
        <v>8.9</v>
      </c>
      <c r="AZ12" s="438" t="inlineStr">
        <is>
          <t>ND</t>
        </is>
      </c>
      <c r="BA12" s="441" t="inlineStr">
        <is>
          <t>ND</t>
        </is>
      </c>
      <c r="BB12" s="496" t="n">
        <v>6.03</v>
      </c>
      <c r="BC12" s="438" t="n">
        <v>0.114</v>
      </c>
      <c r="BD12" s="494" t="n">
        <v>3.17</v>
      </c>
      <c r="BE12" s="494" t="n">
        <v>1.21</v>
      </c>
      <c r="BF12" s="498" t="n">
        <v>2.15</v>
      </c>
      <c r="BG12" s="496" t="n">
        <v>3.54</v>
      </c>
      <c r="BH12" s="438" t="inlineStr">
        <is>
          <t>ND</t>
        </is>
      </c>
      <c r="BI12" s="493" t="n">
        <v>12.2</v>
      </c>
      <c r="BJ12" s="497" t="n">
        <v>5.79</v>
      </c>
      <c r="BK12" s="441" t="n">
        <v>0.84</v>
      </c>
      <c r="BL12" s="505" t="n">
        <v>2.96</v>
      </c>
      <c r="BM12" s="438" t="inlineStr">
        <is>
          <t>ND</t>
        </is>
      </c>
      <c r="BN12" s="497" t="n">
        <v>2.29</v>
      </c>
      <c r="BO12" s="499" t="n">
        <v>6.1</v>
      </c>
      <c r="BP12" s="441" t="n">
        <v>0.6879999999999999</v>
      </c>
      <c r="BQ12" s="505" t="n">
        <v>1.51</v>
      </c>
      <c r="BR12" s="497" t="n">
        <v>5.08</v>
      </c>
      <c r="BS12" s="499" t="n">
        <v>5.6</v>
      </c>
      <c r="BT12" s="441" t="inlineStr">
        <is>
          <t>ND</t>
        </is>
      </c>
      <c r="BU12" s="457" t="n"/>
      <c r="BV12" s="457" t="n"/>
      <c r="BW12" s="238" t="n"/>
      <c r="BX12" s="238" t="n"/>
      <c r="BY12" s="238" t="n"/>
      <c r="BZ12" s="238" t="n"/>
      <c r="CA12" s="238" t="n"/>
      <c r="CB12" s="238" t="n"/>
      <c r="CC12" s="238" t="n"/>
      <c r="CD12" s="238" t="n"/>
      <c r="CE12" s="238" t="n"/>
      <c r="CF12" s="238" t="n"/>
      <c r="CG12" s="238" t="n"/>
      <c r="CH12" s="238" t="n"/>
      <c r="CI12" s="238" t="n"/>
      <c r="CJ12" s="238" t="n"/>
      <c r="CK12" s="238" t="n"/>
      <c r="CL12" s="238" t="n"/>
      <c r="CM12" s="238" t="n"/>
      <c r="CN12" s="238" t="n"/>
      <c r="CO12" s="238" t="n"/>
      <c r="CP12" s="238" t="n"/>
      <c r="CQ12" s="238" t="n"/>
      <c r="CR12" s="238" t="n"/>
      <c r="CS12" s="238" t="n"/>
      <c r="CT12" s="238" t="n"/>
      <c r="CU12" s="238" t="n"/>
      <c r="CV12" s="238" t="n"/>
      <c r="CW12" s="238" t="n"/>
      <c r="CX12" s="238" t="n"/>
      <c r="CY12" s="238" t="n"/>
      <c r="CZ12" s="238" t="n"/>
      <c r="DA12" s="238" t="n"/>
      <c r="DB12" s="238" t="n"/>
      <c r="DC12" s="238" t="n"/>
      <c r="DD12" s="238" t="n"/>
      <c r="DE12" s="238" t="n"/>
      <c r="DF12" s="238" t="n"/>
      <c r="DG12" s="238" t="n"/>
      <c r="DH12" s="238" t="n"/>
      <c r="DI12" s="238" t="n"/>
      <c r="DJ12" s="238" t="n"/>
      <c r="DK12" s="238" t="n"/>
      <c r="DL12" s="238" t="n"/>
      <c r="DM12" s="238" t="n"/>
      <c r="DN12" s="238" t="n"/>
      <c r="DO12" s="238" t="n"/>
      <c r="DP12" s="238" t="n"/>
      <c r="DQ12" s="238" t="n"/>
      <c r="DR12" s="238" t="n"/>
      <c r="DS12" s="238" t="n"/>
      <c r="DT12" s="238" t="n"/>
      <c r="DU12" s="238" t="n"/>
      <c r="DV12" s="238" t="n"/>
      <c r="DW12" s="238" t="n"/>
      <c r="DX12" s="238" t="n"/>
      <c r="DY12" s="238" t="n"/>
      <c r="DZ12" s="23" t="n"/>
      <c r="FQ12" s="212" t="n"/>
      <c r="FR12" s="212" t="n"/>
      <c r="FS12" s="212" t="n"/>
      <c r="FT12" s="212" t="n"/>
      <c r="FU12" s="212" t="n"/>
      <c r="FV12" s="212" t="n"/>
      <c r="FW12" s="212" t="n"/>
      <c r="FX12" s="212" t="n"/>
      <c r="FY12" s="212" t="n"/>
      <c r="FZ12" s="212" t="n"/>
    </row>
    <row r="13" ht="39.95" customFormat="1" customHeight="1" s="5">
      <c r="A13" s="10" t="inlineStr">
        <is>
          <t>A</t>
        </is>
      </c>
      <c r="B13" s="6" t="n"/>
      <c r="C13" s="11" t="inlineStr">
        <is>
          <t>L</t>
        </is>
      </c>
      <c r="D13" s="518" t="n">
        <v>4.36</v>
      </c>
      <c r="E13" s="475" t="n">
        <v>1.93</v>
      </c>
      <c r="F13" s="436" t="n">
        <v>0.997</v>
      </c>
      <c r="G13" s="478" t="inlineStr">
        <is>
          <t>ND</t>
        </is>
      </c>
      <c r="H13" s="439" t="inlineStr">
        <is>
          <t>ND</t>
        </is>
      </c>
      <c r="I13" s="482" t="n">
        <v>5.2</v>
      </c>
      <c r="J13" s="436" t="inlineStr">
        <is>
          <t>ND</t>
        </is>
      </c>
      <c r="K13" s="475" t="n">
        <v>1.73</v>
      </c>
      <c r="L13" s="478" t="n">
        <v>4.14</v>
      </c>
      <c r="M13" s="476" t="n">
        <v>6.76</v>
      </c>
      <c r="N13" s="477" t="n">
        <v>3.85</v>
      </c>
      <c r="O13" s="478" t="n">
        <v>1.45</v>
      </c>
      <c r="P13" s="478" t="n">
        <v>1.31</v>
      </c>
      <c r="Q13" s="478" t="n">
        <v>3.63</v>
      </c>
      <c r="R13" s="519" t="n">
        <v>2</v>
      </c>
      <c r="S13" s="477" t="n">
        <v>2.11</v>
      </c>
      <c r="T13" s="478" t="n">
        <v>7.94</v>
      </c>
      <c r="U13" s="478" t="inlineStr">
        <is>
          <t>ND</t>
        </is>
      </c>
      <c r="V13" s="475" t="n">
        <v>2.36</v>
      </c>
      <c r="W13" s="508" t="n">
        <v>3.9</v>
      </c>
      <c r="X13" s="477" t="n">
        <v>3.64</v>
      </c>
      <c r="Y13" s="478" t="n">
        <v>2.27</v>
      </c>
      <c r="Z13" s="112" t="n">
        <v>0.715</v>
      </c>
      <c r="AA13" s="479" t="n">
        <v>2.9</v>
      </c>
      <c r="AB13" s="476" t="n">
        <v>1.89</v>
      </c>
      <c r="AC13" s="483" t="n">
        <v>1.49</v>
      </c>
      <c r="AD13" s="112" t="n">
        <v>0.874</v>
      </c>
      <c r="AE13" s="479" t="n">
        <v>1.8</v>
      </c>
      <c r="AF13" s="112" t="n">
        <v>0.956</v>
      </c>
      <c r="AG13" s="476" t="n">
        <v>1.21</v>
      </c>
      <c r="AH13" s="483" t="n">
        <v>3.19</v>
      </c>
      <c r="AI13" s="436" t="inlineStr">
        <is>
          <t>ND</t>
        </is>
      </c>
      <c r="AJ13" s="520" t="n">
        <v>5</v>
      </c>
      <c r="AK13" s="112" t="n">
        <v>0.616</v>
      </c>
      <c r="AL13" s="439" t="n">
        <v>0.368</v>
      </c>
      <c r="AM13" s="442" t="n">
        <v>0.881</v>
      </c>
      <c r="AN13" s="479" t="n">
        <v>1.6</v>
      </c>
      <c r="AO13" s="478" t="n">
        <v>5.26</v>
      </c>
      <c r="AP13" s="478" t="n">
        <v>8.16</v>
      </c>
      <c r="AQ13" s="476" t="n">
        <v>3.13</v>
      </c>
      <c r="AR13" s="477" t="n">
        <v>8.41</v>
      </c>
      <c r="AS13" s="478" t="n">
        <v>6.91</v>
      </c>
      <c r="AT13" s="478" t="n">
        <v>5.93</v>
      </c>
      <c r="AU13" s="478" t="n">
        <v>9.65</v>
      </c>
      <c r="AV13" s="476" t="n">
        <v>3.31</v>
      </c>
      <c r="AW13" s="477" t="n">
        <v>5.24</v>
      </c>
      <c r="AX13" s="436" t="n">
        <v>0.486</v>
      </c>
      <c r="AY13" s="478" t="n">
        <v>4.64</v>
      </c>
      <c r="AZ13" s="478" t="n">
        <v>9.49</v>
      </c>
      <c r="BA13" s="476" t="n">
        <v>4.09</v>
      </c>
      <c r="BB13" s="509" t="n">
        <v>11.6</v>
      </c>
      <c r="BC13" s="478" t="n">
        <v>2.94</v>
      </c>
      <c r="BD13" s="478" t="n">
        <v>5.91</v>
      </c>
      <c r="BE13" s="475" t="n">
        <v>8.56</v>
      </c>
      <c r="BF13" s="476" t="n">
        <v>2.81</v>
      </c>
      <c r="BG13" s="477" t="n">
        <v>3.53</v>
      </c>
      <c r="BH13" s="478" t="n">
        <v>1.68</v>
      </c>
      <c r="BI13" s="436" t="n">
        <v>0.96</v>
      </c>
      <c r="BJ13" s="478" t="n">
        <v>4.44</v>
      </c>
      <c r="BK13" s="480" t="n">
        <v>7.98</v>
      </c>
      <c r="BL13" s="477" t="n">
        <v>2.49</v>
      </c>
      <c r="BM13" s="478" t="n">
        <v>2.01</v>
      </c>
      <c r="BN13" s="436" t="n">
        <v>0.246</v>
      </c>
      <c r="BO13" s="475" t="n">
        <v>4.58</v>
      </c>
      <c r="BP13" s="480" t="n">
        <v>5.91</v>
      </c>
      <c r="BQ13" s="442" t="inlineStr">
        <is>
          <t>ND</t>
        </is>
      </c>
      <c r="BR13" s="436" t="inlineStr">
        <is>
          <t>ND</t>
        </is>
      </c>
      <c r="BS13" s="475" t="n">
        <v>1.27</v>
      </c>
      <c r="BT13" s="476" t="n">
        <v>1.66</v>
      </c>
      <c r="BU13" s="454">
        <f>IFERROR(AVERAGE(D13:BT15),0)</f>
        <v/>
      </c>
      <c r="BV13" s="454">
        <f>MAX(D13:BT15)</f>
        <v/>
      </c>
      <c r="BW13" s="238" t="n"/>
      <c r="BX13" s="238" t="n"/>
      <c r="BY13" s="238" t="n"/>
      <c r="BZ13" s="238" t="n"/>
      <c r="CA13" s="238" t="n"/>
      <c r="CB13" s="238" t="n"/>
      <c r="CC13" s="238" t="n"/>
      <c r="CD13" s="238" t="n"/>
      <c r="CE13" s="238" t="n"/>
      <c r="CF13" s="238" t="n"/>
      <c r="CG13" s="238" t="n"/>
      <c r="CH13" s="238" t="n"/>
      <c r="CI13" s="238" t="n"/>
      <c r="CJ13" s="238" t="n"/>
      <c r="CK13" s="238" t="n"/>
      <c r="CL13" s="238" t="n"/>
      <c r="CM13" s="238" t="n"/>
      <c r="CN13" s="238" t="n"/>
      <c r="CO13" s="238" t="n"/>
      <c r="CP13" s="238" t="n"/>
      <c r="CQ13" s="238" t="n"/>
      <c r="CR13" s="238" t="n"/>
      <c r="CS13" s="238" t="n"/>
      <c r="CT13" s="238" t="n"/>
      <c r="CU13" s="238" t="n"/>
      <c r="CV13" s="238" t="n"/>
      <c r="CW13" s="238" t="n"/>
      <c r="CX13" s="238" t="n"/>
      <c r="CY13" s="238" t="n"/>
      <c r="CZ13" s="238" t="n"/>
      <c r="DA13" s="238" t="n"/>
      <c r="DB13" s="238" t="n"/>
      <c r="DC13" s="238" t="n"/>
      <c r="DD13" s="238" t="n"/>
      <c r="DE13" s="238" t="n"/>
      <c r="DF13" s="238" t="n"/>
      <c r="DG13" s="238" t="n"/>
      <c r="DH13" s="238" t="n"/>
      <c r="DI13" s="238" t="n"/>
      <c r="DJ13" s="238" t="n"/>
      <c r="DK13" s="238" t="n"/>
      <c r="DL13" s="238" t="n"/>
      <c r="DM13" s="238" t="n"/>
      <c r="DN13" s="238" t="n"/>
      <c r="DO13" s="238" t="n"/>
      <c r="DP13" s="238" t="n"/>
      <c r="DQ13" s="238" t="n"/>
      <c r="DR13" s="238" t="n"/>
      <c r="DS13" s="238" t="n"/>
      <c r="DT13" s="238" t="n"/>
      <c r="DU13" s="238" t="n"/>
      <c r="DV13" s="238" t="n"/>
      <c r="DW13" s="238" t="n"/>
      <c r="DX13" s="238" t="n"/>
      <c r="DY13" s="238" t="n"/>
      <c r="DZ13" s="23" t="n"/>
      <c r="FQ13" s="212" t="n"/>
      <c r="FR13" s="212" t="n"/>
      <c r="FS13" s="212" t="n"/>
      <c r="FT13" s="212" t="n"/>
      <c r="FU13" s="212" t="n"/>
      <c r="FV13" s="212" t="n"/>
      <c r="FW13" s="212" t="n"/>
      <c r="FX13" s="212" t="n"/>
      <c r="FY13" s="212" t="n"/>
      <c r="FZ13" s="212" t="n"/>
    </row>
    <row r="14" ht="39.95" customFormat="1" customHeight="1" s="5">
      <c r="A14" s="182" t="inlineStr"/>
      <c r="B14" s="7" t="inlineStr">
        <is>
          <t>+12 FT</t>
        </is>
      </c>
      <c r="C14" s="11" t="inlineStr">
        <is>
          <t>C</t>
        </is>
      </c>
      <c r="D14" s="510" t="n">
        <v>3.23</v>
      </c>
      <c r="E14" s="437" t="inlineStr">
        <is>
          <t>ND</t>
        </is>
      </c>
      <c r="F14" s="437" t="n">
        <v>0.078</v>
      </c>
      <c r="G14" s="485" t="inlineStr">
        <is>
          <t>ND</t>
        </is>
      </c>
      <c r="H14" s="440" t="n">
        <v>0.792</v>
      </c>
      <c r="I14" s="443" t="inlineStr">
        <is>
          <t>ND</t>
        </is>
      </c>
      <c r="J14" s="486" t="n">
        <v>2.78</v>
      </c>
      <c r="K14" s="486" t="n">
        <v>1.02</v>
      </c>
      <c r="L14" s="485" t="n">
        <v>4.95</v>
      </c>
      <c r="M14" s="504" t="n">
        <v>5.7</v>
      </c>
      <c r="N14" s="490" t="n">
        <v>6.79</v>
      </c>
      <c r="O14" s="486" t="n">
        <v>1.86</v>
      </c>
      <c r="P14" s="122" t="n">
        <v>0.08799999999999999</v>
      </c>
      <c r="Q14" s="485" t="inlineStr">
        <is>
          <t>ND</t>
        </is>
      </c>
      <c r="R14" s="489" t="n">
        <v>2.43</v>
      </c>
      <c r="S14" s="490" t="n">
        <v>3.44</v>
      </c>
      <c r="T14" s="485" t="n">
        <v>1.21</v>
      </c>
      <c r="U14" s="485" t="inlineStr">
        <is>
          <t>ND</t>
        </is>
      </c>
      <c r="V14" s="437" t="inlineStr">
        <is>
          <t>ND</t>
        </is>
      </c>
      <c r="W14" s="488" t="n">
        <v>1.63</v>
      </c>
      <c r="X14" s="490" t="n">
        <v>2.39</v>
      </c>
      <c r="Y14" s="486" t="n">
        <v>1.22</v>
      </c>
      <c r="Z14" s="485" t="n">
        <v>9.73</v>
      </c>
      <c r="AA14" s="485" t="n">
        <v>6.64</v>
      </c>
      <c r="AB14" s="120" t="n">
        <v>0.079</v>
      </c>
      <c r="AC14" s="511" t="n">
        <v>2.8</v>
      </c>
      <c r="AD14" s="485" t="n">
        <v>5.59</v>
      </c>
      <c r="AE14" s="485" t="n">
        <v>1.29</v>
      </c>
      <c r="AF14" s="122" t="n">
        <v>0.736</v>
      </c>
      <c r="AG14" s="488" t="n">
        <v>2.65</v>
      </c>
      <c r="AH14" s="521" t="n">
        <v>14.4</v>
      </c>
      <c r="AI14" s="486" t="n">
        <v>5.31</v>
      </c>
      <c r="AJ14" s="486" t="n">
        <v>3.97</v>
      </c>
      <c r="AK14" s="486" t="n">
        <v>1.64</v>
      </c>
      <c r="AL14" s="489" t="n">
        <v>2.12</v>
      </c>
      <c r="AM14" s="487" t="n">
        <v>2.87</v>
      </c>
      <c r="AN14" s="437" t="inlineStr">
        <is>
          <t>ND</t>
        </is>
      </c>
      <c r="AO14" s="485" t="n">
        <v>2.71</v>
      </c>
      <c r="AP14" s="485" t="n">
        <v>6.21</v>
      </c>
      <c r="AQ14" s="512" t="n">
        <v>10.1</v>
      </c>
      <c r="AR14" s="490" t="n">
        <v>2.51</v>
      </c>
      <c r="AS14" s="485" t="inlineStr">
        <is>
          <t>ND</t>
        </is>
      </c>
      <c r="AT14" s="485" t="n">
        <v>4.92</v>
      </c>
      <c r="AU14" s="485" t="n">
        <v>3.24</v>
      </c>
      <c r="AV14" s="488" t="n">
        <v>7.62</v>
      </c>
      <c r="AW14" s="490" t="n">
        <v>1.57</v>
      </c>
      <c r="AX14" s="437" t="inlineStr">
        <is>
          <t>ND</t>
        </is>
      </c>
      <c r="AY14" s="485" t="n">
        <v>2.58</v>
      </c>
      <c r="AZ14" s="485" t="n">
        <v>3.15</v>
      </c>
      <c r="BA14" s="488" t="n">
        <v>3.13</v>
      </c>
      <c r="BB14" s="522" t="n">
        <v>5.1</v>
      </c>
      <c r="BC14" s="485" t="n">
        <v>4.63</v>
      </c>
      <c r="BD14" s="485" t="n">
        <v>4.74</v>
      </c>
      <c r="BE14" s="485" t="n">
        <v>4.69</v>
      </c>
      <c r="BF14" s="488" t="n">
        <v>5.76</v>
      </c>
      <c r="BG14" s="490" t="n">
        <v>5.15</v>
      </c>
      <c r="BH14" s="486" t="n">
        <v>2.34</v>
      </c>
      <c r="BI14" s="437" t="n">
        <v>0.975</v>
      </c>
      <c r="BJ14" s="486" t="n">
        <v>2.45</v>
      </c>
      <c r="BK14" s="488" t="n">
        <v>4.88</v>
      </c>
      <c r="BL14" s="443" t="inlineStr">
        <is>
          <t>ND</t>
        </is>
      </c>
      <c r="BM14" s="485" t="n">
        <v>4.08</v>
      </c>
      <c r="BN14" s="437" t="inlineStr">
        <is>
          <t>ND</t>
        </is>
      </c>
      <c r="BO14" s="486" t="n">
        <v>1.92</v>
      </c>
      <c r="BP14" s="440" t="n">
        <v>0.555</v>
      </c>
      <c r="BQ14" s="443" t="inlineStr">
        <is>
          <t>ND</t>
        </is>
      </c>
      <c r="BR14" s="486" t="n">
        <v>3.88</v>
      </c>
      <c r="BS14" s="437" t="n">
        <v>0.9399999999999999</v>
      </c>
      <c r="BT14" s="488" t="n">
        <v>5.18</v>
      </c>
      <c r="BU14" s="455" t="n"/>
      <c r="BV14" s="455" t="n"/>
      <c r="BW14" s="238" t="n"/>
      <c r="BX14" s="238" t="n"/>
      <c r="BY14" s="238" t="n"/>
      <c r="BZ14" s="238" t="n"/>
      <c r="CA14" s="238" t="n"/>
      <c r="CB14" s="238" t="n"/>
      <c r="CC14" s="238" t="n"/>
      <c r="CD14" s="238" t="n"/>
      <c r="CE14" s="238" t="n"/>
      <c r="CF14" s="238" t="n"/>
      <c r="CG14" s="238" t="n"/>
      <c r="CH14" s="238" t="n"/>
      <c r="CI14" s="238" t="n"/>
      <c r="CJ14" s="238" t="n"/>
      <c r="CK14" s="238" t="n"/>
      <c r="CL14" s="238" t="n"/>
      <c r="CM14" s="238" t="n"/>
      <c r="CN14" s="238" t="n"/>
      <c r="CO14" s="238" t="n"/>
      <c r="CP14" s="238" t="n"/>
      <c r="CQ14" s="238" t="n"/>
      <c r="CR14" s="238" t="n"/>
      <c r="CS14" s="238" t="n"/>
      <c r="CT14" s="238" t="n"/>
      <c r="CU14" s="238" t="n"/>
      <c r="CV14" s="238" t="n"/>
      <c r="CW14" s="238" t="n"/>
      <c r="CX14" s="238" t="n"/>
      <c r="CY14" s="238" t="n"/>
      <c r="CZ14" s="238" t="n"/>
      <c r="DA14" s="238" t="n"/>
      <c r="DB14" s="238" t="n"/>
      <c r="DC14" s="238" t="n"/>
      <c r="DD14" s="238" t="n"/>
      <c r="DE14" s="238" t="n"/>
      <c r="DF14" s="238" t="n"/>
      <c r="DG14" s="238" t="n"/>
      <c r="DH14" s="238" t="n"/>
      <c r="DI14" s="238" t="n"/>
      <c r="DJ14" s="238" t="n"/>
      <c r="DK14" s="238" t="n"/>
      <c r="DL14" s="238" t="n"/>
      <c r="DM14" s="238" t="n"/>
      <c r="DN14" s="238" t="n"/>
      <c r="DO14" s="238" t="n"/>
      <c r="DP14" s="238" t="n"/>
      <c r="DQ14" s="238" t="n"/>
      <c r="DR14" s="238" t="n"/>
      <c r="DS14" s="238" t="n"/>
      <c r="DT14" s="238" t="n"/>
      <c r="DU14" s="238" t="n"/>
      <c r="DV14" s="238" t="n"/>
      <c r="DW14" s="238" t="n"/>
      <c r="DX14" s="238" t="n"/>
      <c r="DY14" s="238" t="n"/>
      <c r="DZ14" s="23" t="n"/>
      <c r="FQ14" s="212" t="n"/>
      <c r="FR14" s="212" t="n"/>
      <c r="FS14" s="212" t="n"/>
      <c r="FT14" s="212" t="n"/>
      <c r="FU14" s="212" t="n"/>
      <c r="FV14" s="212" t="n"/>
      <c r="FW14" s="212" t="n"/>
      <c r="FX14" s="212" t="n"/>
      <c r="FY14" s="212" t="n"/>
      <c r="FZ14" s="212" t="n"/>
    </row>
    <row r="15" ht="39.95" customFormat="1" customHeight="1" s="5">
      <c r="A15" s="456" t="n"/>
      <c r="B15" s="8" t="n"/>
      <c r="C15" s="12" t="inlineStr">
        <is>
          <t>R</t>
        </is>
      </c>
      <c r="D15" s="523" t="n">
        <v>17.1</v>
      </c>
      <c r="E15" s="438" t="n">
        <v>0.86</v>
      </c>
      <c r="F15" s="497" t="n">
        <v>2.77</v>
      </c>
      <c r="G15" s="497" t="n">
        <v>1.69</v>
      </c>
      <c r="H15" s="441" t="inlineStr">
        <is>
          <t>ND</t>
        </is>
      </c>
      <c r="I15" s="524" t="n">
        <v>7.4</v>
      </c>
      <c r="J15" s="494" t="n">
        <v>2.72</v>
      </c>
      <c r="K15" s="438" t="inlineStr">
        <is>
          <t>ND</t>
        </is>
      </c>
      <c r="L15" s="492" t="n">
        <v>3.8</v>
      </c>
      <c r="M15" s="495" t="n">
        <v>5.97</v>
      </c>
      <c r="N15" s="496" t="n">
        <v>8.59</v>
      </c>
      <c r="O15" s="438" t="n">
        <v>0.767</v>
      </c>
      <c r="P15" s="494" t="n">
        <v>3.83</v>
      </c>
      <c r="Q15" s="125" t="n">
        <v>0.828</v>
      </c>
      <c r="R15" s="495" t="n">
        <v>1.01</v>
      </c>
      <c r="S15" s="148" t="n">
        <v>0.5649999999999999</v>
      </c>
      <c r="T15" s="494" t="n">
        <v>4.29</v>
      </c>
      <c r="U15" s="494" t="inlineStr">
        <is>
          <t>ND</t>
        </is>
      </c>
      <c r="V15" s="497" t="n">
        <v>6.03</v>
      </c>
      <c r="W15" s="495" t="n">
        <v>4.51</v>
      </c>
      <c r="X15" s="496" t="n">
        <v>3.39</v>
      </c>
      <c r="Y15" s="493" t="n">
        <v>11.7</v>
      </c>
      <c r="Z15" s="492" t="n">
        <v>8.1</v>
      </c>
      <c r="AA15" s="438" t="inlineStr">
        <is>
          <t>ND</t>
        </is>
      </c>
      <c r="AB15" s="495" t="n">
        <v>7.15</v>
      </c>
      <c r="AC15" s="525" t="n">
        <v>9</v>
      </c>
      <c r="AD15" s="494" t="n">
        <v>3.24</v>
      </c>
      <c r="AE15" s="494" t="n">
        <v>9.56</v>
      </c>
      <c r="AF15" s="494" t="inlineStr">
        <is>
          <t>ND</t>
        </is>
      </c>
      <c r="AG15" s="495" t="n">
        <v>1.68</v>
      </c>
      <c r="AH15" s="505" t="n">
        <v>4.46</v>
      </c>
      <c r="AI15" s="494" t="n">
        <v>1.53</v>
      </c>
      <c r="AJ15" s="438" t="n">
        <v>0.967</v>
      </c>
      <c r="AK15" s="497" t="n">
        <v>2.54</v>
      </c>
      <c r="AL15" s="498" t="n">
        <v>4.45</v>
      </c>
      <c r="AM15" s="444" t="inlineStr">
        <is>
          <t>ND</t>
        </is>
      </c>
      <c r="AN15" s="494" t="n">
        <v>4.61</v>
      </c>
      <c r="AO15" s="526" t="n">
        <v>2</v>
      </c>
      <c r="AP15" s="494" t="n">
        <v>1.14</v>
      </c>
      <c r="AQ15" s="527" t="n">
        <v>12.2</v>
      </c>
      <c r="AR15" s="505" t="n">
        <v>1.27</v>
      </c>
      <c r="AS15" s="494" t="n">
        <v>9.130000000000001</v>
      </c>
      <c r="AT15" s="492" t="n">
        <v>3.4</v>
      </c>
      <c r="AU15" s="438" t="n">
        <v>0.35</v>
      </c>
      <c r="AV15" s="151" t="n">
        <v>0.251</v>
      </c>
      <c r="AW15" s="148" t="n">
        <v>0.334</v>
      </c>
      <c r="AX15" s="438" t="inlineStr">
        <is>
          <t>ND</t>
        </is>
      </c>
      <c r="AY15" s="494" t="n">
        <v>2.45</v>
      </c>
      <c r="AZ15" s="494" t="n">
        <v>3.06</v>
      </c>
      <c r="BA15" s="495" t="n">
        <v>3.59</v>
      </c>
      <c r="BB15" s="496" t="n">
        <v>2.31</v>
      </c>
      <c r="BC15" s="494" t="n">
        <v>5.47</v>
      </c>
      <c r="BD15" s="494" t="n">
        <v>2.65</v>
      </c>
      <c r="BE15" s="494" t="n">
        <v>1.28</v>
      </c>
      <c r="BF15" s="528" t="n">
        <v>6.7</v>
      </c>
      <c r="BG15" s="505" t="n">
        <v>2.04</v>
      </c>
      <c r="BH15" s="125" t="n">
        <v>0.636</v>
      </c>
      <c r="BI15" s="494" t="n">
        <v>3.99</v>
      </c>
      <c r="BJ15" s="494" t="n">
        <v>5.51</v>
      </c>
      <c r="BK15" s="495" t="n">
        <v>3.63</v>
      </c>
      <c r="BL15" s="505" t="n">
        <v>1.55</v>
      </c>
      <c r="BM15" s="438" t="n">
        <v>0.401</v>
      </c>
      <c r="BN15" s="499" t="n">
        <v>1.4</v>
      </c>
      <c r="BO15" s="125" t="n">
        <v>0.1</v>
      </c>
      <c r="BP15" s="441" t="n">
        <v>0.208</v>
      </c>
      <c r="BQ15" s="444" t="n">
        <v>0.967</v>
      </c>
      <c r="BR15" s="497" t="n">
        <v>1.99</v>
      </c>
      <c r="BS15" s="497" t="n">
        <v>2.39</v>
      </c>
      <c r="BT15" s="441" t="inlineStr">
        <is>
          <t>ND</t>
        </is>
      </c>
      <c r="BU15" s="457" t="n"/>
      <c r="BV15" s="457" t="n"/>
      <c r="BW15" s="238" t="n"/>
      <c r="BX15" s="238" t="n"/>
      <c r="BY15" s="238" t="n"/>
      <c r="BZ15" s="238" t="n"/>
      <c r="CA15" s="238" t="n"/>
      <c r="CB15" s="238" t="n"/>
      <c r="CC15" s="238" t="n"/>
      <c r="CD15" s="238" t="n"/>
      <c r="CE15" s="238" t="n"/>
      <c r="CF15" s="238" t="n"/>
      <c r="CG15" s="238" t="n"/>
      <c r="CH15" s="238" t="n"/>
      <c r="CI15" s="238" t="n"/>
      <c r="CJ15" s="238" t="n"/>
      <c r="CK15" s="238" t="n"/>
      <c r="CL15" s="238" t="n"/>
      <c r="CM15" s="238" t="n"/>
      <c r="CN15" s="238" t="n"/>
      <c r="CO15" s="238" t="n"/>
      <c r="CP15" s="238" t="n"/>
      <c r="CQ15" s="238" t="n"/>
      <c r="CR15" s="238" t="n"/>
      <c r="CS15" s="238" t="n"/>
      <c r="CT15" s="238" t="n"/>
      <c r="CU15" s="238" t="n"/>
      <c r="CV15" s="238" t="n"/>
      <c r="CW15" s="238" t="n"/>
      <c r="CX15" s="238" t="n"/>
      <c r="CY15" s="238" t="n"/>
      <c r="CZ15" s="238" t="n"/>
      <c r="DA15" s="238" t="n"/>
      <c r="DB15" s="238" t="n"/>
      <c r="DC15" s="238" t="n"/>
      <c r="DD15" s="238" t="n"/>
      <c r="DE15" s="238" t="n"/>
      <c r="DF15" s="238" t="n"/>
      <c r="DG15" s="238" t="n"/>
      <c r="DH15" s="238" t="n"/>
      <c r="DI15" s="238" t="n"/>
      <c r="DJ15" s="238" t="n"/>
      <c r="DK15" s="238" t="n"/>
      <c r="DL15" s="238" t="n"/>
      <c r="DM15" s="238" t="n"/>
      <c r="DN15" s="238" t="n"/>
      <c r="DO15" s="238" t="n"/>
      <c r="DP15" s="238" t="n"/>
      <c r="DQ15" s="238" t="n"/>
      <c r="DR15" s="238" t="n"/>
      <c r="DS15" s="238" t="n"/>
      <c r="DT15" s="238" t="n"/>
      <c r="DU15" s="238" t="n"/>
      <c r="DV15" s="238" t="n"/>
      <c r="DW15" s="238" t="n"/>
      <c r="DX15" s="238" t="n"/>
      <c r="DY15" s="238" t="n"/>
      <c r="DZ15" s="23" t="n"/>
      <c r="FQ15" s="212" t="n"/>
      <c r="FR15" s="212" t="n"/>
      <c r="FS15" s="212" t="n"/>
      <c r="FT15" s="212" t="n"/>
      <c r="FU15" s="212" t="n"/>
      <c r="FV15" s="212" t="n"/>
      <c r="FW15" s="212" t="n"/>
      <c r="FX15" s="212" t="n"/>
      <c r="FY15" s="212" t="n"/>
      <c r="FZ15" s="212" t="n"/>
    </row>
    <row r="16" ht="39.95" customFormat="1" customHeight="1" s="5">
      <c r="A16" s="10" t="inlineStr">
        <is>
          <t>A</t>
        </is>
      </c>
      <c r="B16" s="6" t="inlineStr">
        <is>
          <t>POSITION 'A'</t>
        </is>
      </c>
      <c r="C16" s="11" t="inlineStr">
        <is>
          <t>L</t>
        </is>
      </c>
      <c r="D16" s="433" t="inlineStr">
        <is>
          <t>ND</t>
        </is>
      </c>
      <c r="E16" s="436" t="inlineStr">
        <is>
          <t>ND</t>
        </is>
      </c>
      <c r="F16" s="481" t="n">
        <v>2.1</v>
      </c>
      <c r="G16" s="478" t="n">
        <v>2.17</v>
      </c>
      <c r="H16" s="113" t="n">
        <v>0.908</v>
      </c>
      <c r="I16" s="442" t="inlineStr">
        <is>
          <t>ND</t>
        </is>
      </c>
      <c r="J16" s="436" t="inlineStr">
        <is>
          <t>ND</t>
        </is>
      </c>
      <c r="K16" s="436" t="inlineStr">
        <is>
          <t>ND</t>
        </is>
      </c>
      <c r="L16" s="436" t="inlineStr">
        <is>
          <t>ND</t>
        </is>
      </c>
      <c r="M16" s="439" t="inlineStr">
        <is>
          <t>ND</t>
        </is>
      </c>
      <c r="N16" s="442" t="inlineStr">
        <is>
          <t>ND</t>
        </is>
      </c>
      <c r="O16" s="436" t="inlineStr">
        <is>
          <t>ND</t>
        </is>
      </c>
      <c r="P16" s="436" t="inlineStr">
        <is>
          <t>ND</t>
        </is>
      </c>
      <c r="Q16" s="436" t="inlineStr">
        <is>
          <t>ND</t>
        </is>
      </c>
      <c r="R16" s="439" t="inlineStr">
        <is>
          <t>ND</t>
        </is>
      </c>
      <c r="S16" s="442" t="inlineStr">
        <is>
          <t>ND</t>
        </is>
      </c>
      <c r="T16" s="436" t="inlineStr">
        <is>
          <t>ND</t>
        </is>
      </c>
      <c r="U16" s="436" t="inlineStr">
        <is>
          <t>ND</t>
        </is>
      </c>
      <c r="V16" s="436" t="inlineStr">
        <is>
          <t>ND</t>
        </is>
      </c>
      <c r="W16" s="439" t="inlineStr">
        <is>
          <t>ND</t>
        </is>
      </c>
      <c r="X16" s="442" t="inlineStr">
        <is>
          <t>ND</t>
        </is>
      </c>
      <c r="Y16" s="436" t="inlineStr">
        <is>
          <t>ND</t>
        </is>
      </c>
      <c r="Z16" s="436" t="inlineStr">
        <is>
          <t>ND</t>
        </is>
      </c>
      <c r="AA16" s="436" t="inlineStr">
        <is>
          <t>ND</t>
        </is>
      </c>
      <c r="AB16" s="439" t="inlineStr">
        <is>
          <t>ND</t>
        </is>
      </c>
      <c r="AC16" s="442" t="inlineStr">
        <is>
          <t>ND</t>
        </is>
      </c>
      <c r="AD16" s="436" t="inlineStr">
        <is>
          <t>ND</t>
        </is>
      </c>
      <c r="AE16" s="436" t="inlineStr">
        <is>
          <t>ND</t>
        </is>
      </c>
      <c r="AF16" s="436" t="inlineStr">
        <is>
          <t>ND</t>
        </is>
      </c>
      <c r="AG16" s="439" t="inlineStr">
        <is>
          <t>ND</t>
        </is>
      </c>
      <c r="AH16" s="442" t="inlineStr">
        <is>
          <t>ND</t>
        </is>
      </c>
      <c r="AI16" s="436" t="inlineStr">
        <is>
          <t>ND</t>
        </is>
      </c>
      <c r="AJ16" s="436" t="inlineStr">
        <is>
          <t>ND</t>
        </is>
      </c>
      <c r="AK16" s="436" t="inlineStr">
        <is>
          <t>ND</t>
        </is>
      </c>
      <c r="AL16" s="439" t="inlineStr">
        <is>
          <t>ND</t>
        </is>
      </c>
      <c r="AM16" s="442" t="inlineStr">
        <is>
          <t>ND</t>
        </is>
      </c>
      <c r="AN16" s="436" t="inlineStr">
        <is>
          <t>ND</t>
        </is>
      </c>
      <c r="AO16" s="436" t="inlineStr">
        <is>
          <t>ND</t>
        </is>
      </c>
      <c r="AP16" s="436" t="inlineStr">
        <is>
          <t>ND</t>
        </is>
      </c>
      <c r="AQ16" s="439" t="inlineStr">
        <is>
          <t>ND</t>
        </is>
      </c>
      <c r="AR16" s="442" t="inlineStr">
        <is>
          <t>ND</t>
        </is>
      </c>
      <c r="AS16" s="436" t="inlineStr">
        <is>
          <t>ND</t>
        </is>
      </c>
      <c r="AT16" s="436" t="inlineStr">
        <is>
          <t>ND</t>
        </is>
      </c>
      <c r="AU16" s="436" t="inlineStr">
        <is>
          <t>ND</t>
        </is>
      </c>
      <c r="AV16" s="439" t="inlineStr">
        <is>
          <t>ND</t>
        </is>
      </c>
      <c r="AW16" s="442" t="inlineStr">
        <is>
          <t>ND</t>
        </is>
      </c>
      <c r="AX16" s="436" t="inlineStr">
        <is>
          <t>ND</t>
        </is>
      </c>
      <c r="AY16" s="436" t="inlineStr">
        <is>
          <t>ND</t>
        </is>
      </c>
      <c r="AZ16" s="436" t="inlineStr">
        <is>
          <t>ND</t>
        </is>
      </c>
      <c r="BA16" s="439" t="inlineStr">
        <is>
          <t>ND</t>
        </is>
      </c>
      <c r="BB16" s="442" t="inlineStr">
        <is>
          <t>ND</t>
        </is>
      </c>
      <c r="BC16" s="436" t="inlineStr">
        <is>
          <t>ND</t>
        </is>
      </c>
      <c r="BD16" s="436" t="inlineStr">
        <is>
          <t>ND</t>
        </is>
      </c>
      <c r="BE16" s="436" t="inlineStr">
        <is>
          <t>ND</t>
        </is>
      </c>
      <c r="BF16" s="439" t="inlineStr">
        <is>
          <t>ND</t>
        </is>
      </c>
      <c r="BG16" s="442" t="inlineStr">
        <is>
          <t>ND</t>
        </is>
      </c>
      <c r="BH16" s="436" t="inlineStr">
        <is>
          <t>ND</t>
        </is>
      </c>
      <c r="BI16" s="436" t="inlineStr">
        <is>
          <t>ND</t>
        </is>
      </c>
      <c r="BJ16" s="436" t="inlineStr">
        <is>
          <t>ND</t>
        </is>
      </c>
      <c r="BK16" s="439" t="inlineStr">
        <is>
          <t>ND</t>
        </is>
      </c>
      <c r="BL16" s="442" t="inlineStr">
        <is>
          <t>ND</t>
        </is>
      </c>
      <c r="BM16" s="436" t="inlineStr">
        <is>
          <t>ND</t>
        </is>
      </c>
      <c r="BN16" s="436" t="inlineStr">
        <is>
          <t>ND</t>
        </is>
      </c>
      <c r="BO16" s="436" t="inlineStr">
        <is>
          <t>ND</t>
        </is>
      </c>
      <c r="BP16" s="508" t="n">
        <v>1.2</v>
      </c>
      <c r="BQ16" s="442" t="n">
        <v>0.35</v>
      </c>
      <c r="BR16" s="436" t="n">
        <v>0.08500000000000001</v>
      </c>
      <c r="BS16" s="478" t="n">
        <v>2.49</v>
      </c>
      <c r="BT16" s="439" t="inlineStr">
        <is>
          <t>ND</t>
        </is>
      </c>
      <c r="BU16" s="454">
        <f>IFERROR(AVERAGE(D16:BT18),0)</f>
        <v/>
      </c>
      <c r="BV16" s="454">
        <f>MAX(D16:BT18)</f>
        <v/>
      </c>
      <c r="BW16" s="238" t="n"/>
      <c r="BX16" s="238" t="n"/>
      <c r="BY16" s="238" t="n"/>
      <c r="BZ16" s="238" t="n"/>
      <c r="CA16" s="238" t="n"/>
      <c r="CB16" s="238" t="n"/>
      <c r="CC16" s="238" t="n"/>
      <c r="CD16" s="238" t="n"/>
      <c r="CE16" s="238" t="n"/>
      <c r="CF16" s="238" t="n"/>
      <c r="CG16" s="238" t="n"/>
      <c r="CH16" s="238" t="n"/>
      <c r="CI16" s="238" t="n"/>
      <c r="CJ16" s="238" t="n"/>
      <c r="CK16" s="238" t="n"/>
      <c r="CL16" s="238" t="n"/>
      <c r="CM16" s="238" t="n"/>
      <c r="CN16" s="238" t="n"/>
      <c r="CO16" s="238" t="n"/>
      <c r="CP16" s="238" t="n"/>
      <c r="CQ16" s="238" t="n"/>
      <c r="CR16" s="238" t="n"/>
      <c r="CS16" s="238" t="n"/>
      <c r="CT16" s="238" t="n"/>
      <c r="CU16" s="238" t="n"/>
      <c r="CV16" s="238" t="n"/>
      <c r="CW16" s="238" t="n"/>
      <c r="CX16" s="238" t="n"/>
      <c r="CY16" s="238" t="n"/>
      <c r="CZ16" s="238" t="n"/>
      <c r="DA16" s="238" t="n"/>
      <c r="DB16" s="238" t="n"/>
      <c r="DC16" s="238" t="n"/>
      <c r="DD16" s="238" t="n"/>
      <c r="DE16" s="238" t="n"/>
      <c r="DF16" s="238" t="n"/>
      <c r="DG16" s="238" t="n"/>
      <c r="DH16" s="238" t="n"/>
      <c r="DI16" s="238" t="n"/>
      <c r="DJ16" s="238" t="n"/>
      <c r="DK16" s="238" t="n"/>
      <c r="DL16" s="238" t="n"/>
      <c r="DM16" s="238" t="n"/>
      <c r="DN16" s="238" t="n"/>
      <c r="DO16" s="238" t="n"/>
      <c r="DP16" s="238" t="n"/>
      <c r="DQ16" s="238" t="n"/>
      <c r="DR16" s="238" t="n"/>
      <c r="DS16" s="238" t="n"/>
      <c r="DT16" s="238" t="n"/>
      <c r="DU16" s="238" t="n"/>
      <c r="DV16" s="238" t="n"/>
      <c r="DW16" s="238" t="n"/>
      <c r="DX16" s="238" t="n"/>
      <c r="DY16" s="238" t="n"/>
      <c r="DZ16" s="23" t="n"/>
      <c r="FQ16" s="212" t="n"/>
      <c r="FR16" s="212" t="n"/>
      <c r="FS16" s="212" t="n"/>
      <c r="FT16" s="212" t="n"/>
      <c r="FU16" s="212" t="n"/>
      <c r="FV16" s="212" t="n"/>
      <c r="FW16" s="212" t="n"/>
      <c r="FX16" s="212" t="n"/>
      <c r="FY16" s="212" t="n"/>
      <c r="FZ16" s="212" t="n"/>
    </row>
    <row r="17" ht="39.95" customFormat="1" customHeight="1" s="5">
      <c r="A17" s="182" t="inlineStr"/>
      <c r="B17" s="7" t="inlineStr">
        <is>
          <t>OF THE</t>
        </is>
      </c>
      <c r="C17" s="11" t="inlineStr">
        <is>
          <t>C</t>
        </is>
      </c>
      <c r="D17" s="434" t="inlineStr">
        <is>
          <t>ND</t>
        </is>
      </c>
      <c r="E17" s="486" t="n">
        <v>3.67</v>
      </c>
      <c r="F17" s="486" t="n">
        <v>3.05</v>
      </c>
      <c r="G17" s="501" t="n">
        <v>2.4</v>
      </c>
      <c r="H17" s="488" t="n">
        <v>2.59</v>
      </c>
      <c r="I17" s="443" t="inlineStr">
        <is>
          <t>ND</t>
        </is>
      </c>
      <c r="J17" s="437" t="inlineStr">
        <is>
          <t>ND</t>
        </is>
      </c>
      <c r="K17" s="437" t="inlineStr">
        <is>
          <t>ND</t>
        </is>
      </c>
      <c r="L17" s="437" t="inlineStr">
        <is>
          <t>ND</t>
        </is>
      </c>
      <c r="M17" s="440" t="inlineStr">
        <is>
          <t>ND</t>
        </is>
      </c>
      <c r="N17" s="443" t="inlineStr">
        <is>
          <t>ND</t>
        </is>
      </c>
      <c r="O17" s="437" t="inlineStr">
        <is>
          <t>ND</t>
        </is>
      </c>
      <c r="P17" s="437" t="inlineStr">
        <is>
          <t>ND</t>
        </is>
      </c>
      <c r="Q17" s="437" t="inlineStr">
        <is>
          <t>ND</t>
        </is>
      </c>
      <c r="R17" s="440" t="inlineStr">
        <is>
          <t>ND</t>
        </is>
      </c>
      <c r="S17" s="443" t="inlineStr">
        <is>
          <t>ND</t>
        </is>
      </c>
      <c r="T17" s="437" t="inlineStr">
        <is>
          <t>ND</t>
        </is>
      </c>
      <c r="U17" s="437" t="inlineStr">
        <is>
          <t>ND</t>
        </is>
      </c>
      <c r="V17" s="437" t="inlineStr">
        <is>
          <t>ND</t>
        </is>
      </c>
      <c r="W17" s="440" t="inlineStr">
        <is>
          <t>ND</t>
        </is>
      </c>
      <c r="X17" s="443" t="inlineStr">
        <is>
          <t>ND</t>
        </is>
      </c>
      <c r="Y17" s="437" t="inlineStr">
        <is>
          <t>ND</t>
        </is>
      </c>
      <c r="Z17" s="437" t="inlineStr">
        <is>
          <t>ND</t>
        </is>
      </c>
      <c r="AA17" s="437" t="inlineStr">
        <is>
          <t>ND</t>
        </is>
      </c>
      <c r="AB17" s="440" t="inlineStr">
        <is>
          <t>ND</t>
        </is>
      </c>
      <c r="AC17" s="443" t="inlineStr">
        <is>
          <t>ND</t>
        </is>
      </c>
      <c r="AD17" s="437" t="inlineStr">
        <is>
          <t>ND</t>
        </is>
      </c>
      <c r="AE17" s="437" t="inlineStr">
        <is>
          <t>ND</t>
        </is>
      </c>
      <c r="AF17" s="437" t="inlineStr">
        <is>
          <t>ND</t>
        </is>
      </c>
      <c r="AG17" s="440" t="inlineStr">
        <is>
          <t>ND</t>
        </is>
      </c>
      <c r="AH17" s="443" t="inlineStr">
        <is>
          <t>ND</t>
        </is>
      </c>
      <c r="AI17" s="437" t="inlineStr">
        <is>
          <t>ND</t>
        </is>
      </c>
      <c r="AJ17" s="437" t="inlineStr">
        <is>
          <t>ND</t>
        </is>
      </c>
      <c r="AK17" s="437" t="inlineStr">
        <is>
          <t>ND</t>
        </is>
      </c>
      <c r="AL17" s="440" t="inlineStr">
        <is>
          <t>ND</t>
        </is>
      </c>
      <c r="AM17" s="443" t="inlineStr">
        <is>
          <t>ND</t>
        </is>
      </c>
      <c r="AN17" s="437" t="inlineStr">
        <is>
          <t>ND</t>
        </is>
      </c>
      <c r="AO17" s="437" t="inlineStr">
        <is>
          <t>ND</t>
        </is>
      </c>
      <c r="AP17" s="437" t="inlineStr">
        <is>
          <t>ND</t>
        </is>
      </c>
      <c r="AQ17" s="440" t="inlineStr">
        <is>
          <t>ND</t>
        </is>
      </c>
      <c r="AR17" s="443" t="inlineStr">
        <is>
          <t>ND</t>
        </is>
      </c>
      <c r="AS17" s="437" t="inlineStr">
        <is>
          <t>ND</t>
        </is>
      </c>
      <c r="AT17" s="437" t="inlineStr">
        <is>
          <t>ND</t>
        </is>
      </c>
      <c r="AU17" s="437" t="inlineStr">
        <is>
          <t>ND</t>
        </is>
      </c>
      <c r="AV17" s="440" t="inlineStr">
        <is>
          <t>ND</t>
        </is>
      </c>
      <c r="AW17" s="443" t="inlineStr">
        <is>
          <t>ND</t>
        </is>
      </c>
      <c r="AX17" s="437" t="inlineStr">
        <is>
          <t>ND</t>
        </is>
      </c>
      <c r="AY17" s="437" t="inlineStr">
        <is>
          <t>ND</t>
        </is>
      </c>
      <c r="AZ17" s="437" t="inlineStr">
        <is>
          <t>ND</t>
        </is>
      </c>
      <c r="BA17" s="440" t="inlineStr">
        <is>
          <t>ND</t>
        </is>
      </c>
      <c r="BB17" s="443" t="inlineStr">
        <is>
          <t>ND</t>
        </is>
      </c>
      <c r="BC17" s="437" t="inlineStr">
        <is>
          <t>ND</t>
        </is>
      </c>
      <c r="BD17" s="437" t="inlineStr">
        <is>
          <t>ND</t>
        </is>
      </c>
      <c r="BE17" s="437" t="inlineStr">
        <is>
          <t>ND</t>
        </is>
      </c>
      <c r="BF17" s="440" t="inlineStr">
        <is>
          <t>ND</t>
        </is>
      </c>
      <c r="BG17" s="443" t="inlineStr">
        <is>
          <t>ND</t>
        </is>
      </c>
      <c r="BH17" s="437" t="inlineStr">
        <is>
          <t>ND</t>
        </is>
      </c>
      <c r="BI17" s="437" t="inlineStr">
        <is>
          <t>ND</t>
        </is>
      </c>
      <c r="BJ17" s="437" t="inlineStr">
        <is>
          <t>ND</t>
        </is>
      </c>
      <c r="BK17" s="440" t="inlineStr">
        <is>
          <t>ND</t>
        </is>
      </c>
      <c r="BL17" s="443" t="inlineStr">
        <is>
          <t>ND</t>
        </is>
      </c>
      <c r="BM17" s="437" t="inlineStr">
        <is>
          <t>ND</t>
        </is>
      </c>
      <c r="BN17" s="437" t="inlineStr">
        <is>
          <t>ND</t>
        </is>
      </c>
      <c r="BO17" s="437" t="inlineStr">
        <is>
          <t>ND</t>
        </is>
      </c>
      <c r="BP17" s="488" t="n">
        <v>3.17</v>
      </c>
      <c r="BQ17" s="487" t="n">
        <v>2.45</v>
      </c>
      <c r="BR17" s="485" t="n">
        <v>3.36</v>
      </c>
      <c r="BS17" s="486" t="n">
        <v>1.16</v>
      </c>
      <c r="BT17" s="440" t="inlineStr">
        <is>
          <t>ND</t>
        </is>
      </c>
      <c r="BU17" s="455" t="n"/>
      <c r="BV17" s="455" t="n"/>
      <c r="BW17" s="238" t="n"/>
      <c r="BX17" s="238" t="n"/>
      <c r="BY17" s="238" t="n"/>
      <c r="BZ17" s="238" t="n"/>
      <c r="CA17" s="238" t="n"/>
      <c r="CB17" s="238" t="n"/>
      <c r="CC17" s="238" t="n"/>
      <c r="CD17" s="238" t="n"/>
      <c r="CE17" s="238" t="n"/>
      <c r="CF17" s="238" t="n"/>
      <c r="CG17" s="238" t="n"/>
      <c r="CH17" s="238" t="n"/>
      <c r="CI17" s="238" t="n"/>
      <c r="CJ17" s="238" t="n"/>
      <c r="CK17" s="238" t="n"/>
      <c r="CL17" s="238" t="n"/>
      <c r="CM17" s="238" t="n"/>
      <c r="CN17" s="238" t="n"/>
      <c r="CO17" s="238" t="n"/>
      <c r="CP17" s="238" t="n"/>
      <c r="CQ17" s="238" t="n"/>
      <c r="CR17" s="238" t="n"/>
      <c r="CS17" s="238" t="n"/>
      <c r="CT17" s="238" t="n"/>
      <c r="CU17" s="238" t="n"/>
      <c r="CV17" s="238" t="n"/>
      <c r="CW17" s="238" t="n"/>
      <c r="CX17" s="238" t="n"/>
      <c r="CY17" s="238" t="n"/>
      <c r="CZ17" s="238" t="n"/>
      <c r="DA17" s="238" t="n"/>
      <c r="DB17" s="238" t="n"/>
      <c r="DC17" s="238" t="n"/>
      <c r="DD17" s="238" t="n"/>
      <c r="DE17" s="238" t="n"/>
      <c r="DF17" s="238" t="n"/>
      <c r="DG17" s="238" t="n"/>
      <c r="DH17" s="238" t="n"/>
      <c r="DI17" s="238" t="n"/>
      <c r="DJ17" s="238" t="n"/>
      <c r="DK17" s="238" t="n"/>
      <c r="DL17" s="238" t="n"/>
      <c r="DM17" s="238" t="n"/>
      <c r="DN17" s="238" t="n"/>
      <c r="DO17" s="238" t="n"/>
      <c r="DP17" s="238" t="n"/>
      <c r="DQ17" s="238" t="n"/>
      <c r="DR17" s="238" t="n"/>
      <c r="DS17" s="238" t="n"/>
      <c r="DT17" s="238" t="n"/>
      <c r="DU17" s="238" t="n"/>
      <c r="DV17" s="238" t="n"/>
      <c r="DW17" s="238" t="n"/>
      <c r="DX17" s="238" t="n"/>
      <c r="DY17" s="238" t="n"/>
      <c r="DZ17" s="23" t="n"/>
      <c r="FQ17" s="212" t="n"/>
      <c r="FR17" s="212" t="n"/>
      <c r="FS17" s="212" t="n"/>
      <c r="FT17" s="212" t="n"/>
      <c r="FU17" s="212" t="n"/>
      <c r="FV17" s="212" t="n"/>
      <c r="FW17" s="212" t="n"/>
      <c r="FX17" s="212" t="n"/>
      <c r="FY17" s="212" t="n"/>
      <c r="FZ17" s="212" t="n"/>
    </row>
    <row r="18" ht="39.95" customFormat="1" customHeight="1" s="5">
      <c r="A18" s="456" t="n"/>
      <c r="B18" s="8" t="inlineStr">
        <is>
          <t>OB PORTS</t>
        </is>
      </c>
      <c r="C18" s="12" t="inlineStr">
        <is>
          <t>R</t>
        </is>
      </c>
      <c r="D18" s="435" t="inlineStr">
        <is>
          <t>ND</t>
        </is>
      </c>
      <c r="E18" s="125" t="n">
        <v>0.445</v>
      </c>
      <c r="F18" s="497" t="n">
        <v>1.92</v>
      </c>
      <c r="G18" s="494" t="n">
        <v>2.05</v>
      </c>
      <c r="H18" s="495" t="n">
        <v>1.61</v>
      </c>
      <c r="I18" s="444" t="inlineStr">
        <is>
          <t>ND</t>
        </is>
      </c>
      <c r="J18" s="438" t="inlineStr">
        <is>
          <t>ND</t>
        </is>
      </c>
      <c r="K18" s="438" t="inlineStr">
        <is>
          <t>ND</t>
        </is>
      </c>
      <c r="L18" s="438" t="inlineStr">
        <is>
          <t>ND</t>
        </is>
      </c>
      <c r="M18" s="441" t="inlineStr">
        <is>
          <t>ND</t>
        </is>
      </c>
      <c r="N18" s="444" t="inlineStr">
        <is>
          <t>ND</t>
        </is>
      </c>
      <c r="O18" s="438" t="inlineStr">
        <is>
          <t>ND</t>
        </is>
      </c>
      <c r="P18" s="438" t="inlineStr">
        <is>
          <t>ND</t>
        </is>
      </c>
      <c r="Q18" s="438" t="inlineStr">
        <is>
          <t>ND</t>
        </is>
      </c>
      <c r="R18" s="441" t="inlineStr">
        <is>
          <t>ND</t>
        </is>
      </c>
      <c r="S18" s="444" t="inlineStr">
        <is>
          <t>ND</t>
        </is>
      </c>
      <c r="T18" s="438" t="inlineStr">
        <is>
          <t>ND</t>
        </is>
      </c>
      <c r="U18" s="438" t="inlineStr">
        <is>
          <t>ND</t>
        </is>
      </c>
      <c r="V18" s="438" t="inlineStr">
        <is>
          <t>ND</t>
        </is>
      </c>
      <c r="W18" s="441" t="inlineStr">
        <is>
          <t>ND</t>
        </is>
      </c>
      <c r="X18" s="444" t="inlineStr">
        <is>
          <t>ND</t>
        </is>
      </c>
      <c r="Y18" s="438" t="inlineStr">
        <is>
          <t>ND</t>
        </is>
      </c>
      <c r="Z18" s="438" t="inlineStr">
        <is>
          <t>ND</t>
        </is>
      </c>
      <c r="AA18" s="438" t="inlineStr">
        <is>
          <t>ND</t>
        </is>
      </c>
      <c r="AB18" s="441" t="inlineStr">
        <is>
          <t>ND</t>
        </is>
      </c>
      <c r="AC18" s="444" t="inlineStr">
        <is>
          <t>ND</t>
        </is>
      </c>
      <c r="AD18" s="438" t="inlineStr">
        <is>
          <t>ND</t>
        </is>
      </c>
      <c r="AE18" s="438" t="inlineStr">
        <is>
          <t>ND</t>
        </is>
      </c>
      <c r="AF18" s="438" t="inlineStr">
        <is>
          <t>ND</t>
        </is>
      </c>
      <c r="AG18" s="441" t="inlineStr">
        <is>
          <t>ND</t>
        </is>
      </c>
      <c r="AH18" s="444" t="inlineStr">
        <is>
          <t>ND</t>
        </is>
      </c>
      <c r="AI18" s="438" t="inlineStr">
        <is>
          <t>ND</t>
        </is>
      </c>
      <c r="AJ18" s="438" t="inlineStr">
        <is>
          <t>ND</t>
        </is>
      </c>
      <c r="AK18" s="438" t="inlineStr">
        <is>
          <t>ND</t>
        </is>
      </c>
      <c r="AL18" s="441" t="inlineStr">
        <is>
          <t>ND</t>
        </is>
      </c>
      <c r="AM18" s="444" t="inlineStr">
        <is>
          <t>ND</t>
        </is>
      </c>
      <c r="AN18" s="438" t="inlineStr">
        <is>
          <t>ND</t>
        </is>
      </c>
      <c r="AO18" s="438" t="inlineStr">
        <is>
          <t>ND</t>
        </is>
      </c>
      <c r="AP18" s="438" t="inlineStr">
        <is>
          <t>ND</t>
        </is>
      </c>
      <c r="AQ18" s="441" t="inlineStr">
        <is>
          <t>ND</t>
        </is>
      </c>
      <c r="AR18" s="444" t="inlineStr">
        <is>
          <t>ND</t>
        </is>
      </c>
      <c r="AS18" s="438" t="inlineStr">
        <is>
          <t>ND</t>
        </is>
      </c>
      <c r="AT18" s="438" t="inlineStr">
        <is>
          <t>ND</t>
        </is>
      </c>
      <c r="AU18" s="438" t="inlineStr">
        <is>
          <t>ND</t>
        </is>
      </c>
      <c r="AV18" s="441" t="inlineStr">
        <is>
          <t>ND</t>
        </is>
      </c>
      <c r="AW18" s="444" t="inlineStr">
        <is>
          <t>ND</t>
        </is>
      </c>
      <c r="AX18" s="438" t="inlineStr">
        <is>
          <t>ND</t>
        </is>
      </c>
      <c r="AY18" s="438" t="inlineStr">
        <is>
          <t>ND</t>
        </is>
      </c>
      <c r="AZ18" s="438" t="inlineStr">
        <is>
          <t>ND</t>
        </is>
      </c>
      <c r="BA18" s="441" t="inlineStr">
        <is>
          <t>ND</t>
        </is>
      </c>
      <c r="BB18" s="444" t="inlineStr">
        <is>
          <t>ND</t>
        </is>
      </c>
      <c r="BC18" s="438" t="inlineStr">
        <is>
          <t>ND</t>
        </is>
      </c>
      <c r="BD18" s="438" t="inlineStr">
        <is>
          <t>ND</t>
        </is>
      </c>
      <c r="BE18" s="438" t="inlineStr">
        <is>
          <t>ND</t>
        </is>
      </c>
      <c r="BF18" s="441" t="inlineStr">
        <is>
          <t>ND</t>
        </is>
      </c>
      <c r="BG18" s="444" t="inlineStr">
        <is>
          <t>ND</t>
        </is>
      </c>
      <c r="BH18" s="438" t="inlineStr">
        <is>
          <t>ND</t>
        </is>
      </c>
      <c r="BI18" s="438" t="inlineStr">
        <is>
          <t>ND</t>
        </is>
      </c>
      <c r="BJ18" s="438" t="inlineStr">
        <is>
          <t>ND</t>
        </is>
      </c>
      <c r="BK18" s="441" t="inlineStr">
        <is>
          <t>ND</t>
        </is>
      </c>
      <c r="BL18" s="444" t="inlineStr">
        <is>
          <t>ND</t>
        </is>
      </c>
      <c r="BM18" s="438" t="inlineStr">
        <is>
          <t>ND</t>
        </is>
      </c>
      <c r="BN18" s="438" t="inlineStr">
        <is>
          <t>ND</t>
        </is>
      </c>
      <c r="BO18" s="438" t="inlineStr">
        <is>
          <t>ND</t>
        </is>
      </c>
      <c r="BP18" s="441" t="n">
        <v>0.643</v>
      </c>
      <c r="BQ18" s="505" t="n">
        <v>2.11</v>
      </c>
      <c r="BR18" s="494" t="n">
        <v>4.55</v>
      </c>
      <c r="BS18" s="494" t="n">
        <v>1.62</v>
      </c>
      <c r="BT18" s="441" t="inlineStr">
        <is>
          <t>ND</t>
        </is>
      </c>
      <c r="BU18" s="457" t="n"/>
      <c r="BV18" s="457" t="n"/>
      <c r="BW18" s="238" t="n"/>
      <c r="BX18" s="238" t="n"/>
      <c r="BY18" s="238" t="n"/>
      <c r="BZ18" s="238" t="n"/>
      <c r="CA18" s="238" t="n"/>
      <c r="CB18" s="238" t="n"/>
      <c r="CC18" s="238" t="n"/>
      <c r="CD18" s="238" t="n"/>
      <c r="CE18" s="238" t="n"/>
      <c r="CF18" s="238" t="n"/>
      <c r="CG18" s="238" t="n"/>
      <c r="CH18" s="238" t="n"/>
      <c r="CI18" s="238" t="n"/>
      <c r="CJ18" s="238" t="n"/>
      <c r="CK18" s="238" t="n"/>
      <c r="CL18" s="238" t="n"/>
      <c r="CM18" s="238" t="n"/>
      <c r="CN18" s="238" t="n"/>
      <c r="CO18" s="238" t="n"/>
      <c r="CP18" s="238" t="n"/>
      <c r="CQ18" s="238" t="n"/>
      <c r="CR18" s="238" t="n"/>
      <c r="CS18" s="238" t="n"/>
      <c r="CT18" s="238" t="n"/>
      <c r="CU18" s="238" t="n"/>
      <c r="CV18" s="238" t="n"/>
      <c r="CW18" s="238" t="n"/>
      <c r="CX18" s="238" t="n"/>
      <c r="CY18" s="238" t="n"/>
      <c r="CZ18" s="238" t="n"/>
      <c r="DA18" s="238" t="n"/>
      <c r="DB18" s="238" t="n"/>
      <c r="DC18" s="238" t="n"/>
      <c r="DD18" s="238" t="n"/>
      <c r="DE18" s="238" t="n"/>
      <c r="DF18" s="238" t="n"/>
      <c r="DG18" s="238" t="n"/>
      <c r="DH18" s="238" t="n"/>
      <c r="DI18" s="238" t="n"/>
      <c r="DJ18" s="238" t="n"/>
      <c r="DK18" s="238" t="n"/>
      <c r="DL18" s="238" t="n"/>
      <c r="DM18" s="238" t="n"/>
      <c r="DN18" s="238" t="n"/>
      <c r="DO18" s="238" t="n"/>
      <c r="DP18" s="238" t="n"/>
      <c r="DQ18" s="238" t="n"/>
      <c r="DR18" s="238" t="n"/>
      <c r="DS18" s="238" t="n"/>
      <c r="DT18" s="238" t="n"/>
      <c r="DU18" s="238" t="n"/>
      <c r="DV18" s="238" t="n"/>
      <c r="DW18" s="238" t="n"/>
      <c r="DX18" s="238" t="n"/>
      <c r="DY18" s="238" t="n"/>
      <c r="DZ18" s="23" t="n"/>
      <c r="FQ18" s="212" t="n"/>
      <c r="FR18" s="212" t="n"/>
      <c r="FS18" s="212" t="n"/>
      <c r="FT18" s="212" t="n"/>
      <c r="FU18" s="212" t="n"/>
      <c r="FV18" s="212" t="n"/>
      <c r="FW18" s="212" t="n"/>
      <c r="FX18" s="212" t="n"/>
      <c r="FY18" s="212" t="n"/>
      <c r="FZ18" s="212" t="n"/>
    </row>
    <row r="19" ht="39.95" customFormat="1" customHeight="1" s="5">
      <c r="A19" s="10" t="inlineStr">
        <is>
          <t>A</t>
        </is>
      </c>
      <c r="B19" s="6" t="inlineStr">
        <is>
          <t>POSITION 'B'</t>
        </is>
      </c>
      <c r="C19" s="11" t="inlineStr">
        <is>
          <t>L</t>
        </is>
      </c>
      <c r="D19" s="433" t="inlineStr">
        <is>
          <t>ND</t>
        </is>
      </c>
      <c r="E19" s="478" t="n">
        <v>2.83</v>
      </c>
      <c r="F19" s="478" t="n">
        <v>2.16</v>
      </c>
      <c r="G19" s="475" t="n">
        <v>1.32</v>
      </c>
      <c r="H19" s="439" t="inlineStr">
        <is>
          <t>ND</t>
        </is>
      </c>
      <c r="I19" s="442" t="inlineStr">
        <is>
          <t>ND</t>
        </is>
      </c>
      <c r="J19" s="436" t="inlineStr">
        <is>
          <t>ND</t>
        </is>
      </c>
      <c r="K19" s="436" t="inlineStr">
        <is>
          <t>ND</t>
        </is>
      </c>
      <c r="L19" s="436" t="inlineStr">
        <is>
          <t>ND</t>
        </is>
      </c>
      <c r="M19" s="439" t="inlineStr">
        <is>
          <t>ND</t>
        </is>
      </c>
      <c r="N19" s="442" t="inlineStr">
        <is>
          <t>ND</t>
        </is>
      </c>
      <c r="O19" s="436" t="inlineStr">
        <is>
          <t>ND</t>
        </is>
      </c>
      <c r="P19" s="436" t="inlineStr">
        <is>
          <t>ND</t>
        </is>
      </c>
      <c r="Q19" s="436" t="inlineStr">
        <is>
          <t>ND</t>
        </is>
      </c>
      <c r="R19" s="439" t="inlineStr">
        <is>
          <t>ND</t>
        </is>
      </c>
      <c r="S19" s="442" t="inlineStr">
        <is>
          <t>ND</t>
        </is>
      </c>
      <c r="T19" s="436" t="inlineStr">
        <is>
          <t>ND</t>
        </is>
      </c>
      <c r="U19" s="436" t="inlineStr">
        <is>
          <t>ND</t>
        </is>
      </c>
      <c r="V19" s="436" t="inlineStr">
        <is>
          <t>ND</t>
        </is>
      </c>
      <c r="W19" s="439" t="inlineStr">
        <is>
          <t>ND</t>
        </is>
      </c>
      <c r="X19" s="442" t="inlineStr">
        <is>
          <t>ND</t>
        </is>
      </c>
      <c r="Y19" s="436" t="inlineStr">
        <is>
          <t>ND</t>
        </is>
      </c>
      <c r="Z19" s="436" t="inlineStr">
        <is>
          <t>ND</t>
        </is>
      </c>
      <c r="AA19" s="436" t="inlineStr">
        <is>
          <t>ND</t>
        </is>
      </c>
      <c r="AB19" s="439" t="inlineStr">
        <is>
          <t>ND</t>
        </is>
      </c>
      <c r="AC19" s="442" t="inlineStr">
        <is>
          <t>ND</t>
        </is>
      </c>
      <c r="AD19" s="436" t="inlineStr">
        <is>
          <t>ND</t>
        </is>
      </c>
      <c r="AE19" s="436" t="inlineStr">
        <is>
          <t>ND</t>
        </is>
      </c>
      <c r="AF19" s="436" t="inlineStr">
        <is>
          <t>ND</t>
        </is>
      </c>
      <c r="AG19" s="439" t="inlineStr">
        <is>
          <t>ND</t>
        </is>
      </c>
      <c r="AH19" s="442" t="inlineStr">
        <is>
          <t>ND</t>
        </is>
      </c>
      <c r="AI19" s="436" t="inlineStr">
        <is>
          <t>ND</t>
        </is>
      </c>
      <c r="AJ19" s="436" t="inlineStr">
        <is>
          <t>ND</t>
        </is>
      </c>
      <c r="AK19" s="436" t="inlineStr">
        <is>
          <t>ND</t>
        </is>
      </c>
      <c r="AL19" s="439" t="inlineStr">
        <is>
          <t>ND</t>
        </is>
      </c>
      <c r="AM19" s="442" t="inlineStr">
        <is>
          <t>ND</t>
        </is>
      </c>
      <c r="AN19" s="436" t="inlineStr">
        <is>
          <t>ND</t>
        </is>
      </c>
      <c r="AO19" s="436" t="inlineStr">
        <is>
          <t>ND</t>
        </is>
      </c>
      <c r="AP19" s="436" t="inlineStr">
        <is>
          <t>ND</t>
        </is>
      </c>
      <c r="AQ19" s="439" t="inlineStr">
        <is>
          <t>ND</t>
        </is>
      </c>
      <c r="AR19" s="442" t="inlineStr">
        <is>
          <t>ND</t>
        </is>
      </c>
      <c r="AS19" s="436" t="inlineStr">
        <is>
          <t>ND</t>
        </is>
      </c>
      <c r="AT19" s="436" t="inlineStr">
        <is>
          <t>ND</t>
        </is>
      </c>
      <c r="AU19" s="436" t="inlineStr">
        <is>
          <t>ND</t>
        </is>
      </c>
      <c r="AV19" s="439" t="inlineStr">
        <is>
          <t>ND</t>
        </is>
      </c>
      <c r="AW19" s="442" t="inlineStr">
        <is>
          <t>ND</t>
        </is>
      </c>
      <c r="AX19" s="436" t="inlineStr">
        <is>
          <t>ND</t>
        </is>
      </c>
      <c r="AY19" s="436" t="inlineStr">
        <is>
          <t>ND</t>
        </is>
      </c>
      <c r="AZ19" s="436" t="inlineStr">
        <is>
          <t>ND</t>
        </is>
      </c>
      <c r="BA19" s="439" t="inlineStr">
        <is>
          <t>ND</t>
        </is>
      </c>
      <c r="BB19" s="442" t="inlineStr">
        <is>
          <t>ND</t>
        </is>
      </c>
      <c r="BC19" s="436" t="inlineStr">
        <is>
          <t>ND</t>
        </is>
      </c>
      <c r="BD19" s="436" t="inlineStr">
        <is>
          <t>ND</t>
        </is>
      </c>
      <c r="BE19" s="436" t="inlineStr">
        <is>
          <t>ND</t>
        </is>
      </c>
      <c r="BF19" s="439" t="inlineStr">
        <is>
          <t>ND</t>
        </is>
      </c>
      <c r="BG19" s="442" t="inlineStr">
        <is>
          <t>ND</t>
        </is>
      </c>
      <c r="BH19" s="436" t="inlineStr">
        <is>
          <t>ND</t>
        </is>
      </c>
      <c r="BI19" s="436" t="inlineStr">
        <is>
          <t>ND</t>
        </is>
      </c>
      <c r="BJ19" s="436" t="inlineStr">
        <is>
          <t>ND</t>
        </is>
      </c>
      <c r="BK19" s="439" t="inlineStr">
        <is>
          <t>ND</t>
        </is>
      </c>
      <c r="BL19" s="442" t="inlineStr">
        <is>
          <t>ND</t>
        </is>
      </c>
      <c r="BM19" s="436" t="inlineStr">
        <is>
          <t>ND</t>
        </is>
      </c>
      <c r="BN19" s="436" t="inlineStr">
        <is>
          <t>ND</t>
        </is>
      </c>
      <c r="BO19" s="436" t="inlineStr">
        <is>
          <t>ND</t>
        </is>
      </c>
      <c r="BP19" s="480" t="n">
        <v>3.44</v>
      </c>
      <c r="BQ19" s="477" t="n">
        <v>1.71</v>
      </c>
      <c r="BR19" s="475" t="n">
        <v>3.26</v>
      </c>
      <c r="BS19" s="478" t="inlineStr">
        <is>
          <t>ND</t>
        </is>
      </c>
      <c r="BT19" s="439" t="inlineStr">
        <is>
          <t>ND</t>
        </is>
      </c>
      <c r="BU19" s="454">
        <f>IFERROR(AVERAGE(D19:BT21),0)</f>
        <v/>
      </c>
      <c r="BV19" s="454">
        <f>MAX(D19:BT21)</f>
        <v/>
      </c>
      <c r="BW19" s="238" t="n"/>
      <c r="BX19" s="238" t="n"/>
      <c r="BY19" s="238" t="n"/>
      <c r="BZ19" s="238" t="n"/>
      <c r="CA19" s="238" t="n"/>
      <c r="CB19" s="238" t="n"/>
      <c r="CC19" s="238" t="n"/>
      <c r="CD19" s="238" t="n"/>
      <c r="CE19" s="238" t="n"/>
      <c r="CF19" s="238" t="n"/>
      <c r="CG19" s="238" t="n"/>
      <c r="CH19" s="238" t="n"/>
      <c r="CI19" s="238" t="n"/>
      <c r="CJ19" s="238" t="n"/>
      <c r="CK19" s="238" t="n"/>
      <c r="CL19" s="238" t="n"/>
      <c r="CM19" s="238" t="n"/>
      <c r="CN19" s="238" t="n"/>
      <c r="CO19" s="238" t="n"/>
      <c r="CP19" s="238" t="n"/>
      <c r="CQ19" s="238" t="n"/>
      <c r="CR19" s="238" t="n"/>
      <c r="CS19" s="238" t="n"/>
      <c r="CT19" s="238" t="n"/>
      <c r="CU19" s="238" t="n"/>
      <c r="CV19" s="238" t="n"/>
      <c r="CW19" s="238" t="n"/>
      <c r="CX19" s="238" t="n"/>
      <c r="CY19" s="238" t="n"/>
      <c r="CZ19" s="238" t="n"/>
      <c r="DA19" s="238" t="n"/>
      <c r="DB19" s="238" t="n"/>
      <c r="DC19" s="238" t="n"/>
      <c r="DD19" s="238" t="n"/>
      <c r="DE19" s="238" t="n"/>
      <c r="DF19" s="238" t="n"/>
      <c r="DG19" s="238" t="n"/>
      <c r="DH19" s="238" t="n"/>
      <c r="DI19" s="238" t="n"/>
      <c r="DJ19" s="238" t="n"/>
      <c r="DK19" s="238" t="n"/>
      <c r="DL19" s="238" t="n"/>
      <c r="DM19" s="238" t="n"/>
      <c r="DN19" s="238" t="n"/>
      <c r="DO19" s="238" t="n"/>
      <c r="DP19" s="238" t="n"/>
      <c r="DQ19" s="238" t="n"/>
      <c r="DR19" s="238" t="n"/>
      <c r="DS19" s="238" t="n"/>
      <c r="DT19" s="238" t="n"/>
      <c r="DU19" s="238" t="n"/>
      <c r="DV19" s="238" t="n"/>
      <c r="DW19" s="238" t="n"/>
      <c r="DX19" s="238" t="n"/>
      <c r="DY19" s="238" t="n"/>
      <c r="DZ19" s="23" t="n"/>
      <c r="FQ19" s="212" t="n"/>
      <c r="FR19" s="212" t="n"/>
      <c r="FS19" s="212" t="n"/>
      <c r="FT19" s="212" t="n"/>
      <c r="FU19" s="212" t="n"/>
      <c r="FV19" s="212" t="n"/>
      <c r="FW19" s="212" t="n"/>
      <c r="FX19" s="212" t="n"/>
      <c r="FY19" s="212" t="n"/>
      <c r="FZ19" s="212" t="n"/>
    </row>
    <row r="20" ht="39.95" customFormat="1" customHeight="1" s="5">
      <c r="A20" s="182" t="inlineStr"/>
      <c r="B20" s="7" t="inlineStr">
        <is>
          <t xml:space="preserve">OF THE </t>
        </is>
      </c>
      <c r="C20" s="11" t="inlineStr">
        <is>
          <t>C</t>
        </is>
      </c>
      <c r="D20" s="434" t="inlineStr">
        <is>
          <t>ND</t>
        </is>
      </c>
      <c r="E20" s="485" t="n">
        <v>2.34</v>
      </c>
      <c r="F20" s="486" t="n">
        <v>2.75</v>
      </c>
      <c r="G20" s="486" t="n">
        <v>1.94</v>
      </c>
      <c r="H20" s="488" t="n">
        <v>2.61</v>
      </c>
      <c r="I20" s="443" t="inlineStr">
        <is>
          <t>ND</t>
        </is>
      </c>
      <c r="J20" s="437" t="inlineStr">
        <is>
          <t>ND</t>
        </is>
      </c>
      <c r="K20" s="437" t="inlineStr">
        <is>
          <t>ND</t>
        </is>
      </c>
      <c r="L20" s="437" t="inlineStr">
        <is>
          <t>ND</t>
        </is>
      </c>
      <c r="M20" s="440" t="inlineStr">
        <is>
          <t>ND</t>
        </is>
      </c>
      <c r="N20" s="443" t="inlineStr">
        <is>
          <t>ND</t>
        </is>
      </c>
      <c r="O20" s="437" t="inlineStr">
        <is>
          <t>ND</t>
        </is>
      </c>
      <c r="P20" s="437" t="inlineStr">
        <is>
          <t>ND</t>
        </is>
      </c>
      <c r="Q20" s="437" t="inlineStr">
        <is>
          <t>ND</t>
        </is>
      </c>
      <c r="R20" s="440" t="inlineStr">
        <is>
          <t>ND</t>
        </is>
      </c>
      <c r="S20" s="443" t="inlineStr">
        <is>
          <t>ND</t>
        </is>
      </c>
      <c r="T20" s="437" t="inlineStr">
        <is>
          <t>ND</t>
        </is>
      </c>
      <c r="U20" s="437" t="inlineStr">
        <is>
          <t>ND</t>
        </is>
      </c>
      <c r="V20" s="437" t="inlineStr">
        <is>
          <t>ND</t>
        </is>
      </c>
      <c r="W20" s="440" t="inlineStr">
        <is>
          <t>ND</t>
        </is>
      </c>
      <c r="X20" s="443" t="inlineStr">
        <is>
          <t>ND</t>
        </is>
      </c>
      <c r="Y20" s="437" t="inlineStr">
        <is>
          <t>ND</t>
        </is>
      </c>
      <c r="Z20" s="437" t="inlineStr">
        <is>
          <t>ND</t>
        </is>
      </c>
      <c r="AA20" s="437" t="inlineStr">
        <is>
          <t>ND</t>
        </is>
      </c>
      <c r="AB20" s="440" t="inlineStr">
        <is>
          <t>ND</t>
        </is>
      </c>
      <c r="AC20" s="443" t="inlineStr">
        <is>
          <t>ND</t>
        </is>
      </c>
      <c r="AD20" s="437" t="inlineStr">
        <is>
          <t>ND</t>
        </is>
      </c>
      <c r="AE20" s="437" t="inlineStr">
        <is>
          <t>ND</t>
        </is>
      </c>
      <c r="AF20" s="437" t="inlineStr">
        <is>
          <t>ND</t>
        </is>
      </c>
      <c r="AG20" s="440" t="inlineStr">
        <is>
          <t>ND</t>
        </is>
      </c>
      <c r="AH20" s="443" t="inlineStr">
        <is>
          <t>ND</t>
        </is>
      </c>
      <c r="AI20" s="437" t="inlineStr">
        <is>
          <t>ND</t>
        </is>
      </c>
      <c r="AJ20" s="437" t="inlineStr">
        <is>
          <t>ND</t>
        </is>
      </c>
      <c r="AK20" s="437" t="inlineStr">
        <is>
          <t>ND</t>
        </is>
      </c>
      <c r="AL20" s="440" t="inlineStr">
        <is>
          <t>ND</t>
        </is>
      </c>
      <c r="AM20" s="443" t="inlineStr">
        <is>
          <t>ND</t>
        </is>
      </c>
      <c r="AN20" s="437" t="inlineStr">
        <is>
          <t>ND</t>
        </is>
      </c>
      <c r="AO20" s="437" t="inlineStr">
        <is>
          <t>ND</t>
        </is>
      </c>
      <c r="AP20" s="437" t="inlineStr">
        <is>
          <t>ND</t>
        </is>
      </c>
      <c r="AQ20" s="440" t="inlineStr">
        <is>
          <t>ND</t>
        </is>
      </c>
      <c r="AR20" s="443" t="inlineStr">
        <is>
          <t>ND</t>
        </is>
      </c>
      <c r="AS20" s="437" t="inlineStr">
        <is>
          <t>ND</t>
        </is>
      </c>
      <c r="AT20" s="437" t="inlineStr">
        <is>
          <t>ND</t>
        </is>
      </c>
      <c r="AU20" s="437" t="inlineStr">
        <is>
          <t>ND</t>
        </is>
      </c>
      <c r="AV20" s="440" t="inlineStr">
        <is>
          <t>ND</t>
        </is>
      </c>
      <c r="AW20" s="443" t="inlineStr">
        <is>
          <t>ND</t>
        </is>
      </c>
      <c r="AX20" s="437" t="inlineStr">
        <is>
          <t>ND</t>
        </is>
      </c>
      <c r="AY20" s="437" t="inlineStr">
        <is>
          <t>ND</t>
        </is>
      </c>
      <c r="AZ20" s="437" t="inlineStr">
        <is>
          <t>ND</t>
        </is>
      </c>
      <c r="BA20" s="440" t="inlineStr">
        <is>
          <t>ND</t>
        </is>
      </c>
      <c r="BB20" s="443" t="inlineStr">
        <is>
          <t>ND</t>
        </is>
      </c>
      <c r="BC20" s="437" t="inlineStr">
        <is>
          <t>ND</t>
        </is>
      </c>
      <c r="BD20" s="437" t="inlineStr">
        <is>
          <t>ND</t>
        </is>
      </c>
      <c r="BE20" s="437" t="inlineStr">
        <is>
          <t>ND</t>
        </is>
      </c>
      <c r="BF20" s="440" t="inlineStr">
        <is>
          <t>ND</t>
        </is>
      </c>
      <c r="BG20" s="443" t="inlineStr">
        <is>
          <t>ND</t>
        </is>
      </c>
      <c r="BH20" s="437" t="inlineStr">
        <is>
          <t>ND</t>
        </is>
      </c>
      <c r="BI20" s="437" t="inlineStr">
        <is>
          <t>ND</t>
        </is>
      </c>
      <c r="BJ20" s="437" t="inlineStr">
        <is>
          <t>ND</t>
        </is>
      </c>
      <c r="BK20" s="440" t="inlineStr">
        <is>
          <t>ND</t>
        </is>
      </c>
      <c r="BL20" s="443" t="inlineStr">
        <is>
          <t>ND</t>
        </is>
      </c>
      <c r="BM20" s="437" t="inlineStr">
        <is>
          <t>ND</t>
        </is>
      </c>
      <c r="BN20" s="437" t="inlineStr">
        <is>
          <t>ND</t>
        </is>
      </c>
      <c r="BO20" s="437" t="inlineStr">
        <is>
          <t>ND</t>
        </is>
      </c>
      <c r="BP20" s="489" t="n">
        <v>2.03</v>
      </c>
      <c r="BQ20" s="490" t="n">
        <v>2.27</v>
      </c>
      <c r="BR20" s="486" t="n">
        <v>1.32</v>
      </c>
      <c r="BS20" s="485" t="n">
        <v>1.35</v>
      </c>
      <c r="BT20" s="440" t="inlineStr">
        <is>
          <t>ND</t>
        </is>
      </c>
      <c r="BU20" s="455" t="n"/>
      <c r="BV20" s="455" t="n"/>
      <c r="BW20" s="238" t="n"/>
      <c r="BX20" s="238" t="n"/>
      <c r="BY20" s="238" t="n"/>
      <c r="BZ20" s="238" t="n"/>
      <c r="CA20" s="238" t="n"/>
      <c r="CB20" s="238" t="n"/>
      <c r="CC20" s="238" t="n"/>
      <c r="CD20" s="238" t="n"/>
      <c r="CE20" s="238" t="n"/>
      <c r="CF20" s="238" t="n"/>
      <c r="CG20" s="238" t="n"/>
      <c r="CH20" s="238" t="n"/>
      <c r="CI20" s="238" t="n"/>
      <c r="CJ20" s="238" t="n"/>
      <c r="CK20" s="238" t="n"/>
      <c r="CL20" s="238" t="n"/>
      <c r="CM20" s="238" t="n"/>
      <c r="CN20" s="238" t="n"/>
      <c r="CO20" s="238" t="n"/>
      <c r="CP20" s="238" t="n"/>
      <c r="CQ20" s="238" t="n"/>
      <c r="CR20" s="238" t="n"/>
      <c r="CS20" s="238" t="n"/>
      <c r="CT20" s="238" t="n"/>
      <c r="CU20" s="238" t="n"/>
      <c r="CV20" s="238" t="n"/>
      <c r="CW20" s="238" t="n"/>
      <c r="CX20" s="238" t="n"/>
      <c r="CY20" s="238" t="n"/>
      <c r="CZ20" s="238" t="n"/>
      <c r="DA20" s="238" t="n"/>
      <c r="DB20" s="238" t="n"/>
      <c r="DC20" s="238" t="n"/>
      <c r="DD20" s="238" t="n"/>
      <c r="DE20" s="238" t="n"/>
      <c r="DF20" s="238" t="n"/>
      <c r="DG20" s="238" t="n"/>
      <c r="DH20" s="238" t="n"/>
      <c r="DI20" s="238" t="n"/>
      <c r="DJ20" s="238" t="n"/>
      <c r="DK20" s="238" t="n"/>
      <c r="DL20" s="238" t="n"/>
      <c r="DM20" s="238" t="n"/>
      <c r="DN20" s="238" t="n"/>
      <c r="DO20" s="238" t="n"/>
      <c r="DP20" s="238" t="n"/>
      <c r="DQ20" s="238" t="n"/>
      <c r="DR20" s="238" t="n"/>
      <c r="DS20" s="238" t="n"/>
      <c r="DT20" s="238" t="n"/>
      <c r="DU20" s="238" t="n"/>
      <c r="DV20" s="238" t="n"/>
      <c r="DW20" s="238" t="n"/>
      <c r="DX20" s="238" t="n"/>
      <c r="DY20" s="238" t="n"/>
      <c r="DZ20" s="23" t="n"/>
      <c r="FQ20" s="212" t="n"/>
      <c r="FR20" s="212" t="n"/>
      <c r="FS20" s="212" t="n"/>
      <c r="FT20" s="212" t="n"/>
      <c r="FU20" s="212" t="n"/>
      <c r="FV20" s="212" t="n"/>
      <c r="FW20" s="212" t="n"/>
      <c r="FX20" s="212" t="n"/>
      <c r="FY20" s="212" t="n"/>
      <c r="FZ20" s="212" t="n"/>
    </row>
    <row r="21" ht="39.95" customFormat="1" customHeight="1" s="5">
      <c r="A21" s="456" t="n"/>
      <c r="B21" s="8" t="inlineStr">
        <is>
          <t>OB PORTS</t>
        </is>
      </c>
      <c r="C21" s="12" t="inlineStr">
        <is>
          <t>R</t>
        </is>
      </c>
      <c r="D21" s="435" t="inlineStr">
        <is>
          <t>ND</t>
        </is>
      </c>
      <c r="E21" s="497" t="n">
        <v>2.69</v>
      </c>
      <c r="F21" s="497" t="n">
        <v>3.38</v>
      </c>
      <c r="G21" s="497" t="n">
        <v>1.36</v>
      </c>
      <c r="H21" s="495" t="n">
        <v>1.61</v>
      </c>
      <c r="I21" s="444" t="inlineStr">
        <is>
          <t>ND</t>
        </is>
      </c>
      <c r="J21" s="438" t="inlineStr">
        <is>
          <t>ND</t>
        </is>
      </c>
      <c r="K21" s="438" t="inlineStr">
        <is>
          <t>ND</t>
        </is>
      </c>
      <c r="L21" s="438" t="inlineStr">
        <is>
          <t>ND</t>
        </is>
      </c>
      <c r="M21" s="441" t="inlineStr">
        <is>
          <t>ND</t>
        </is>
      </c>
      <c r="N21" s="444" t="inlineStr">
        <is>
          <t>ND</t>
        </is>
      </c>
      <c r="O21" s="438" t="inlineStr">
        <is>
          <t>ND</t>
        </is>
      </c>
      <c r="P21" s="438" t="inlineStr">
        <is>
          <t>ND</t>
        </is>
      </c>
      <c r="Q21" s="438" t="inlineStr">
        <is>
          <t>ND</t>
        </is>
      </c>
      <c r="R21" s="441" t="inlineStr">
        <is>
          <t>ND</t>
        </is>
      </c>
      <c r="S21" s="444" t="inlineStr">
        <is>
          <t>ND</t>
        </is>
      </c>
      <c r="T21" s="438" t="inlineStr">
        <is>
          <t>ND</t>
        </is>
      </c>
      <c r="U21" s="438" t="inlineStr">
        <is>
          <t>ND</t>
        </is>
      </c>
      <c r="V21" s="438" t="inlineStr">
        <is>
          <t>ND</t>
        </is>
      </c>
      <c r="W21" s="441" t="inlineStr">
        <is>
          <t>ND</t>
        </is>
      </c>
      <c r="X21" s="444" t="inlineStr">
        <is>
          <t>ND</t>
        </is>
      </c>
      <c r="Y21" s="438" t="inlineStr">
        <is>
          <t>ND</t>
        </is>
      </c>
      <c r="Z21" s="438" t="inlineStr">
        <is>
          <t>ND</t>
        </is>
      </c>
      <c r="AA21" s="438" t="inlineStr">
        <is>
          <t>ND</t>
        </is>
      </c>
      <c r="AB21" s="441" t="inlineStr">
        <is>
          <t>ND</t>
        </is>
      </c>
      <c r="AC21" s="444" t="inlineStr">
        <is>
          <t>ND</t>
        </is>
      </c>
      <c r="AD21" s="438" t="inlineStr">
        <is>
          <t>ND</t>
        </is>
      </c>
      <c r="AE21" s="438" t="inlineStr">
        <is>
          <t>ND</t>
        </is>
      </c>
      <c r="AF21" s="438" t="inlineStr">
        <is>
          <t>ND</t>
        </is>
      </c>
      <c r="AG21" s="441" t="inlineStr">
        <is>
          <t>ND</t>
        </is>
      </c>
      <c r="AH21" s="444" t="inlineStr">
        <is>
          <t>ND</t>
        </is>
      </c>
      <c r="AI21" s="438" t="inlineStr">
        <is>
          <t>ND</t>
        </is>
      </c>
      <c r="AJ21" s="438" t="inlineStr">
        <is>
          <t>ND</t>
        </is>
      </c>
      <c r="AK21" s="438" t="inlineStr">
        <is>
          <t>ND</t>
        </is>
      </c>
      <c r="AL21" s="441" t="inlineStr">
        <is>
          <t>ND</t>
        </is>
      </c>
      <c r="AM21" s="444" t="inlineStr">
        <is>
          <t>ND</t>
        </is>
      </c>
      <c r="AN21" s="438" t="inlineStr">
        <is>
          <t>ND</t>
        </is>
      </c>
      <c r="AO21" s="438" t="inlineStr">
        <is>
          <t>ND</t>
        </is>
      </c>
      <c r="AP21" s="438" t="inlineStr">
        <is>
          <t>ND</t>
        </is>
      </c>
      <c r="AQ21" s="441" t="inlineStr">
        <is>
          <t>ND</t>
        </is>
      </c>
      <c r="AR21" s="444" t="inlineStr">
        <is>
          <t>ND</t>
        </is>
      </c>
      <c r="AS21" s="438" t="inlineStr">
        <is>
          <t>ND</t>
        </is>
      </c>
      <c r="AT21" s="438" t="inlineStr">
        <is>
          <t>ND</t>
        </is>
      </c>
      <c r="AU21" s="438" t="inlineStr">
        <is>
          <t>ND</t>
        </is>
      </c>
      <c r="AV21" s="441" t="inlineStr">
        <is>
          <t>ND</t>
        </is>
      </c>
      <c r="AW21" s="444" t="inlineStr">
        <is>
          <t>ND</t>
        </is>
      </c>
      <c r="AX21" s="438" t="inlineStr">
        <is>
          <t>ND</t>
        </is>
      </c>
      <c r="AY21" s="438" t="inlineStr">
        <is>
          <t>ND</t>
        </is>
      </c>
      <c r="AZ21" s="438" t="inlineStr">
        <is>
          <t>ND</t>
        </is>
      </c>
      <c r="BA21" s="441" t="inlineStr">
        <is>
          <t>ND</t>
        </is>
      </c>
      <c r="BB21" s="444" t="inlineStr">
        <is>
          <t>ND</t>
        </is>
      </c>
      <c r="BC21" s="438" t="inlineStr">
        <is>
          <t>ND</t>
        </is>
      </c>
      <c r="BD21" s="438" t="inlineStr">
        <is>
          <t>ND</t>
        </is>
      </c>
      <c r="BE21" s="438" t="inlineStr">
        <is>
          <t>ND</t>
        </is>
      </c>
      <c r="BF21" s="441" t="inlineStr">
        <is>
          <t>ND</t>
        </is>
      </c>
      <c r="BG21" s="444" t="inlineStr">
        <is>
          <t>ND</t>
        </is>
      </c>
      <c r="BH21" s="438" t="inlineStr">
        <is>
          <t>ND</t>
        </is>
      </c>
      <c r="BI21" s="438" t="inlineStr">
        <is>
          <t>ND</t>
        </is>
      </c>
      <c r="BJ21" s="438" t="inlineStr">
        <is>
          <t>ND</t>
        </is>
      </c>
      <c r="BK21" s="441" t="inlineStr">
        <is>
          <t>ND</t>
        </is>
      </c>
      <c r="BL21" s="444" t="inlineStr">
        <is>
          <t>ND</t>
        </is>
      </c>
      <c r="BM21" s="438" t="inlineStr">
        <is>
          <t>ND</t>
        </is>
      </c>
      <c r="BN21" s="438" t="inlineStr">
        <is>
          <t>ND</t>
        </is>
      </c>
      <c r="BO21" s="438" t="inlineStr">
        <is>
          <t>ND</t>
        </is>
      </c>
      <c r="BP21" s="498" t="n">
        <v>1.72</v>
      </c>
      <c r="BQ21" s="496" t="n">
        <v>2.39</v>
      </c>
      <c r="BR21" s="497" t="n">
        <v>2.25</v>
      </c>
      <c r="BS21" s="492" t="n">
        <v>1.9</v>
      </c>
      <c r="BT21" s="441" t="inlineStr">
        <is>
          <t>ND</t>
        </is>
      </c>
      <c r="BU21" s="457" t="n"/>
      <c r="BV21" s="457" t="n"/>
      <c r="BW21" s="238" t="n"/>
      <c r="BX21" s="238" t="n"/>
      <c r="BY21" s="238" t="n"/>
      <c r="BZ21" s="238" t="n"/>
      <c r="CA21" s="238" t="n"/>
      <c r="CB21" s="238" t="n"/>
      <c r="CC21" s="238" t="n"/>
      <c r="CD21" s="238" t="n"/>
      <c r="CE21" s="238" t="n"/>
      <c r="CF21" s="238" t="n"/>
      <c r="CG21" s="238" t="n"/>
      <c r="CH21" s="238" t="n"/>
      <c r="CI21" s="238" t="n"/>
      <c r="CJ21" s="238" t="n"/>
      <c r="CK21" s="238" t="n"/>
      <c r="CL21" s="238" t="n"/>
      <c r="CM21" s="238" t="n"/>
      <c r="CN21" s="238" t="n"/>
      <c r="CO21" s="238" t="n"/>
      <c r="CP21" s="238" t="n"/>
      <c r="CQ21" s="238" t="n"/>
      <c r="CR21" s="238" t="n"/>
      <c r="CS21" s="238" t="n"/>
      <c r="CT21" s="238" t="n"/>
      <c r="CU21" s="238" t="n"/>
      <c r="CV21" s="238" t="n"/>
      <c r="CW21" s="238" t="n"/>
      <c r="CX21" s="238" t="n"/>
      <c r="CY21" s="238" t="n"/>
      <c r="CZ21" s="238" t="n"/>
      <c r="DA21" s="238" t="n"/>
      <c r="DB21" s="238" t="n"/>
      <c r="DC21" s="238" t="n"/>
      <c r="DD21" s="238" t="n"/>
      <c r="DE21" s="238" t="n"/>
      <c r="DF21" s="238" t="n"/>
      <c r="DG21" s="238" t="n"/>
      <c r="DH21" s="238" t="n"/>
      <c r="DI21" s="238" t="n"/>
      <c r="DJ21" s="238" t="n"/>
      <c r="DK21" s="238" t="n"/>
      <c r="DL21" s="238" t="n"/>
      <c r="DM21" s="238" t="n"/>
      <c r="DN21" s="238" t="n"/>
      <c r="DO21" s="238" t="n"/>
      <c r="DP21" s="238" t="n"/>
      <c r="DQ21" s="238" t="n"/>
      <c r="DR21" s="238" t="n"/>
      <c r="DS21" s="238" t="n"/>
      <c r="DT21" s="238" t="n"/>
      <c r="DU21" s="238" t="n"/>
      <c r="DV21" s="238" t="n"/>
      <c r="DW21" s="238" t="n"/>
      <c r="DX21" s="238" t="n"/>
      <c r="DY21" s="238" t="n"/>
      <c r="DZ21" s="23" t="n"/>
      <c r="FQ21" s="212" t="n"/>
      <c r="FR21" s="212" t="n"/>
      <c r="FS21" s="212" t="n"/>
      <c r="FT21" s="212" t="n"/>
      <c r="FU21" s="212" t="n"/>
      <c r="FV21" s="212" t="n"/>
      <c r="FW21" s="212" t="n"/>
      <c r="FX21" s="212" t="n"/>
      <c r="FY21" s="212" t="n"/>
      <c r="FZ21" s="212" t="n"/>
    </row>
    <row r="22" ht="39.95" customFormat="1" customHeight="1" s="5">
      <c r="A22" s="10" t="inlineStr">
        <is>
          <t>A</t>
        </is>
      </c>
      <c r="B22" s="6" t="inlineStr">
        <is>
          <t>POSITION 'C'</t>
        </is>
      </c>
      <c r="C22" s="11" t="inlineStr">
        <is>
          <t>L</t>
        </is>
      </c>
      <c r="D22" s="433" t="inlineStr">
        <is>
          <t>ND</t>
        </is>
      </c>
      <c r="E22" s="475" t="n">
        <v>1.38</v>
      </c>
      <c r="F22" s="436" t="n">
        <v>0.862</v>
      </c>
      <c r="G22" s="478" t="n">
        <v>1.98</v>
      </c>
      <c r="H22" s="476" t="n">
        <v>2.37</v>
      </c>
      <c r="I22" s="442" t="inlineStr">
        <is>
          <t>ND</t>
        </is>
      </c>
      <c r="J22" s="436" t="inlineStr">
        <is>
          <t>ND</t>
        </is>
      </c>
      <c r="K22" s="436" t="inlineStr">
        <is>
          <t>ND</t>
        </is>
      </c>
      <c r="L22" s="436" t="inlineStr">
        <is>
          <t>ND</t>
        </is>
      </c>
      <c r="M22" s="439" t="inlineStr">
        <is>
          <t>ND</t>
        </is>
      </c>
      <c r="N22" s="442" t="inlineStr">
        <is>
          <t>ND</t>
        </is>
      </c>
      <c r="O22" s="436" t="inlineStr">
        <is>
          <t>ND</t>
        </is>
      </c>
      <c r="P22" s="436" t="inlineStr">
        <is>
          <t>ND</t>
        </is>
      </c>
      <c r="Q22" s="436" t="inlineStr">
        <is>
          <t>ND</t>
        </is>
      </c>
      <c r="R22" s="439" t="inlineStr">
        <is>
          <t>ND</t>
        </is>
      </c>
      <c r="S22" s="442" t="inlineStr">
        <is>
          <t>ND</t>
        </is>
      </c>
      <c r="T22" s="436" t="inlineStr">
        <is>
          <t>ND</t>
        </is>
      </c>
      <c r="U22" s="436" t="inlineStr">
        <is>
          <t>ND</t>
        </is>
      </c>
      <c r="V22" s="436" t="inlineStr">
        <is>
          <t>ND</t>
        </is>
      </c>
      <c r="W22" s="439" t="inlineStr">
        <is>
          <t>ND</t>
        </is>
      </c>
      <c r="X22" s="442" t="inlineStr">
        <is>
          <t>ND</t>
        </is>
      </c>
      <c r="Y22" s="436" t="inlineStr">
        <is>
          <t>ND</t>
        </is>
      </c>
      <c r="Z22" s="436" t="inlineStr">
        <is>
          <t>ND</t>
        </is>
      </c>
      <c r="AA22" s="436" t="inlineStr">
        <is>
          <t>ND</t>
        </is>
      </c>
      <c r="AB22" s="439" t="inlineStr">
        <is>
          <t>ND</t>
        </is>
      </c>
      <c r="AC22" s="442" t="inlineStr">
        <is>
          <t>ND</t>
        </is>
      </c>
      <c r="AD22" s="436" t="inlineStr">
        <is>
          <t>ND</t>
        </is>
      </c>
      <c r="AE22" s="436" t="inlineStr">
        <is>
          <t>ND</t>
        </is>
      </c>
      <c r="AF22" s="436" t="inlineStr">
        <is>
          <t>ND</t>
        </is>
      </c>
      <c r="AG22" s="439" t="inlineStr">
        <is>
          <t>ND</t>
        </is>
      </c>
      <c r="AH22" s="442" t="inlineStr">
        <is>
          <t>ND</t>
        </is>
      </c>
      <c r="AI22" s="436" t="inlineStr">
        <is>
          <t>ND</t>
        </is>
      </c>
      <c r="AJ22" s="436" t="inlineStr">
        <is>
          <t>ND</t>
        </is>
      </c>
      <c r="AK22" s="436" t="inlineStr">
        <is>
          <t>ND</t>
        </is>
      </c>
      <c r="AL22" s="439" t="inlineStr">
        <is>
          <t>ND</t>
        </is>
      </c>
      <c r="AM22" s="442" t="inlineStr">
        <is>
          <t>ND</t>
        </is>
      </c>
      <c r="AN22" s="436" t="inlineStr">
        <is>
          <t>ND</t>
        </is>
      </c>
      <c r="AO22" s="436" t="inlineStr">
        <is>
          <t>ND</t>
        </is>
      </c>
      <c r="AP22" s="436" t="inlineStr">
        <is>
          <t>ND</t>
        </is>
      </c>
      <c r="AQ22" s="439" t="inlineStr">
        <is>
          <t>ND</t>
        </is>
      </c>
      <c r="AR22" s="442" t="inlineStr">
        <is>
          <t>ND</t>
        </is>
      </c>
      <c r="AS22" s="436" t="inlineStr">
        <is>
          <t>ND</t>
        </is>
      </c>
      <c r="AT22" s="436" t="inlineStr">
        <is>
          <t>ND</t>
        </is>
      </c>
      <c r="AU22" s="436" t="inlineStr">
        <is>
          <t>ND</t>
        </is>
      </c>
      <c r="AV22" s="439" t="inlineStr">
        <is>
          <t>ND</t>
        </is>
      </c>
      <c r="AW22" s="442" t="inlineStr">
        <is>
          <t>ND</t>
        </is>
      </c>
      <c r="AX22" s="436" t="inlineStr">
        <is>
          <t>ND</t>
        </is>
      </c>
      <c r="AY22" s="436" t="inlineStr">
        <is>
          <t>ND</t>
        </is>
      </c>
      <c r="AZ22" s="436" t="inlineStr">
        <is>
          <t>ND</t>
        </is>
      </c>
      <c r="BA22" s="439" t="inlineStr">
        <is>
          <t>ND</t>
        </is>
      </c>
      <c r="BB22" s="442" t="inlineStr">
        <is>
          <t>ND</t>
        </is>
      </c>
      <c r="BC22" s="436" t="inlineStr">
        <is>
          <t>ND</t>
        </is>
      </c>
      <c r="BD22" s="436" t="inlineStr">
        <is>
          <t>ND</t>
        </is>
      </c>
      <c r="BE22" s="436" t="inlineStr">
        <is>
          <t>ND</t>
        </is>
      </c>
      <c r="BF22" s="439" t="inlineStr">
        <is>
          <t>ND</t>
        </is>
      </c>
      <c r="BG22" s="442" t="inlineStr">
        <is>
          <t>ND</t>
        </is>
      </c>
      <c r="BH22" s="436" t="inlineStr">
        <is>
          <t>ND</t>
        </is>
      </c>
      <c r="BI22" s="436" t="inlineStr">
        <is>
          <t>ND</t>
        </is>
      </c>
      <c r="BJ22" s="436" t="inlineStr">
        <is>
          <t>ND</t>
        </is>
      </c>
      <c r="BK22" s="439" t="inlineStr">
        <is>
          <t>ND</t>
        </is>
      </c>
      <c r="BL22" s="442" t="inlineStr">
        <is>
          <t>ND</t>
        </is>
      </c>
      <c r="BM22" s="436" t="inlineStr">
        <is>
          <t>ND</t>
        </is>
      </c>
      <c r="BN22" s="436" t="inlineStr">
        <is>
          <t>ND</t>
        </is>
      </c>
      <c r="BO22" s="436" t="inlineStr">
        <is>
          <t>ND</t>
        </is>
      </c>
      <c r="BP22" s="476" t="n">
        <v>1.86</v>
      </c>
      <c r="BQ22" s="483" t="n">
        <v>1.76</v>
      </c>
      <c r="BR22" s="520" t="n">
        <v>2</v>
      </c>
      <c r="BS22" s="475" t="n">
        <v>2.88</v>
      </c>
      <c r="BT22" s="439" t="inlineStr">
        <is>
          <t>ND</t>
        </is>
      </c>
      <c r="BU22" s="454">
        <f>IFERROR(AVERAGE(D22:BT24),0)</f>
        <v/>
      </c>
      <c r="BV22" s="454">
        <f>MAX(D22:BT24)</f>
        <v/>
      </c>
      <c r="BW22" s="238" t="n"/>
      <c r="BX22" s="238" t="n"/>
      <c r="BY22" s="238" t="n"/>
      <c r="BZ22" s="238" t="n"/>
      <c r="CA22" s="238" t="n"/>
      <c r="CB22" s="238" t="n"/>
      <c r="CC22" s="238" t="n"/>
      <c r="CD22" s="238" t="n"/>
      <c r="CE22" s="238" t="n"/>
      <c r="CF22" s="238" t="n"/>
      <c r="CG22" s="238" t="n"/>
      <c r="CH22" s="238" t="n"/>
      <c r="CI22" s="238" t="n"/>
      <c r="CJ22" s="238" t="n"/>
      <c r="CK22" s="238" t="n"/>
      <c r="CL22" s="238" t="n"/>
      <c r="CM22" s="238" t="n"/>
      <c r="CN22" s="238" t="n"/>
      <c r="CO22" s="238" t="n"/>
      <c r="CP22" s="238" t="n"/>
      <c r="CQ22" s="238" t="n"/>
      <c r="CR22" s="238" t="n"/>
      <c r="CS22" s="238" t="n"/>
      <c r="CT22" s="238" t="n"/>
      <c r="CU22" s="238" t="n"/>
      <c r="CV22" s="238" t="n"/>
      <c r="CW22" s="238" t="n"/>
      <c r="CX22" s="238" t="n"/>
      <c r="CY22" s="238" t="n"/>
      <c r="CZ22" s="238" t="n"/>
      <c r="DA22" s="238" t="n"/>
      <c r="DB22" s="238" t="n"/>
      <c r="DC22" s="238" t="n"/>
      <c r="DD22" s="238" t="n"/>
      <c r="DE22" s="238" t="n"/>
      <c r="DF22" s="238" t="n"/>
      <c r="DG22" s="238" t="n"/>
      <c r="DH22" s="238" t="n"/>
      <c r="DI22" s="238" t="n"/>
      <c r="DJ22" s="238" t="n"/>
      <c r="DK22" s="238" t="n"/>
      <c r="DL22" s="238" t="n"/>
      <c r="DM22" s="238" t="n"/>
      <c r="DN22" s="238" t="n"/>
      <c r="DO22" s="238" t="n"/>
      <c r="DP22" s="238" t="n"/>
      <c r="DQ22" s="238" t="n"/>
      <c r="DR22" s="238" t="n"/>
      <c r="DS22" s="238" t="n"/>
      <c r="DT22" s="238" t="n"/>
      <c r="DU22" s="238" t="n"/>
      <c r="DV22" s="238" t="n"/>
      <c r="DW22" s="238" t="n"/>
      <c r="DX22" s="238" t="n"/>
      <c r="DY22" s="238" t="n"/>
      <c r="DZ22" s="23" t="n"/>
      <c r="FQ22" s="212" t="n"/>
      <c r="FR22" s="212" t="n"/>
      <c r="FS22" s="212" t="n"/>
      <c r="FT22" s="212" t="n"/>
      <c r="FU22" s="212" t="n"/>
      <c r="FV22" s="212" t="n"/>
      <c r="FW22" s="212" t="n"/>
      <c r="FX22" s="212" t="n"/>
      <c r="FY22" s="212" t="n"/>
      <c r="FZ22" s="212" t="n"/>
    </row>
    <row r="23" ht="39.95" customFormat="1" customHeight="1" s="5">
      <c r="A23" s="182" t="inlineStr"/>
      <c r="B23" s="7" t="inlineStr">
        <is>
          <t>OF THE</t>
        </is>
      </c>
      <c r="C23" s="11" t="inlineStr">
        <is>
          <t>C</t>
        </is>
      </c>
      <c r="D23" s="434" t="inlineStr">
        <is>
          <t>ND</t>
        </is>
      </c>
      <c r="E23" s="437" t="n">
        <v>0.67</v>
      </c>
      <c r="F23" s="486" t="n">
        <v>1.91</v>
      </c>
      <c r="G23" s="501" t="n">
        <v>1.9</v>
      </c>
      <c r="H23" s="488" t="n">
        <v>1.43</v>
      </c>
      <c r="I23" s="443" t="inlineStr">
        <is>
          <t>ND</t>
        </is>
      </c>
      <c r="J23" s="437" t="inlineStr">
        <is>
          <t>ND</t>
        </is>
      </c>
      <c r="K23" s="437" t="inlineStr">
        <is>
          <t>ND</t>
        </is>
      </c>
      <c r="L23" s="437" t="inlineStr">
        <is>
          <t>ND</t>
        </is>
      </c>
      <c r="M23" s="440" t="inlineStr">
        <is>
          <t>ND</t>
        </is>
      </c>
      <c r="N23" s="443" t="inlineStr">
        <is>
          <t>ND</t>
        </is>
      </c>
      <c r="O23" s="437" t="inlineStr">
        <is>
          <t>ND</t>
        </is>
      </c>
      <c r="P23" s="437" t="inlineStr">
        <is>
          <t>ND</t>
        </is>
      </c>
      <c r="Q23" s="437" t="inlineStr">
        <is>
          <t>ND</t>
        </is>
      </c>
      <c r="R23" s="440" t="inlineStr">
        <is>
          <t>ND</t>
        </is>
      </c>
      <c r="S23" s="443" t="inlineStr">
        <is>
          <t>ND</t>
        </is>
      </c>
      <c r="T23" s="437" t="inlineStr">
        <is>
          <t>ND</t>
        </is>
      </c>
      <c r="U23" s="437" t="inlineStr">
        <is>
          <t>ND</t>
        </is>
      </c>
      <c r="V23" s="437" t="inlineStr">
        <is>
          <t>ND</t>
        </is>
      </c>
      <c r="W23" s="440" t="inlineStr">
        <is>
          <t>ND</t>
        </is>
      </c>
      <c r="X23" s="443" t="inlineStr">
        <is>
          <t>ND</t>
        </is>
      </c>
      <c r="Y23" s="437" t="inlineStr">
        <is>
          <t>ND</t>
        </is>
      </c>
      <c r="Z23" s="437" t="inlineStr">
        <is>
          <t>ND</t>
        </is>
      </c>
      <c r="AA23" s="437" t="inlineStr">
        <is>
          <t>ND</t>
        </is>
      </c>
      <c r="AB23" s="440" t="inlineStr">
        <is>
          <t>ND</t>
        </is>
      </c>
      <c r="AC23" s="443" t="inlineStr">
        <is>
          <t>ND</t>
        </is>
      </c>
      <c r="AD23" s="437" t="inlineStr">
        <is>
          <t>ND</t>
        </is>
      </c>
      <c r="AE23" s="437" t="inlineStr">
        <is>
          <t>ND</t>
        </is>
      </c>
      <c r="AF23" s="437" t="inlineStr">
        <is>
          <t>ND</t>
        </is>
      </c>
      <c r="AG23" s="440" t="inlineStr">
        <is>
          <t>ND</t>
        </is>
      </c>
      <c r="AH23" s="443" t="inlineStr">
        <is>
          <t>ND</t>
        </is>
      </c>
      <c r="AI23" s="437" t="inlineStr">
        <is>
          <t>ND</t>
        </is>
      </c>
      <c r="AJ23" s="437" t="inlineStr">
        <is>
          <t>ND</t>
        </is>
      </c>
      <c r="AK23" s="437" t="inlineStr">
        <is>
          <t>ND</t>
        </is>
      </c>
      <c r="AL23" s="440" t="inlineStr">
        <is>
          <t>ND</t>
        </is>
      </c>
      <c r="AM23" s="443" t="inlineStr">
        <is>
          <t>ND</t>
        </is>
      </c>
      <c r="AN23" s="437" t="inlineStr">
        <is>
          <t>ND</t>
        </is>
      </c>
      <c r="AO23" s="437" t="inlineStr">
        <is>
          <t>ND</t>
        </is>
      </c>
      <c r="AP23" s="437" t="inlineStr">
        <is>
          <t>ND</t>
        </is>
      </c>
      <c r="AQ23" s="440" t="inlineStr">
        <is>
          <t>ND</t>
        </is>
      </c>
      <c r="AR23" s="443" t="inlineStr">
        <is>
          <t>ND</t>
        </is>
      </c>
      <c r="AS23" s="437" t="inlineStr">
        <is>
          <t>ND</t>
        </is>
      </c>
      <c r="AT23" s="437" t="inlineStr">
        <is>
          <t>ND</t>
        </is>
      </c>
      <c r="AU23" s="437" t="inlineStr">
        <is>
          <t>ND</t>
        </is>
      </c>
      <c r="AV23" s="440" t="inlineStr">
        <is>
          <t>ND</t>
        </is>
      </c>
      <c r="AW23" s="443" t="inlineStr">
        <is>
          <t>ND</t>
        </is>
      </c>
      <c r="AX23" s="437" t="inlineStr">
        <is>
          <t>ND</t>
        </is>
      </c>
      <c r="AY23" s="437" t="inlineStr">
        <is>
          <t>ND</t>
        </is>
      </c>
      <c r="AZ23" s="437" t="inlineStr">
        <is>
          <t>ND</t>
        </is>
      </c>
      <c r="BA23" s="440" t="inlineStr">
        <is>
          <t>ND</t>
        </is>
      </c>
      <c r="BB23" s="443" t="inlineStr">
        <is>
          <t>ND</t>
        </is>
      </c>
      <c r="BC23" s="437" t="inlineStr">
        <is>
          <t>ND</t>
        </is>
      </c>
      <c r="BD23" s="437" t="inlineStr">
        <is>
          <t>ND</t>
        </is>
      </c>
      <c r="BE23" s="437" t="inlineStr">
        <is>
          <t>ND</t>
        </is>
      </c>
      <c r="BF23" s="440" t="inlineStr">
        <is>
          <t>ND</t>
        </is>
      </c>
      <c r="BG23" s="443" t="inlineStr">
        <is>
          <t>ND</t>
        </is>
      </c>
      <c r="BH23" s="437" t="inlineStr">
        <is>
          <t>ND</t>
        </is>
      </c>
      <c r="BI23" s="437" t="inlineStr">
        <is>
          <t>ND</t>
        </is>
      </c>
      <c r="BJ23" s="437" t="inlineStr">
        <is>
          <t>ND</t>
        </is>
      </c>
      <c r="BK23" s="440" t="inlineStr">
        <is>
          <t>ND</t>
        </is>
      </c>
      <c r="BL23" s="443" t="inlineStr">
        <is>
          <t>ND</t>
        </is>
      </c>
      <c r="BM23" s="437" t="inlineStr">
        <is>
          <t>ND</t>
        </is>
      </c>
      <c r="BN23" s="437" t="inlineStr">
        <is>
          <t>ND</t>
        </is>
      </c>
      <c r="BO23" s="437" t="inlineStr">
        <is>
          <t>ND</t>
        </is>
      </c>
      <c r="BP23" s="503" t="n">
        <v>2.2</v>
      </c>
      <c r="BQ23" s="487" t="n">
        <v>1.24</v>
      </c>
      <c r="BR23" s="437" t="n">
        <v>0.366</v>
      </c>
      <c r="BS23" s="485" t="n">
        <v>3.51</v>
      </c>
      <c r="BT23" s="440" t="inlineStr">
        <is>
          <t>ND</t>
        </is>
      </c>
      <c r="BU23" s="455" t="n"/>
      <c r="BV23" s="455" t="n"/>
      <c r="BW23" s="238" t="n"/>
      <c r="BX23" s="238" t="n"/>
      <c r="BY23" s="238" t="n"/>
      <c r="BZ23" s="238" t="n"/>
      <c r="CA23" s="238" t="n"/>
      <c r="CB23" s="238" t="n"/>
      <c r="CC23" s="238" t="n"/>
      <c r="CD23" s="238" t="n"/>
      <c r="CE23" s="238" t="n"/>
      <c r="CF23" s="238" t="n"/>
      <c r="CG23" s="238" t="n"/>
      <c r="CH23" s="238" t="n"/>
      <c r="CI23" s="238" t="n"/>
      <c r="CJ23" s="238" t="n"/>
      <c r="CK23" s="238" t="n"/>
      <c r="CL23" s="238" t="n"/>
      <c r="CM23" s="238" t="n"/>
      <c r="CN23" s="238" t="n"/>
      <c r="CO23" s="238" t="n"/>
      <c r="CP23" s="238" t="n"/>
      <c r="CQ23" s="238" t="n"/>
      <c r="CR23" s="238" t="n"/>
      <c r="CS23" s="238" t="n"/>
      <c r="CT23" s="238" t="n"/>
      <c r="CU23" s="238" t="n"/>
      <c r="CV23" s="238" t="n"/>
      <c r="CW23" s="238" t="n"/>
      <c r="CX23" s="238" t="n"/>
      <c r="CY23" s="238" t="n"/>
      <c r="CZ23" s="238" t="n"/>
      <c r="DA23" s="238" t="n"/>
      <c r="DB23" s="238" t="n"/>
      <c r="DC23" s="238" t="n"/>
      <c r="DD23" s="238" t="n"/>
      <c r="DE23" s="238" t="n"/>
      <c r="DF23" s="238" t="n"/>
      <c r="DG23" s="238" t="n"/>
      <c r="DH23" s="238" t="n"/>
      <c r="DI23" s="238" t="n"/>
      <c r="DJ23" s="238" t="n"/>
      <c r="DK23" s="238" t="n"/>
      <c r="DL23" s="238" t="n"/>
      <c r="DM23" s="238" t="n"/>
      <c r="DN23" s="238" t="n"/>
      <c r="DO23" s="238" t="n"/>
      <c r="DP23" s="238" t="n"/>
      <c r="DQ23" s="238" t="n"/>
      <c r="DR23" s="238" t="n"/>
      <c r="DS23" s="238" t="n"/>
      <c r="DT23" s="238" t="n"/>
      <c r="DU23" s="238" t="n"/>
      <c r="DV23" s="238" t="n"/>
      <c r="DW23" s="238" t="n"/>
      <c r="DX23" s="238" t="n"/>
      <c r="DY23" s="238" t="n"/>
      <c r="DZ23" s="23" t="n"/>
      <c r="FQ23" s="212" t="n"/>
      <c r="FR23" s="212" t="n"/>
      <c r="FS23" s="212" t="n"/>
      <c r="FT23" s="212" t="n"/>
      <c r="FU23" s="212" t="n"/>
      <c r="FV23" s="212" t="n"/>
      <c r="FW23" s="212" t="n"/>
      <c r="FX23" s="212" t="n"/>
      <c r="FY23" s="212" t="n"/>
      <c r="FZ23" s="212" t="n"/>
    </row>
    <row r="24" ht="39.95" customFormat="1" customHeight="1" s="5">
      <c r="A24" s="456" t="n"/>
      <c r="B24" s="8" t="inlineStr">
        <is>
          <t>OB PORTS</t>
        </is>
      </c>
      <c r="C24" s="12" t="inlineStr">
        <is>
          <t>R</t>
        </is>
      </c>
      <c r="D24" s="435" t="inlineStr">
        <is>
          <t>ND</t>
        </is>
      </c>
      <c r="E24" s="494" t="n">
        <v>1.76</v>
      </c>
      <c r="F24" s="497" t="n">
        <v>1.01</v>
      </c>
      <c r="G24" s="494" t="n">
        <v>3.84</v>
      </c>
      <c r="H24" s="498" t="n">
        <v>1.22</v>
      </c>
      <c r="I24" s="444" t="inlineStr">
        <is>
          <t>ND</t>
        </is>
      </c>
      <c r="J24" s="438" t="inlineStr">
        <is>
          <t>ND</t>
        </is>
      </c>
      <c r="K24" s="438" t="inlineStr">
        <is>
          <t>ND</t>
        </is>
      </c>
      <c r="L24" s="438" t="inlineStr">
        <is>
          <t>ND</t>
        </is>
      </c>
      <c r="M24" s="441" t="inlineStr">
        <is>
          <t>ND</t>
        </is>
      </c>
      <c r="N24" s="444" t="inlineStr">
        <is>
          <t>ND</t>
        </is>
      </c>
      <c r="O24" s="438" t="inlineStr">
        <is>
          <t>ND</t>
        </is>
      </c>
      <c r="P24" s="438" t="inlineStr">
        <is>
          <t>ND</t>
        </is>
      </c>
      <c r="Q24" s="438" t="inlineStr">
        <is>
          <t>ND</t>
        </is>
      </c>
      <c r="R24" s="441" t="inlineStr">
        <is>
          <t>ND</t>
        </is>
      </c>
      <c r="S24" s="444" t="inlineStr">
        <is>
          <t>ND</t>
        </is>
      </c>
      <c r="T24" s="438" t="inlineStr">
        <is>
          <t>ND</t>
        </is>
      </c>
      <c r="U24" s="438" t="inlineStr">
        <is>
          <t>ND</t>
        </is>
      </c>
      <c r="V24" s="438" t="inlineStr">
        <is>
          <t>ND</t>
        </is>
      </c>
      <c r="W24" s="441" t="inlineStr">
        <is>
          <t>ND</t>
        </is>
      </c>
      <c r="X24" s="444" t="inlineStr">
        <is>
          <t>ND</t>
        </is>
      </c>
      <c r="Y24" s="438" t="inlineStr">
        <is>
          <t>ND</t>
        </is>
      </c>
      <c r="Z24" s="438" t="inlineStr">
        <is>
          <t>ND</t>
        </is>
      </c>
      <c r="AA24" s="438" t="inlineStr">
        <is>
          <t>ND</t>
        </is>
      </c>
      <c r="AB24" s="441" t="inlineStr">
        <is>
          <t>ND</t>
        </is>
      </c>
      <c r="AC24" s="444" t="inlineStr">
        <is>
          <t>ND</t>
        </is>
      </c>
      <c r="AD24" s="438" t="inlineStr">
        <is>
          <t>ND</t>
        </is>
      </c>
      <c r="AE24" s="438" t="inlineStr">
        <is>
          <t>ND</t>
        </is>
      </c>
      <c r="AF24" s="438" t="inlineStr">
        <is>
          <t>ND</t>
        </is>
      </c>
      <c r="AG24" s="441" t="inlineStr">
        <is>
          <t>ND</t>
        </is>
      </c>
      <c r="AH24" s="444" t="inlineStr">
        <is>
          <t>ND</t>
        </is>
      </c>
      <c r="AI24" s="438" t="inlineStr">
        <is>
          <t>ND</t>
        </is>
      </c>
      <c r="AJ24" s="438" t="inlineStr">
        <is>
          <t>ND</t>
        </is>
      </c>
      <c r="AK24" s="438" t="inlineStr">
        <is>
          <t>ND</t>
        </is>
      </c>
      <c r="AL24" s="441" t="inlineStr">
        <is>
          <t>ND</t>
        </is>
      </c>
      <c r="AM24" s="444" t="inlineStr">
        <is>
          <t>ND</t>
        </is>
      </c>
      <c r="AN24" s="438" t="inlineStr">
        <is>
          <t>ND</t>
        </is>
      </c>
      <c r="AO24" s="438" t="inlineStr">
        <is>
          <t>ND</t>
        </is>
      </c>
      <c r="AP24" s="438" t="inlineStr">
        <is>
          <t>ND</t>
        </is>
      </c>
      <c r="AQ24" s="441" t="inlineStr">
        <is>
          <t>ND</t>
        </is>
      </c>
      <c r="AR24" s="444" t="inlineStr">
        <is>
          <t>ND</t>
        </is>
      </c>
      <c r="AS24" s="438" t="inlineStr">
        <is>
          <t>ND</t>
        </is>
      </c>
      <c r="AT24" s="438" t="inlineStr">
        <is>
          <t>ND</t>
        </is>
      </c>
      <c r="AU24" s="438" t="inlineStr">
        <is>
          <t>ND</t>
        </is>
      </c>
      <c r="AV24" s="441" t="inlineStr">
        <is>
          <t>ND</t>
        </is>
      </c>
      <c r="AW24" s="444" t="inlineStr">
        <is>
          <t>ND</t>
        </is>
      </c>
      <c r="AX24" s="438" t="inlineStr">
        <is>
          <t>ND</t>
        </is>
      </c>
      <c r="AY24" s="438" t="inlineStr">
        <is>
          <t>ND</t>
        </is>
      </c>
      <c r="AZ24" s="438" t="inlineStr">
        <is>
          <t>ND</t>
        </is>
      </c>
      <c r="BA24" s="441" t="inlineStr">
        <is>
          <t>ND</t>
        </is>
      </c>
      <c r="BB24" s="444" t="inlineStr">
        <is>
          <t>ND</t>
        </is>
      </c>
      <c r="BC24" s="438" t="inlineStr">
        <is>
          <t>ND</t>
        </is>
      </c>
      <c r="BD24" s="438" t="inlineStr">
        <is>
          <t>ND</t>
        </is>
      </c>
      <c r="BE24" s="438" t="inlineStr">
        <is>
          <t>ND</t>
        </is>
      </c>
      <c r="BF24" s="441" t="inlineStr">
        <is>
          <t>ND</t>
        </is>
      </c>
      <c r="BG24" s="444" t="inlineStr">
        <is>
          <t>ND</t>
        </is>
      </c>
      <c r="BH24" s="438" t="inlineStr">
        <is>
          <t>ND</t>
        </is>
      </c>
      <c r="BI24" s="438" t="inlineStr">
        <is>
          <t>ND</t>
        </is>
      </c>
      <c r="BJ24" s="438" t="inlineStr">
        <is>
          <t>ND</t>
        </is>
      </c>
      <c r="BK24" s="441" t="inlineStr">
        <is>
          <t>ND</t>
        </is>
      </c>
      <c r="BL24" s="444" t="inlineStr">
        <is>
          <t>ND</t>
        </is>
      </c>
      <c r="BM24" s="438" t="inlineStr">
        <is>
          <t>ND</t>
        </is>
      </c>
      <c r="BN24" s="438" t="inlineStr">
        <is>
          <t>ND</t>
        </is>
      </c>
      <c r="BO24" s="438" t="inlineStr">
        <is>
          <t>ND</t>
        </is>
      </c>
      <c r="BP24" s="498" t="n">
        <v>2.61</v>
      </c>
      <c r="BQ24" s="444" t="n">
        <v>0.54</v>
      </c>
      <c r="BR24" s="497" t="n">
        <v>1.71</v>
      </c>
      <c r="BS24" s="499" t="n">
        <v>2.8</v>
      </c>
      <c r="BT24" s="441" t="inlineStr">
        <is>
          <t>ND</t>
        </is>
      </c>
      <c r="BU24" s="457" t="n"/>
      <c r="BV24" s="457" t="n"/>
      <c r="BW24" s="238" t="n"/>
      <c r="BX24" s="238" t="n"/>
      <c r="BY24" s="238" t="n"/>
      <c r="BZ24" s="238" t="n"/>
      <c r="CA24" s="238" t="n"/>
      <c r="CB24" s="238" t="n"/>
      <c r="CC24" s="238" t="n"/>
      <c r="CD24" s="238" t="n"/>
      <c r="CE24" s="238" t="n"/>
      <c r="CF24" s="238" t="n"/>
      <c r="CG24" s="238" t="n"/>
      <c r="CH24" s="238" t="n"/>
      <c r="CI24" s="238" t="n"/>
      <c r="CJ24" s="238" t="n"/>
      <c r="CK24" s="238" t="n"/>
      <c r="CL24" s="238" t="n"/>
      <c r="CM24" s="238" t="n"/>
      <c r="CN24" s="238" t="n"/>
      <c r="CO24" s="238" t="n"/>
      <c r="CP24" s="238" t="n"/>
      <c r="CQ24" s="238" t="n"/>
      <c r="CR24" s="238" t="n"/>
      <c r="CS24" s="238" t="n"/>
      <c r="CT24" s="238" t="n"/>
      <c r="CU24" s="238" t="n"/>
      <c r="CV24" s="238" t="n"/>
      <c r="CW24" s="238" t="n"/>
      <c r="CX24" s="238" t="n"/>
      <c r="CY24" s="238" t="n"/>
      <c r="CZ24" s="238" t="n"/>
      <c r="DA24" s="238" t="n"/>
      <c r="DB24" s="238" t="n"/>
      <c r="DC24" s="238" t="n"/>
      <c r="DD24" s="238" t="n"/>
      <c r="DE24" s="238" t="n"/>
      <c r="DF24" s="238" t="n"/>
      <c r="DG24" s="238" t="n"/>
      <c r="DH24" s="238" t="n"/>
      <c r="DI24" s="238" t="n"/>
      <c r="DJ24" s="238" t="n"/>
      <c r="DK24" s="238" t="n"/>
      <c r="DL24" s="238" t="n"/>
      <c r="DM24" s="238" t="n"/>
      <c r="DN24" s="238" t="n"/>
      <c r="DO24" s="238" t="n"/>
      <c r="DP24" s="238" t="n"/>
      <c r="DQ24" s="238" t="n"/>
      <c r="DR24" s="238" t="n"/>
      <c r="DS24" s="238" t="n"/>
      <c r="DT24" s="238" t="n"/>
      <c r="DU24" s="238" t="n"/>
      <c r="DV24" s="238" t="n"/>
      <c r="DW24" s="238" t="n"/>
      <c r="DX24" s="238" t="n"/>
      <c r="DY24" s="238" t="n"/>
      <c r="DZ24" s="23" t="n"/>
      <c r="FQ24" s="212" t="n"/>
      <c r="FR24" s="212" t="n"/>
      <c r="FS24" s="212" t="n"/>
      <c r="FT24" s="212" t="n"/>
      <c r="FU24" s="212" t="n"/>
      <c r="FV24" s="212" t="n"/>
      <c r="FW24" s="212" t="n"/>
      <c r="FX24" s="212" t="n"/>
      <c r="FY24" s="212" t="n"/>
      <c r="FZ24" s="212" t="n"/>
    </row>
    <row r="25" ht="39.95" customFormat="1" customHeight="1" s="5">
      <c r="A25" s="10" t="inlineStr">
        <is>
          <t>A</t>
        </is>
      </c>
      <c r="B25" s="6" t="n"/>
      <c r="C25" s="11" t="inlineStr">
        <is>
          <t>L</t>
        </is>
      </c>
      <c r="D25" s="152" t="n">
        <v>0.707</v>
      </c>
      <c r="E25" s="436" t="n">
        <v>0.785</v>
      </c>
      <c r="F25" s="436" t="inlineStr">
        <is>
          <t>ND</t>
        </is>
      </c>
      <c r="G25" s="436" t="inlineStr">
        <is>
          <t>ND</t>
        </is>
      </c>
      <c r="H25" s="480" t="n">
        <v>1.22</v>
      </c>
      <c r="I25" s="529" t="n">
        <v>29.2</v>
      </c>
      <c r="J25" s="436" t="inlineStr">
        <is>
          <t>ND</t>
        </is>
      </c>
      <c r="K25" s="436" t="inlineStr">
        <is>
          <t>ND</t>
        </is>
      </c>
      <c r="L25" s="475" t="n">
        <v>1.02</v>
      </c>
      <c r="M25" s="439" t="inlineStr">
        <is>
          <t>ND</t>
        </is>
      </c>
      <c r="N25" s="477" t="n">
        <v>1.02</v>
      </c>
      <c r="O25" s="436" t="n">
        <v>0.639</v>
      </c>
      <c r="P25" s="475" t="n">
        <v>4.85</v>
      </c>
      <c r="Q25" s="478" t="n">
        <v>7.52</v>
      </c>
      <c r="R25" s="476" t="n">
        <v>2.19</v>
      </c>
      <c r="S25" s="477" t="inlineStr">
        <is>
          <t>ND</t>
        </is>
      </c>
      <c r="T25" s="530" t="inlineStr">
        <is>
          <t>ND</t>
        </is>
      </c>
      <c r="U25" s="478" t="n">
        <v>3.19</v>
      </c>
      <c r="V25" s="112" t="n">
        <v>0.028</v>
      </c>
      <c r="W25" s="476" t="n">
        <v>2.65</v>
      </c>
      <c r="X25" s="115" t="n">
        <v>0.949</v>
      </c>
      <c r="Y25" s="478" t="n">
        <v>4.36</v>
      </c>
      <c r="Z25" s="478" t="n">
        <v>7.18</v>
      </c>
      <c r="AA25" s="478" t="n">
        <v>2.16</v>
      </c>
      <c r="AB25" s="476" t="n">
        <v>7.87</v>
      </c>
      <c r="AC25" s="477" t="n">
        <v>2.59</v>
      </c>
      <c r="AD25" s="478" t="n">
        <v>1.56</v>
      </c>
      <c r="AE25" s="112" t="n">
        <v>0.494</v>
      </c>
      <c r="AF25" s="478" t="n">
        <v>1.01</v>
      </c>
      <c r="AG25" s="476" t="n">
        <v>3.33</v>
      </c>
      <c r="AH25" s="442" t="inlineStr">
        <is>
          <t>ND</t>
        </is>
      </c>
      <c r="AI25" s="478" t="n">
        <v>5.72</v>
      </c>
      <c r="AJ25" s="478" t="inlineStr">
        <is>
          <t>ND</t>
        </is>
      </c>
      <c r="AK25" s="475" t="n">
        <v>1.71</v>
      </c>
      <c r="AL25" s="439" t="inlineStr">
        <is>
          <t>ND</t>
        </is>
      </c>
      <c r="AM25" s="483" t="n">
        <v>6.89</v>
      </c>
      <c r="AN25" s="478" t="n">
        <v>4.73</v>
      </c>
      <c r="AO25" s="531" t="n">
        <v>10.8</v>
      </c>
      <c r="AP25" s="479" t="n">
        <v>6.9</v>
      </c>
      <c r="AQ25" s="476" t="n">
        <v>4.28</v>
      </c>
      <c r="AR25" s="477" t="n">
        <v>8.449999999999999</v>
      </c>
      <c r="AS25" s="436" t="n">
        <v>0.881</v>
      </c>
      <c r="AT25" s="436" t="inlineStr">
        <is>
          <t>ND</t>
        </is>
      </c>
      <c r="AU25" s="436" t="inlineStr">
        <is>
          <t>ND</t>
        </is>
      </c>
      <c r="AV25" s="476" t="n">
        <v>7.43</v>
      </c>
      <c r="AW25" s="477" t="n">
        <v>5.63</v>
      </c>
      <c r="AX25" s="436" t="inlineStr">
        <is>
          <t>ND</t>
        </is>
      </c>
      <c r="AY25" s="475" t="n">
        <v>2.47</v>
      </c>
      <c r="AZ25" s="478" t="inlineStr">
        <is>
          <t>ND</t>
        </is>
      </c>
      <c r="BA25" s="476" t="n">
        <v>5.97</v>
      </c>
      <c r="BB25" s="483" t="n">
        <v>3.67</v>
      </c>
      <c r="BC25" s="478" t="n">
        <v>6.43</v>
      </c>
      <c r="BD25" s="478" t="n">
        <v>2.13</v>
      </c>
      <c r="BE25" s="478" t="n">
        <v>5.34</v>
      </c>
      <c r="BF25" s="476" t="n">
        <v>9.57</v>
      </c>
      <c r="BG25" s="442" t="inlineStr">
        <is>
          <t>ND</t>
        </is>
      </c>
      <c r="BH25" s="112" t="n">
        <v>0.243</v>
      </c>
      <c r="BI25" s="475" t="n">
        <v>1.17</v>
      </c>
      <c r="BJ25" s="475" t="n">
        <v>1.84</v>
      </c>
      <c r="BK25" s="439" t="n">
        <v>0.894</v>
      </c>
      <c r="BL25" s="483" t="n">
        <v>2.46</v>
      </c>
      <c r="BM25" s="475" t="n">
        <v>2.55</v>
      </c>
      <c r="BN25" s="475" t="n">
        <v>1.55</v>
      </c>
      <c r="BO25" s="475" t="n">
        <v>1.28</v>
      </c>
      <c r="BP25" s="480" t="n">
        <v>1.26</v>
      </c>
      <c r="BQ25" s="483" t="n">
        <v>2.64</v>
      </c>
      <c r="BR25" s="475" t="n">
        <v>3.08</v>
      </c>
      <c r="BS25" s="475" t="n">
        <v>2.89</v>
      </c>
      <c r="BT25" s="480" t="n">
        <v>5.75</v>
      </c>
      <c r="BU25" s="454">
        <f>IFERROR(AVERAGE(D25:BT27),0)</f>
        <v/>
      </c>
      <c r="BV25" s="454">
        <f>MAX(D25:BT27)</f>
        <v/>
      </c>
      <c r="BW25" s="238" t="n"/>
      <c r="BX25" s="238" t="n"/>
      <c r="BY25" s="238" t="n"/>
      <c r="BZ25" s="238" t="n"/>
      <c r="CA25" s="238" t="n"/>
      <c r="CB25" s="238" t="n"/>
      <c r="CC25" s="238" t="n"/>
      <c r="CD25" s="238" t="n"/>
      <c r="CE25" s="238" t="n"/>
      <c r="CF25" s="238" t="n"/>
      <c r="CG25" s="238" t="n"/>
      <c r="CH25" s="238" t="n"/>
      <c r="CI25" s="238" t="n"/>
      <c r="CJ25" s="238" t="n"/>
      <c r="CK25" s="238" t="n"/>
      <c r="CL25" s="238" t="n"/>
      <c r="CM25" s="238" t="n"/>
      <c r="CN25" s="238" t="n"/>
      <c r="CO25" s="238" t="n"/>
      <c r="CP25" s="238" t="n"/>
      <c r="CQ25" s="238" t="n"/>
      <c r="CR25" s="238" t="n"/>
      <c r="CS25" s="238" t="n"/>
      <c r="CT25" s="238" t="n"/>
      <c r="CU25" s="238" t="n"/>
      <c r="CV25" s="238" t="n"/>
      <c r="CW25" s="238" t="n"/>
      <c r="CX25" s="238" t="n"/>
      <c r="CY25" s="238" t="n"/>
      <c r="CZ25" s="238" t="n"/>
      <c r="DA25" s="238" t="n"/>
      <c r="DB25" s="238" t="n"/>
      <c r="DC25" s="238" t="n"/>
      <c r="DD25" s="238" t="n"/>
      <c r="DE25" s="238" t="n"/>
      <c r="DF25" s="238" t="n"/>
      <c r="DG25" s="238" t="n"/>
      <c r="DH25" s="238" t="n"/>
      <c r="DI25" s="238" t="n"/>
      <c r="DJ25" s="238" t="n"/>
      <c r="DK25" s="238" t="n"/>
      <c r="DL25" s="238" t="n"/>
      <c r="DM25" s="238" t="n"/>
      <c r="DN25" s="238" t="n"/>
      <c r="DO25" s="238" t="n"/>
      <c r="DP25" s="238" t="n"/>
      <c r="DQ25" s="238" t="n"/>
      <c r="DR25" s="238" t="n"/>
      <c r="DS25" s="238" t="n"/>
      <c r="DT25" s="238" t="n"/>
      <c r="DU25" s="238" t="n"/>
      <c r="DV25" s="238" t="n"/>
      <c r="DW25" s="238" t="n"/>
      <c r="DX25" s="238" t="n"/>
      <c r="DY25" s="238" t="n"/>
      <c r="DZ25" s="23" t="n"/>
      <c r="FQ25" s="212" t="n"/>
      <c r="FR25" s="212" t="n"/>
      <c r="FS25" s="212" t="n"/>
      <c r="FT25" s="212" t="n"/>
      <c r="FU25" s="212" t="n"/>
      <c r="FV25" s="212" t="n"/>
      <c r="FW25" s="212" t="n"/>
      <c r="FX25" s="212" t="n"/>
      <c r="FY25" s="212" t="n"/>
      <c r="FZ25" s="212" t="n"/>
    </row>
    <row r="26" ht="39.95" customFormat="1" customHeight="1" s="5">
      <c r="A26" s="182" t="inlineStr"/>
      <c r="B26" s="7" t="inlineStr">
        <is>
          <t>+10 FT 6 IN</t>
        </is>
      </c>
      <c r="C26" s="11" t="inlineStr">
        <is>
          <t>C</t>
        </is>
      </c>
      <c r="D26" s="434" t="n">
        <v>0.699</v>
      </c>
      <c r="E26" s="437" t="n">
        <v>0.701</v>
      </c>
      <c r="F26" s="437" t="inlineStr">
        <is>
          <t>ND</t>
        </is>
      </c>
      <c r="G26" s="437" t="n">
        <v>0.333</v>
      </c>
      <c r="H26" s="489" t="n">
        <v>1.65</v>
      </c>
      <c r="I26" s="532" t="n">
        <v>33.6</v>
      </c>
      <c r="J26" s="437" t="inlineStr">
        <is>
          <t>ND</t>
        </is>
      </c>
      <c r="K26" s="486" t="n">
        <v>1.39</v>
      </c>
      <c r="L26" s="437" t="n">
        <v>0.632</v>
      </c>
      <c r="M26" s="440" t="inlineStr">
        <is>
          <t>ND</t>
        </is>
      </c>
      <c r="N26" s="490" t="inlineStr">
        <is>
          <t>ND</t>
        </is>
      </c>
      <c r="O26" s="437" t="inlineStr">
        <is>
          <t>ND</t>
        </is>
      </c>
      <c r="P26" s="502" t="n">
        <v>5.7</v>
      </c>
      <c r="Q26" s="122" t="n">
        <v>0.28</v>
      </c>
      <c r="R26" s="489" t="n">
        <v>1.85</v>
      </c>
      <c r="S26" s="490" t="inlineStr">
        <is>
          <t>ND</t>
        </is>
      </c>
      <c r="T26" s="485" t="n">
        <v>2.02</v>
      </c>
      <c r="U26" s="485" t="inlineStr">
        <is>
          <t>ND</t>
        </is>
      </c>
      <c r="V26" s="485" t="n">
        <v>4.77</v>
      </c>
      <c r="W26" s="488" t="n">
        <v>3.58</v>
      </c>
      <c r="X26" s="490" t="n">
        <v>2.23</v>
      </c>
      <c r="Y26" s="485" t="n">
        <v>7.25</v>
      </c>
      <c r="Z26" s="437" t="inlineStr">
        <is>
          <t>ND</t>
        </is>
      </c>
      <c r="AA26" s="485" t="inlineStr">
        <is>
          <t>ND</t>
        </is>
      </c>
      <c r="AB26" s="489" t="n">
        <v>4.65</v>
      </c>
      <c r="AC26" s="490" t="n">
        <v>2.78</v>
      </c>
      <c r="AD26" s="485" t="inlineStr">
        <is>
          <t>ND</t>
        </is>
      </c>
      <c r="AE26" s="122" t="n">
        <v>0.214</v>
      </c>
      <c r="AF26" s="485" t="n">
        <v>2.54</v>
      </c>
      <c r="AG26" s="489" t="n">
        <v>2.16</v>
      </c>
      <c r="AH26" s="443" t="inlineStr">
        <is>
          <t>ND</t>
        </is>
      </c>
      <c r="AI26" s="486" t="n">
        <v>1.55</v>
      </c>
      <c r="AJ26" s="437" t="inlineStr">
        <is>
          <t>ND</t>
        </is>
      </c>
      <c r="AK26" s="437" t="inlineStr">
        <is>
          <t>ND</t>
        </is>
      </c>
      <c r="AL26" s="440" t="inlineStr">
        <is>
          <t>ND</t>
        </is>
      </c>
      <c r="AM26" s="490" t="inlineStr">
        <is>
          <t>ND</t>
        </is>
      </c>
      <c r="AN26" s="485" t="inlineStr">
        <is>
          <t>ND</t>
        </is>
      </c>
      <c r="AO26" s="122" t="n">
        <v>0.163</v>
      </c>
      <c r="AP26" s="485" t="n">
        <v>7.31</v>
      </c>
      <c r="AQ26" s="488" t="n">
        <v>4.19</v>
      </c>
      <c r="AR26" s="490" t="inlineStr">
        <is>
          <t>ND</t>
        </is>
      </c>
      <c r="AS26" s="533" t="n">
        <v>14.8</v>
      </c>
      <c r="AT26" s="485" t="n">
        <v>3.89</v>
      </c>
      <c r="AU26" s="485" t="n">
        <v>6.84</v>
      </c>
      <c r="AV26" s="488" t="n">
        <v>3.85</v>
      </c>
      <c r="AW26" s="490" t="n">
        <v>6.92</v>
      </c>
      <c r="AX26" s="437" t="inlineStr">
        <is>
          <t>ND</t>
        </is>
      </c>
      <c r="AY26" s="486" t="n">
        <v>1.93</v>
      </c>
      <c r="AZ26" s="485" t="n">
        <v>2.32</v>
      </c>
      <c r="BA26" s="488" t="n">
        <v>2.29</v>
      </c>
      <c r="BB26" s="490" t="n">
        <v>4.95</v>
      </c>
      <c r="BC26" s="502" t="n">
        <v>2.9</v>
      </c>
      <c r="BD26" s="485" t="inlineStr">
        <is>
          <t>ND</t>
        </is>
      </c>
      <c r="BE26" s="485" t="inlineStr">
        <is>
          <t>ND</t>
        </is>
      </c>
      <c r="BF26" s="488" t="n">
        <v>6.11</v>
      </c>
      <c r="BG26" s="443" t="inlineStr">
        <is>
          <t>ND</t>
        </is>
      </c>
      <c r="BH26" s="485" t="n">
        <v>1.66</v>
      </c>
      <c r="BI26" s="485" t="n">
        <v>5.04</v>
      </c>
      <c r="BJ26" s="437" t="n">
        <v>0.191</v>
      </c>
      <c r="BK26" s="489" t="n">
        <v>4.64</v>
      </c>
      <c r="BL26" s="487" t="n">
        <v>2.29</v>
      </c>
      <c r="BM26" s="437" t="n">
        <v>0.169</v>
      </c>
      <c r="BN26" s="486" t="n">
        <v>2.16</v>
      </c>
      <c r="BO26" s="486" t="n">
        <v>1.28</v>
      </c>
      <c r="BP26" s="488" t="n">
        <v>1.94</v>
      </c>
      <c r="BQ26" s="487" t="n">
        <v>2.49</v>
      </c>
      <c r="BR26" s="486" t="n">
        <v>3.96</v>
      </c>
      <c r="BS26" s="486" t="n">
        <v>2.53</v>
      </c>
      <c r="BT26" s="489" t="n">
        <v>7.01</v>
      </c>
      <c r="BU26" s="455" t="n"/>
      <c r="BV26" s="455" t="n"/>
      <c r="BW26" s="238" t="n"/>
      <c r="BX26" s="238" t="n"/>
      <c r="BY26" s="238" t="n"/>
      <c r="BZ26" s="238" t="n"/>
      <c r="CA26" s="238" t="n"/>
      <c r="CB26" s="238" t="n"/>
      <c r="CC26" s="238" t="n"/>
      <c r="CD26" s="238" t="n"/>
      <c r="CE26" s="238" t="n"/>
      <c r="CF26" s="238" t="n"/>
      <c r="CG26" s="238" t="n"/>
      <c r="CH26" s="238" t="n"/>
      <c r="CI26" s="238" t="n"/>
      <c r="CJ26" s="238" t="n"/>
      <c r="CK26" s="238" t="n"/>
      <c r="CL26" s="238" t="n"/>
      <c r="CM26" s="238" t="n"/>
      <c r="CN26" s="238" t="n"/>
      <c r="CO26" s="238" t="n"/>
      <c r="CP26" s="238" t="n"/>
      <c r="CQ26" s="238" t="n"/>
      <c r="CR26" s="238" t="n"/>
      <c r="CS26" s="238" t="n"/>
      <c r="CT26" s="238" t="n"/>
      <c r="CU26" s="238" t="n"/>
      <c r="CV26" s="238" t="n"/>
      <c r="CW26" s="238" t="n"/>
      <c r="CX26" s="238" t="n"/>
      <c r="CY26" s="238" t="n"/>
      <c r="CZ26" s="238" t="n"/>
      <c r="DA26" s="238" t="n"/>
      <c r="DB26" s="238" t="n"/>
      <c r="DC26" s="238" t="n"/>
      <c r="DD26" s="238" t="n"/>
      <c r="DE26" s="238" t="n"/>
      <c r="DF26" s="238" t="n"/>
      <c r="DG26" s="238" t="n"/>
      <c r="DH26" s="238" t="n"/>
      <c r="DI26" s="238" t="n"/>
      <c r="DJ26" s="238" t="n"/>
      <c r="DK26" s="238" t="n"/>
      <c r="DL26" s="238" t="n"/>
      <c r="DM26" s="238" t="n"/>
      <c r="DN26" s="238" t="n"/>
      <c r="DO26" s="238" t="n"/>
      <c r="DP26" s="238" t="n"/>
      <c r="DQ26" s="238" t="n"/>
      <c r="DR26" s="238" t="n"/>
      <c r="DS26" s="238" t="n"/>
      <c r="DT26" s="238" t="n"/>
      <c r="DU26" s="238" t="n"/>
      <c r="DV26" s="238" t="n"/>
      <c r="DW26" s="238" t="n"/>
      <c r="DX26" s="238" t="n"/>
      <c r="DY26" s="238" t="n"/>
      <c r="DZ26" s="23" t="n"/>
      <c r="FQ26" s="212" t="n"/>
      <c r="FR26" s="212" t="n"/>
      <c r="FS26" s="212" t="n"/>
      <c r="FT26" s="212" t="n"/>
      <c r="FU26" s="212" t="n"/>
      <c r="FV26" s="212" t="n"/>
      <c r="FW26" s="212" t="n"/>
      <c r="FX26" s="212" t="n"/>
      <c r="FY26" s="212" t="n"/>
      <c r="FZ26" s="212" t="n"/>
    </row>
    <row r="27" ht="39.95" customFormat="1" customHeight="1" s="5">
      <c r="A27" s="456" t="n"/>
      <c r="B27" s="8" t="n"/>
      <c r="C27" s="12" t="inlineStr">
        <is>
          <t>R</t>
        </is>
      </c>
      <c r="D27" s="491" t="n">
        <v>4.89</v>
      </c>
      <c r="E27" s="497" t="n">
        <v>1.82</v>
      </c>
      <c r="F27" s="438" t="inlineStr">
        <is>
          <t>ND</t>
        </is>
      </c>
      <c r="G27" s="438" t="n">
        <v>0.925</v>
      </c>
      <c r="H27" s="441" t="inlineStr">
        <is>
          <t>ND</t>
        </is>
      </c>
      <c r="I27" s="534" t="n">
        <v>42.5</v>
      </c>
      <c r="J27" s="438" t="inlineStr">
        <is>
          <t>ND</t>
        </is>
      </c>
      <c r="K27" s="499" t="n">
        <v>2.5</v>
      </c>
      <c r="L27" s="438" t="inlineStr">
        <is>
          <t>ND</t>
        </is>
      </c>
      <c r="M27" s="441" t="inlineStr">
        <is>
          <t>ND</t>
        </is>
      </c>
      <c r="N27" s="496" t="inlineStr">
        <is>
          <t>ND</t>
        </is>
      </c>
      <c r="O27" s="497" t="n">
        <v>3.34</v>
      </c>
      <c r="P27" s="494" t="n">
        <v>2.47</v>
      </c>
      <c r="Q27" s="125" t="n">
        <v>0.095</v>
      </c>
      <c r="R27" s="495" t="n">
        <v>2.66</v>
      </c>
      <c r="S27" s="496" t="n">
        <v>5.31</v>
      </c>
      <c r="T27" s="494" t="n">
        <v>1.55</v>
      </c>
      <c r="U27" s="494" t="n">
        <v>3.88</v>
      </c>
      <c r="V27" s="438" t="inlineStr">
        <is>
          <t>ND</t>
        </is>
      </c>
      <c r="W27" s="528" t="n">
        <v>5.4</v>
      </c>
      <c r="X27" s="496" t="n">
        <v>1.16</v>
      </c>
      <c r="Y27" s="494" t="n">
        <v>5.94</v>
      </c>
      <c r="Z27" s="438" t="inlineStr">
        <is>
          <t>ND</t>
        </is>
      </c>
      <c r="AA27" s="494" t="n">
        <v>2.16</v>
      </c>
      <c r="AB27" s="495" t="n">
        <v>1.45</v>
      </c>
      <c r="AC27" s="496" t="n">
        <v>1.47</v>
      </c>
      <c r="AD27" s="493" t="n">
        <v>17.7</v>
      </c>
      <c r="AE27" s="438" t="inlineStr">
        <is>
          <t>ND</t>
        </is>
      </c>
      <c r="AF27" s="526" t="n">
        <v>9</v>
      </c>
      <c r="AG27" s="441" t="inlineStr">
        <is>
          <t>ND</t>
        </is>
      </c>
      <c r="AH27" s="444" t="n">
        <v>0.676</v>
      </c>
      <c r="AI27" s="438" t="inlineStr">
        <is>
          <t>ND</t>
        </is>
      </c>
      <c r="AJ27" s="497" t="n">
        <v>2.11</v>
      </c>
      <c r="AK27" s="438" t="inlineStr">
        <is>
          <t>ND</t>
        </is>
      </c>
      <c r="AL27" s="441" t="inlineStr">
        <is>
          <t>ND</t>
        </is>
      </c>
      <c r="AM27" s="496" t="inlineStr">
        <is>
          <t>ND</t>
        </is>
      </c>
      <c r="AN27" s="494" t="n">
        <v>4.48</v>
      </c>
      <c r="AO27" s="494" t="n">
        <v>6.51</v>
      </c>
      <c r="AP27" s="494" t="n">
        <v>4.71</v>
      </c>
      <c r="AQ27" s="441" t="inlineStr">
        <is>
          <t>ND</t>
        </is>
      </c>
      <c r="AR27" s="524" t="n">
        <v>2.9</v>
      </c>
      <c r="AS27" s="494" t="n">
        <v>4.08</v>
      </c>
      <c r="AT27" s="497" t="n">
        <v>4.76</v>
      </c>
      <c r="AU27" s="494" t="n">
        <v>2.37</v>
      </c>
      <c r="AV27" s="495" t="n">
        <v>3.68</v>
      </c>
      <c r="AW27" s="496" t="n">
        <v>7.94</v>
      </c>
      <c r="AX27" s="494" t="n">
        <v>3.44</v>
      </c>
      <c r="AY27" s="499" t="n">
        <v>1.5</v>
      </c>
      <c r="AZ27" s="492" t="n">
        <v>3.8</v>
      </c>
      <c r="BA27" s="498" t="n">
        <v>2.28</v>
      </c>
      <c r="BB27" s="496" t="n">
        <v>5.76</v>
      </c>
      <c r="BC27" s="494" t="n">
        <v>6.72</v>
      </c>
      <c r="BD27" s="125" t="n">
        <v>0.184</v>
      </c>
      <c r="BE27" s="494" t="n">
        <v>3.63</v>
      </c>
      <c r="BF27" s="495" t="n">
        <v>2.64</v>
      </c>
      <c r="BG27" s="505" t="n">
        <v>1.04</v>
      </c>
      <c r="BH27" s="438" t="inlineStr">
        <is>
          <t>ND</t>
        </is>
      </c>
      <c r="BI27" s="494" t="n">
        <v>5.03</v>
      </c>
      <c r="BJ27" s="497" t="n">
        <v>6.05</v>
      </c>
      <c r="BK27" s="441" t="n">
        <v>0.022</v>
      </c>
      <c r="BL27" s="444" t="inlineStr">
        <is>
          <t>ND</t>
        </is>
      </c>
      <c r="BM27" s="438" t="n">
        <v>0.725</v>
      </c>
      <c r="BN27" s="497" t="n">
        <v>1.48</v>
      </c>
      <c r="BO27" s="497" t="n">
        <v>4.76</v>
      </c>
      <c r="BP27" s="498" t="n">
        <v>3.81</v>
      </c>
      <c r="BQ27" s="505" t="n">
        <v>3.87</v>
      </c>
      <c r="BR27" s="499" t="n">
        <v>5.1</v>
      </c>
      <c r="BS27" s="438" t="inlineStr">
        <is>
          <t>ND</t>
        </is>
      </c>
      <c r="BT27" s="535" t="n">
        <v>20.3</v>
      </c>
      <c r="BU27" s="457" t="n"/>
      <c r="BV27" s="457" t="n"/>
      <c r="BW27" s="238" t="n"/>
      <c r="BX27" s="238" t="n"/>
      <c r="BY27" s="238" t="n"/>
      <c r="BZ27" s="238" t="n"/>
      <c r="CA27" s="238" t="n"/>
      <c r="CB27" s="238" t="n"/>
      <c r="CC27" s="238" t="n"/>
      <c r="CD27" s="238" t="n"/>
      <c r="CE27" s="238" t="n"/>
      <c r="CF27" s="238" t="n"/>
      <c r="CG27" s="238" t="n"/>
      <c r="CH27" s="238" t="n"/>
      <c r="CI27" s="238" t="n"/>
      <c r="CJ27" s="238" t="n"/>
      <c r="CK27" s="238" t="n"/>
      <c r="CL27" s="238" t="n"/>
      <c r="CM27" s="238" t="n"/>
      <c r="CN27" s="238" t="n"/>
      <c r="CO27" s="238" t="n"/>
      <c r="CP27" s="238" t="n"/>
      <c r="CQ27" s="238" t="n"/>
      <c r="CR27" s="238" t="n"/>
      <c r="CS27" s="238" t="n"/>
      <c r="CT27" s="238" t="n"/>
      <c r="CU27" s="238" t="n"/>
      <c r="CV27" s="238" t="n"/>
      <c r="CW27" s="238" t="n"/>
      <c r="CX27" s="238" t="n"/>
      <c r="CY27" s="238" t="n"/>
      <c r="CZ27" s="238" t="n"/>
      <c r="DA27" s="238" t="n"/>
      <c r="DB27" s="238" t="n"/>
      <c r="DC27" s="238" t="n"/>
      <c r="DD27" s="238" t="n"/>
      <c r="DE27" s="238" t="n"/>
      <c r="DF27" s="238" t="n"/>
      <c r="DG27" s="238" t="n"/>
      <c r="DH27" s="238" t="n"/>
      <c r="DI27" s="238" t="n"/>
      <c r="DJ27" s="238" t="n"/>
      <c r="DK27" s="238" t="n"/>
      <c r="DL27" s="238" t="n"/>
      <c r="DM27" s="238" t="n"/>
      <c r="DN27" s="238" t="n"/>
      <c r="DO27" s="238" t="n"/>
      <c r="DP27" s="238" t="n"/>
      <c r="DQ27" s="238" t="n"/>
      <c r="DR27" s="238" t="n"/>
      <c r="DS27" s="238" t="n"/>
      <c r="DT27" s="238" t="n"/>
      <c r="DU27" s="238" t="n"/>
      <c r="DV27" s="238" t="n"/>
      <c r="DW27" s="238" t="n"/>
      <c r="DX27" s="238" t="n"/>
      <c r="DY27" s="238" t="n"/>
      <c r="DZ27" s="23" t="n"/>
      <c r="FQ27" s="212" t="n"/>
      <c r="FR27" s="212" t="n"/>
      <c r="FS27" s="212" t="n"/>
      <c r="FT27" s="212" t="n"/>
      <c r="FU27" s="212" t="n"/>
      <c r="FV27" s="212" t="n"/>
      <c r="FW27" s="212" t="n"/>
      <c r="FX27" s="212" t="n"/>
      <c r="FY27" s="212" t="n"/>
      <c r="FZ27" s="212" t="n"/>
    </row>
    <row r="28" ht="39.95" customFormat="1" customHeight="1" s="5">
      <c r="A28" s="10" t="inlineStr">
        <is>
          <t>A</t>
        </is>
      </c>
      <c r="B28" s="6" t="inlineStr">
        <is>
          <t>POSITION 'A'</t>
        </is>
      </c>
      <c r="C28" s="11" t="inlineStr">
        <is>
          <t>L</t>
        </is>
      </c>
      <c r="D28" s="433" t="inlineStr">
        <is>
          <t>ND</t>
        </is>
      </c>
      <c r="E28" s="436" t="inlineStr">
        <is>
          <t>ND</t>
        </is>
      </c>
      <c r="F28" s="436" t="inlineStr">
        <is>
          <t>ND</t>
        </is>
      </c>
      <c r="G28" s="475" t="n">
        <v>1.44</v>
      </c>
      <c r="H28" s="439" t="n">
        <v>0.03</v>
      </c>
      <c r="I28" s="442" t="inlineStr">
        <is>
          <t>ND</t>
        </is>
      </c>
      <c r="J28" s="475" t="n">
        <v>3.65</v>
      </c>
      <c r="K28" s="436" t="inlineStr">
        <is>
          <t>ND</t>
        </is>
      </c>
      <c r="L28" s="436" t="inlineStr">
        <is>
          <t>ND</t>
        </is>
      </c>
      <c r="M28" s="439" t="n">
        <v>0.797</v>
      </c>
      <c r="N28" s="442" t="inlineStr">
        <is>
          <t>ND</t>
        </is>
      </c>
      <c r="O28" s="481" t="n">
        <v>1.1</v>
      </c>
      <c r="P28" s="112" t="n">
        <v>0.925</v>
      </c>
      <c r="Q28" s="436" t="inlineStr">
        <is>
          <t>ND</t>
        </is>
      </c>
      <c r="R28" s="439" t="inlineStr">
        <is>
          <t>ND</t>
        </is>
      </c>
      <c r="S28" s="442" t="inlineStr">
        <is>
          <t>ND</t>
        </is>
      </c>
      <c r="T28" s="436" t="inlineStr">
        <is>
          <t>ND</t>
        </is>
      </c>
      <c r="U28" s="436" t="inlineStr">
        <is>
          <t>ND</t>
        </is>
      </c>
      <c r="V28" s="436" t="inlineStr">
        <is>
          <t>ND</t>
        </is>
      </c>
      <c r="W28" s="439" t="inlineStr">
        <is>
          <t>ND</t>
        </is>
      </c>
      <c r="X28" s="442" t="inlineStr">
        <is>
          <t>ND</t>
        </is>
      </c>
      <c r="Y28" s="436" t="inlineStr">
        <is>
          <t>ND</t>
        </is>
      </c>
      <c r="Z28" s="436" t="inlineStr">
        <is>
          <t>ND</t>
        </is>
      </c>
      <c r="AA28" s="436" t="inlineStr">
        <is>
          <t>ND</t>
        </is>
      </c>
      <c r="AB28" s="439" t="inlineStr">
        <is>
          <t>ND</t>
        </is>
      </c>
      <c r="AC28" s="442" t="inlineStr">
        <is>
          <t>ND</t>
        </is>
      </c>
      <c r="AD28" s="436" t="inlineStr">
        <is>
          <t>ND</t>
        </is>
      </c>
      <c r="AE28" s="436" t="inlineStr">
        <is>
          <t>ND</t>
        </is>
      </c>
      <c r="AF28" s="436" t="inlineStr">
        <is>
          <t>ND</t>
        </is>
      </c>
      <c r="AG28" s="439" t="inlineStr">
        <is>
          <t>ND</t>
        </is>
      </c>
      <c r="AH28" s="442" t="inlineStr">
        <is>
          <t>ND</t>
        </is>
      </c>
      <c r="AI28" s="478" t="n">
        <v>3.02</v>
      </c>
      <c r="AJ28" s="478" t="n">
        <v>2.95</v>
      </c>
      <c r="AK28" s="475" t="n">
        <v>2.56</v>
      </c>
      <c r="AL28" s="480" t="n">
        <v>3.94</v>
      </c>
      <c r="AM28" s="477" t="n">
        <v>2.67</v>
      </c>
      <c r="AN28" s="478" t="n">
        <v>5.34</v>
      </c>
      <c r="AO28" s="436" t="inlineStr">
        <is>
          <t>ND</t>
        </is>
      </c>
      <c r="AP28" s="436" t="inlineStr">
        <is>
          <t>ND</t>
        </is>
      </c>
      <c r="AQ28" s="439" t="inlineStr">
        <is>
          <t>ND</t>
        </is>
      </c>
      <c r="AR28" s="442" t="inlineStr">
        <is>
          <t>ND</t>
        </is>
      </c>
      <c r="AS28" s="436" t="inlineStr">
        <is>
          <t>ND</t>
        </is>
      </c>
      <c r="AT28" s="436" t="inlineStr">
        <is>
          <t>ND</t>
        </is>
      </c>
      <c r="AU28" s="436" t="inlineStr">
        <is>
          <t>ND</t>
        </is>
      </c>
      <c r="AV28" s="439" t="inlineStr">
        <is>
          <t>ND</t>
        </is>
      </c>
      <c r="AW28" s="442" t="inlineStr">
        <is>
          <t>ND</t>
        </is>
      </c>
      <c r="AX28" s="436" t="inlineStr">
        <is>
          <t>ND</t>
        </is>
      </c>
      <c r="AY28" s="436" t="inlineStr">
        <is>
          <t>ND</t>
        </is>
      </c>
      <c r="AZ28" s="436" t="inlineStr">
        <is>
          <t>ND</t>
        </is>
      </c>
      <c r="BA28" s="439" t="inlineStr">
        <is>
          <t>ND</t>
        </is>
      </c>
      <c r="BB28" s="442" t="inlineStr">
        <is>
          <t>ND</t>
        </is>
      </c>
      <c r="BC28" s="436" t="inlineStr">
        <is>
          <t>ND</t>
        </is>
      </c>
      <c r="BD28" s="436" t="inlineStr">
        <is>
          <t>ND</t>
        </is>
      </c>
      <c r="BE28" s="436" t="inlineStr">
        <is>
          <t>ND</t>
        </is>
      </c>
      <c r="BF28" s="439" t="inlineStr">
        <is>
          <t>ND</t>
        </is>
      </c>
      <c r="BG28" s="442" t="inlineStr">
        <is>
          <t>ND</t>
        </is>
      </c>
      <c r="BH28" s="436" t="inlineStr">
        <is>
          <t>ND</t>
        </is>
      </c>
      <c r="BI28" s="436" t="inlineStr">
        <is>
          <t>ND</t>
        </is>
      </c>
      <c r="BJ28" s="436" t="inlineStr">
        <is>
          <t>ND</t>
        </is>
      </c>
      <c r="BK28" s="439" t="inlineStr">
        <is>
          <t>ND</t>
        </is>
      </c>
      <c r="BL28" s="442" t="inlineStr">
        <is>
          <t>ND</t>
        </is>
      </c>
      <c r="BM28" s="436" t="inlineStr">
        <is>
          <t>ND</t>
        </is>
      </c>
      <c r="BN28" s="436" t="inlineStr">
        <is>
          <t>ND</t>
        </is>
      </c>
      <c r="BO28" s="436" t="inlineStr">
        <is>
          <t>ND</t>
        </is>
      </c>
      <c r="BP28" s="439" t="inlineStr">
        <is>
          <t>ND</t>
        </is>
      </c>
      <c r="BQ28" s="442" t="inlineStr">
        <is>
          <t>ND</t>
        </is>
      </c>
      <c r="BR28" s="436" t="inlineStr">
        <is>
          <t>ND</t>
        </is>
      </c>
      <c r="BS28" s="436" t="inlineStr">
        <is>
          <t>ND</t>
        </is>
      </c>
      <c r="BT28" s="439" t="inlineStr">
        <is>
          <t>ND</t>
        </is>
      </c>
      <c r="BU28" s="454">
        <f>IFERROR(AVERAGE(D28:BT30),0)</f>
        <v/>
      </c>
      <c r="BV28" s="454">
        <f>MAX(D28:BT30)</f>
        <v/>
      </c>
      <c r="BW28" s="238" t="n"/>
      <c r="BX28" s="238" t="n"/>
      <c r="BY28" s="238" t="n"/>
      <c r="BZ28" s="238" t="n"/>
      <c r="CA28" s="238" t="n"/>
      <c r="CB28" s="238" t="n"/>
      <c r="CC28" s="238" t="n"/>
      <c r="CD28" s="238" t="n"/>
      <c r="CE28" s="238" t="n"/>
      <c r="CF28" s="238" t="n"/>
      <c r="CG28" s="238" t="n"/>
      <c r="CH28" s="238" t="n"/>
      <c r="CI28" s="238" t="n"/>
      <c r="CJ28" s="238" t="n"/>
      <c r="CK28" s="238" t="n"/>
      <c r="CL28" s="238" t="n"/>
      <c r="CM28" s="238" t="n"/>
      <c r="CN28" s="238" t="n"/>
      <c r="CO28" s="238" t="n"/>
      <c r="CP28" s="238" t="n"/>
      <c r="CQ28" s="238" t="n"/>
      <c r="CR28" s="238" t="n"/>
      <c r="CS28" s="238" t="n"/>
      <c r="CT28" s="238" t="n"/>
      <c r="CU28" s="238" t="n"/>
      <c r="CV28" s="238" t="n"/>
      <c r="CW28" s="238" t="n"/>
      <c r="CX28" s="238" t="n"/>
      <c r="CY28" s="238" t="n"/>
      <c r="CZ28" s="238" t="n"/>
      <c r="DA28" s="238" t="n"/>
      <c r="DB28" s="238" t="n"/>
      <c r="DC28" s="238" t="n"/>
      <c r="DD28" s="238" t="n"/>
      <c r="DE28" s="238" t="n"/>
      <c r="DF28" s="238" t="n"/>
      <c r="DG28" s="238" t="n"/>
      <c r="DH28" s="238" t="n"/>
      <c r="DI28" s="238" t="n"/>
      <c r="DJ28" s="238" t="n"/>
      <c r="DK28" s="238" t="n"/>
      <c r="DL28" s="238" t="n"/>
      <c r="DM28" s="238" t="n"/>
      <c r="DN28" s="238" t="n"/>
      <c r="DO28" s="238" t="n"/>
      <c r="DP28" s="238" t="n"/>
      <c r="DQ28" s="238" t="n"/>
      <c r="DR28" s="238" t="n"/>
      <c r="DS28" s="238" t="n"/>
      <c r="DT28" s="238" t="n"/>
      <c r="DU28" s="238" t="n"/>
      <c r="DV28" s="238" t="n"/>
      <c r="DW28" s="238" t="n"/>
      <c r="DX28" s="238" t="n"/>
      <c r="DY28" s="238" t="n"/>
      <c r="DZ28" s="23" t="n"/>
    </row>
    <row r="29" ht="39.95" customFormat="1" customHeight="1" s="5">
      <c r="A29" s="182" t="inlineStr"/>
      <c r="B29" s="7" t="inlineStr">
        <is>
          <t>OF THE MANWAY</t>
        </is>
      </c>
      <c r="C29" s="11" t="inlineStr">
        <is>
          <t>C</t>
        </is>
      </c>
      <c r="D29" s="434" t="inlineStr">
        <is>
          <t>ND</t>
        </is>
      </c>
      <c r="E29" s="437" t="inlineStr">
        <is>
          <t>ND</t>
        </is>
      </c>
      <c r="F29" s="437" t="inlineStr">
        <is>
          <t>ND</t>
        </is>
      </c>
      <c r="G29" s="486" t="n">
        <v>2.68</v>
      </c>
      <c r="H29" s="440" t="n">
        <v>0.411</v>
      </c>
      <c r="I29" s="443" t="inlineStr">
        <is>
          <t>ND</t>
        </is>
      </c>
      <c r="J29" s="437" t="inlineStr">
        <is>
          <t>ND</t>
        </is>
      </c>
      <c r="K29" s="437" t="inlineStr">
        <is>
          <t>ND</t>
        </is>
      </c>
      <c r="L29" s="485" t="inlineStr">
        <is>
          <t>ND</t>
        </is>
      </c>
      <c r="M29" s="440" t="n">
        <v>0.125</v>
      </c>
      <c r="N29" s="443" t="inlineStr">
        <is>
          <t>ND</t>
        </is>
      </c>
      <c r="O29" s="485" t="n">
        <v>5.11</v>
      </c>
      <c r="P29" s="437" t="n">
        <v>0.759</v>
      </c>
      <c r="Q29" s="437" t="inlineStr">
        <is>
          <t>ND</t>
        </is>
      </c>
      <c r="R29" s="440" t="inlineStr">
        <is>
          <t>ND</t>
        </is>
      </c>
      <c r="S29" s="443" t="inlineStr">
        <is>
          <t>ND</t>
        </is>
      </c>
      <c r="T29" s="437" t="inlineStr">
        <is>
          <t>ND</t>
        </is>
      </c>
      <c r="U29" s="437" t="inlineStr">
        <is>
          <t>ND</t>
        </is>
      </c>
      <c r="V29" s="437" t="inlineStr">
        <is>
          <t>ND</t>
        </is>
      </c>
      <c r="W29" s="440" t="inlineStr">
        <is>
          <t>ND</t>
        </is>
      </c>
      <c r="X29" s="443" t="inlineStr">
        <is>
          <t>ND</t>
        </is>
      </c>
      <c r="Y29" s="437" t="inlineStr">
        <is>
          <t>ND</t>
        </is>
      </c>
      <c r="Z29" s="437" t="inlineStr">
        <is>
          <t>ND</t>
        </is>
      </c>
      <c r="AA29" s="437" t="inlineStr">
        <is>
          <t>ND</t>
        </is>
      </c>
      <c r="AB29" s="440" t="inlineStr">
        <is>
          <t>ND</t>
        </is>
      </c>
      <c r="AC29" s="443" t="inlineStr">
        <is>
          <t>ND</t>
        </is>
      </c>
      <c r="AD29" s="437" t="inlineStr">
        <is>
          <t>ND</t>
        </is>
      </c>
      <c r="AE29" s="437" t="inlineStr">
        <is>
          <t>ND</t>
        </is>
      </c>
      <c r="AF29" s="437" t="inlineStr">
        <is>
          <t>ND</t>
        </is>
      </c>
      <c r="AG29" s="440" t="inlineStr">
        <is>
          <t>ND</t>
        </is>
      </c>
      <c r="AH29" s="443" t="inlineStr">
        <is>
          <t>ND</t>
        </is>
      </c>
      <c r="AI29" s="486" t="n">
        <v>3.61</v>
      </c>
      <c r="AJ29" s="486" t="n">
        <v>4.83</v>
      </c>
      <c r="AK29" s="437" t="n">
        <v>0.456</v>
      </c>
      <c r="AL29" s="489" t="n">
        <v>4.47</v>
      </c>
      <c r="AM29" s="443" t="inlineStr">
        <is>
          <t>ND</t>
        </is>
      </c>
      <c r="AN29" s="485" t="n">
        <v>8.66</v>
      </c>
      <c r="AO29" s="437" t="inlineStr">
        <is>
          <t>ND</t>
        </is>
      </c>
      <c r="AP29" s="437" t="inlineStr">
        <is>
          <t>ND</t>
        </is>
      </c>
      <c r="AQ29" s="440" t="inlineStr">
        <is>
          <t>ND</t>
        </is>
      </c>
      <c r="AR29" s="443" t="inlineStr">
        <is>
          <t>ND</t>
        </is>
      </c>
      <c r="AS29" s="437" t="inlineStr">
        <is>
          <t>ND</t>
        </is>
      </c>
      <c r="AT29" s="437" t="inlineStr">
        <is>
          <t>ND</t>
        </is>
      </c>
      <c r="AU29" s="437" t="inlineStr">
        <is>
          <t>ND</t>
        </is>
      </c>
      <c r="AV29" s="440" t="inlineStr">
        <is>
          <t>ND</t>
        </is>
      </c>
      <c r="AW29" s="443" t="inlineStr">
        <is>
          <t>ND</t>
        </is>
      </c>
      <c r="AX29" s="437" t="inlineStr">
        <is>
          <t>ND</t>
        </is>
      </c>
      <c r="AY29" s="437" t="inlineStr">
        <is>
          <t>ND</t>
        </is>
      </c>
      <c r="AZ29" s="437" t="inlineStr">
        <is>
          <t>ND</t>
        </is>
      </c>
      <c r="BA29" s="440" t="inlineStr">
        <is>
          <t>ND</t>
        </is>
      </c>
      <c r="BB29" s="443" t="inlineStr">
        <is>
          <t>ND</t>
        </is>
      </c>
      <c r="BC29" s="437" t="inlineStr">
        <is>
          <t>ND</t>
        </is>
      </c>
      <c r="BD29" s="437" t="inlineStr">
        <is>
          <t>ND</t>
        </is>
      </c>
      <c r="BE29" s="437" t="inlineStr">
        <is>
          <t>ND</t>
        </is>
      </c>
      <c r="BF29" s="440" t="inlineStr">
        <is>
          <t>ND</t>
        </is>
      </c>
      <c r="BG29" s="443" t="inlineStr">
        <is>
          <t>ND</t>
        </is>
      </c>
      <c r="BH29" s="437" t="inlineStr">
        <is>
          <t>ND</t>
        </is>
      </c>
      <c r="BI29" s="437" t="inlineStr">
        <is>
          <t>ND</t>
        </is>
      </c>
      <c r="BJ29" s="437" t="inlineStr">
        <is>
          <t>ND</t>
        </is>
      </c>
      <c r="BK29" s="440" t="inlineStr">
        <is>
          <t>ND</t>
        </is>
      </c>
      <c r="BL29" s="443" t="inlineStr">
        <is>
          <t>ND</t>
        </is>
      </c>
      <c r="BM29" s="437" t="inlineStr">
        <is>
          <t>ND</t>
        </is>
      </c>
      <c r="BN29" s="437" t="inlineStr">
        <is>
          <t>ND</t>
        </is>
      </c>
      <c r="BO29" s="437" t="inlineStr">
        <is>
          <t>ND</t>
        </is>
      </c>
      <c r="BP29" s="440" t="inlineStr">
        <is>
          <t>ND</t>
        </is>
      </c>
      <c r="BQ29" s="443" t="inlineStr">
        <is>
          <t>ND</t>
        </is>
      </c>
      <c r="BR29" s="437" t="inlineStr">
        <is>
          <t>ND</t>
        </is>
      </c>
      <c r="BS29" s="437" t="inlineStr">
        <is>
          <t>ND</t>
        </is>
      </c>
      <c r="BT29" s="440" t="inlineStr">
        <is>
          <t>ND</t>
        </is>
      </c>
      <c r="BU29" s="455" t="n"/>
      <c r="BV29" s="455" t="n"/>
      <c r="BW29" s="238" t="n"/>
      <c r="BX29" s="238" t="n"/>
      <c r="BY29" s="238" t="n"/>
      <c r="BZ29" s="238" t="n"/>
      <c r="CA29" s="238" t="n"/>
      <c r="CB29" s="238" t="n"/>
      <c r="CC29" s="238" t="n"/>
      <c r="CD29" s="238" t="n"/>
      <c r="CE29" s="238" t="n"/>
      <c r="CF29" s="238" t="n"/>
      <c r="CG29" s="238" t="n"/>
      <c r="CH29" s="238" t="n"/>
      <c r="CI29" s="238" t="n"/>
      <c r="CJ29" s="238" t="n"/>
      <c r="CK29" s="238" t="n"/>
      <c r="CL29" s="238" t="n"/>
      <c r="CM29" s="238" t="n"/>
      <c r="CN29" s="238" t="n"/>
      <c r="CO29" s="238" t="n"/>
      <c r="CP29" s="238" t="n"/>
      <c r="CQ29" s="238" t="n"/>
      <c r="CR29" s="238" t="n"/>
      <c r="CS29" s="238" t="n"/>
      <c r="CT29" s="238" t="n"/>
      <c r="CU29" s="238" t="n"/>
      <c r="CV29" s="238" t="n"/>
      <c r="CW29" s="238" t="n"/>
      <c r="CX29" s="238" t="n"/>
      <c r="CY29" s="238" t="n"/>
      <c r="CZ29" s="238" t="n"/>
      <c r="DA29" s="238" t="n"/>
      <c r="DB29" s="238" t="n"/>
      <c r="DC29" s="238" t="n"/>
      <c r="DD29" s="238" t="n"/>
      <c r="DE29" s="238" t="n"/>
      <c r="DF29" s="238" t="n"/>
      <c r="DG29" s="238" t="n"/>
      <c r="DH29" s="238" t="n"/>
      <c r="DI29" s="238" t="n"/>
      <c r="DJ29" s="238" t="n"/>
      <c r="DK29" s="238" t="n"/>
      <c r="DL29" s="238" t="n"/>
      <c r="DM29" s="238" t="n"/>
      <c r="DN29" s="238" t="n"/>
      <c r="DO29" s="238" t="n"/>
      <c r="DP29" s="238" t="n"/>
      <c r="DQ29" s="238" t="n"/>
      <c r="DR29" s="238" t="n"/>
      <c r="DS29" s="238" t="n"/>
      <c r="DT29" s="238" t="n"/>
      <c r="DU29" s="238" t="n"/>
      <c r="DV29" s="238" t="n"/>
      <c r="DW29" s="238" t="n"/>
      <c r="DX29" s="238" t="n"/>
      <c r="DY29" s="238" t="n"/>
      <c r="DZ29" s="23" t="n"/>
      <c r="FQ29" s="212" t="n"/>
      <c r="FR29" s="212" t="n"/>
      <c r="FS29" s="212" t="n"/>
      <c r="FT29" s="212" t="n"/>
      <c r="FU29" s="212" t="n"/>
      <c r="FV29" s="212" t="n"/>
      <c r="FW29" s="212" t="n"/>
      <c r="FX29" s="212" t="n"/>
      <c r="FY29" s="212" t="n"/>
      <c r="FZ29" s="212" t="n"/>
    </row>
    <row r="30" ht="39.95" customFormat="1" customHeight="1" s="5">
      <c r="A30" s="456" t="n"/>
      <c r="B30" s="8" t="inlineStr">
        <is>
          <t>&amp; OSCILLATOR</t>
        </is>
      </c>
      <c r="C30" s="12" t="inlineStr">
        <is>
          <t>R</t>
        </is>
      </c>
      <c r="D30" s="435" t="inlineStr">
        <is>
          <t>ND</t>
        </is>
      </c>
      <c r="E30" s="438" t="inlineStr">
        <is>
          <t>ND</t>
        </is>
      </c>
      <c r="F30" s="438" t="inlineStr">
        <is>
          <t>ND</t>
        </is>
      </c>
      <c r="G30" s="438" t="n">
        <v>0.456</v>
      </c>
      <c r="H30" s="441" t="n">
        <v>0.309</v>
      </c>
      <c r="I30" s="444" t="inlineStr">
        <is>
          <t>ND</t>
        </is>
      </c>
      <c r="J30" s="438" t="inlineStr">
        <is>
          <t>ND</t>
        </is>
      </c>
      <c r="K30" s="438" t="inlineStr">
        <is>
          <t>ND</t>
        </is>
      </c>
      <c r="L30" s="494" t="inlineStr">
        <is>
          <t>ND</t>
        </is>
      </c>
      <c r="M30" s="498" t="n">
        <v>4.52</v>
      </c>
      <c r="N30" s="444" t="inlineStr">
        <is>
          <t>ND</t>
        </is>
      </c>
      <c r="O30" s="494" t="n">
        <v>3.29</v>
      </c>
      <c r="P30" s="438" t="n">
        <v>0.499</v>
      </c>
      <c r="Q30" s="438" t="inlineStr">
        <is>
          <t>ND</t>
        </is>
      </c>
      <c r="R30" s="441" t="inlineStr">
        <is>
          <t>ND</t>
        </is>
      </c>
      <c r="S30" s="444" t="inlineStr">
        <is>
          <t>ND</t>
        </is>
      </c>
      <c r="T30" s="438" t="inlineStr">
        <is>
          <t>ND</t>
        </is>
      </c>
      <c r="U30" s="438" t="inlineStr">
        <is>
          <t>ND</t>
        </is>
      </c>
      <c r="V30" s="438" t="inlineStr">
        <is>
          <t>ND</t>
        </is>
      </c>
      <c r="W30" s="441" t="inlineStr">
        <is>
          <t>ND</t>
        </is>
      </c>
      <c r="X30" s="444" t="inlineStr">
        <is>
          <t>ND</t>
        </is>
      </c>
      <c r="Y30" s="438" t="inlineStr">
        <is>
          <t>ND</t>
        </is>
      </c>
      <c r="Z30" s="438" t="inlineStr">
        <is>
          <t>ND</t>
        </is>
      </c>
      <c r="AA30" s="438" t="inlineStr">
        <is>
          <t>ND</t>
        </is>
      </c>
      <c r="AB30" s="441" t="inlineStr">
        <is>
          <t>ND</t>
        </is>
      </c>
      <c r="AC30" s="444" t="inlineStr">
        <is>
          <t>ND</t>
        </is>
      </c>
      <c r="AD30" s="438" t="inlineStr">
        <is>
          <t>ND</t>
        </is>
      </c>
      <c r="AE30" s="438" t="inlineStr">
        <is>
          <t>ND</t>
        </is>
      </c>
      <c r="AF30" s="438" t="inlineStr">
        <is>
          <t>ND</t>
        </is>
      </c>
      <c r="AG30" s="441" t="inlineStr">
        <is>
          <t>ND</t>
        </is>
      </c>
      <c r="AH30" s="444" t="inlineStr">
        <is>
          <t>ND</t>
        </is>
      </c>
      <c r="AI30" s="125" t="n">
        <v>0.061</v>
      </c>
      <c r="AJ30" s="494" t="n">
        <v>2.65</v>
      </c>
      <c r="AK30" s="497" t="n">
        <v>2.09</v>
      </c>
      <c r="AL30" s="498" t="n">
        <v>4.16</v>
      </c>
      <c r="AM30" s="444" t="inlineStr">
        <is>
          <t>ND</t>
        </is>
      </c>
      <c r="AN30" s="493" t="n">
        <v>10.2</v>
      </c>
      <c r="AO30" s="438" t="inlineStr">
        <is>
          <t>ND</t>
        </is>
      </c>
      <c r="AP30" s="438" t="inlineStr">
        <is>
          <t>ND</t>
        </is>
      </c>
      <c r="AQ30" s="441" t="inlineStr">
        <is>
          <t>ND</t>
        </is>
      </c>
      <c r="AR30" s="444" t="inlineStr">
        <is>
          <t>ND</t>
        </is>
      </c>
      <c r="AS30" s="438" t="inlineStr">
        <is>
          <t>ND</t>
        </is>
      </c>
      <c r="AT30" s="438" t="inlineStr">
        <is>
          <t>ND</t>
        </is>
      </c>
      <c r="AU30" s="438" t="inlineStr">
        <is>
          <t>ND</t>
        </is>
      </c>
      <c r="AV30" s="441" t="inlineStr">
        <is>
          <t>ND</t>
        </is>
      </c>
      <c r="AW30" s="444" t="inlineStr">
        <is>
          <t>ND</t>
        </is>
      </c>
      <c r="AX30" s="438" t="inlineStr">
        <is>
          <t>ND</t>
        </is>
      </c>
      <c r="AY30" s="438" t="inlineStr">
        <is>
          <t>ND</t>
        </is>
      </c>
      <c r="AZ30" s="438" t="inlineStr">
        <is>
          <t>ND</t>
        </is>
      </c>
      <c r="BA30" s="441" t="inlineStr">
        <is>
          <t>ND</t>
        </is>
      </c>
      <c r="BB30" s="444" t="inlineStr">
        <is>
          <t>ND</t>
        </is>
      </c>
      <c r="BC30" s="438" t="inlineStr">
        <is>
          <t>ND</t>
        </is>
      </c>
      <c r="BD30" s="438" t="inlineStr">
        <is>
          <t>ND</t>
        </is>
      </c>
      <c r="BE30" s="438" t="inlineStr">
        <is>
          <t>ND</t>
        </is>
      </c>
      <c r="BF30" s="441" t="inlineStr">
        <is>
          <t>ND</t>
        </is>
      </c>
      <c r="BG30" s="444" t="inlineStr">
        <is>
          <t>ND</t>
        </is>
      </c>
      <c r="BH30" s="438" t="inlineStr">
        <is>
          <t>ND</t>
        </is>
      </c>
      <c r="BI30" s="438" t="inlineStr">
        <is>
          <t>ND</t>
        </is>
      </c>
      <c r="BJ30" s="438" t="inlineStr">
        <is>
          <t>ND</t>
        </is>
      </c>
      <c r="BK30" s="441" t="inlineStr">
        <is>
          <t>ND</t>
        </is>
      </c>
      <c r="BL30" s="444" t="inlineStr">
        <is>
          <t>ND</t>
        </is>
      </c>
      <c r="BM30" s="438" t="inlineStr">
        <is>
          <t>ND</t>
        </is>
      </c>
      <c r="BN30" s="438" t="inlineStr">
        <is>
          <t>ND</t>
        </is>
      </c>
      <c r="BO30" s="438" t="inlineStr">
        <is>
          <t>ND</t>
        </is>
      </c>
      <c r="BP30" s="441" t="inlineStr">
        <is>
          <t>ND</t>
        </is>
      </c>
      <c r="BQ30" s="444" t="inlineStr">
        <is>
          <t>ND</t>
        </is>
      </c>
      <c r="BR30" s="438" t="inlineStr">
        <is>
          <t>ND</t>
        </is>
      </c>
      <c r="BS30" s="438" t="inlineStr">
        <is>
          <t>ND</t>
        </is>
      </c>
      <c r="BT30" s="441" t="inlineStr">
        <is>
          <t>ND</t>
        </is>
      </c>
      <c r="BU30" s="457" t="n"/>
      <c r="BV30" s="457" t="n"/>
      <c r="BW30" s="238" t="n"/>
      <c r="BX30" s="238" t="n"/>
      <c r="BY30" s="238" t="n"/>
      <c r="BZ30" s="238" t="n"/>
      <c r="CA30" s="238" t="n"/>
      <c r="CB30" s="238" t="n"/>
      <c r="CC30" s="238" t="n"/>
      <c r="CD30" s="238" t="n"/>
      <c r="CE30" s="238" t="n"/>
      <c r="CF30" s="238" t="n"/>
      <c r="CG30" s="238" t="n"/>
      <c r="CH30" s="238" t="n"/>
      <c r="CI30" s="238" t="n"/>
      <c r="CJ30" s="238" t="n"/>
      <c r="CK30" s="238" t="n"/>
      <c r="CL30" s="238" t="n"/>
      <c r="CM30" s="238" t="n"/>
      <c r="CN30" s="238" t="n"/>
      <c r="CO30" s="238" t="n"/>
      <c r="CP30" s="238" t="n"/>
      <c r="CQ30" s="238" t="n"/>
      <c r="CR30" s="238" t="n"/>
      <c r="CS30" s="238" t="n"/>
      <c r="CT30" s="238" t="n"/>
      <c r="CU30" s="238" t="n"/>
      <c r="CV30" s="238" t="n"/>
      <c r="CW30" s="238" t="n"/>
      <c r="CX30" s="238" t="n"/>
      <c r="CY30" s="238" t="n"/>
      <c r="CZ30" s="238" t="n"/>
      <c r="DA30" s="238" t="n"/>
      <c r="DB30" s="238" t="n"/>
      <c r="DC30" s="238" t="n"/>
      <c r="DD30" s="238" t="n"/>
      <c r="DE30" s="238" t="n"/>
      <c r="DF30" s="238" t="n"/>
      <c r="DG30" s="238" t="n"/>
      <c r="DH30" s="238" t="n"/>
      <c r="DI30" s="238" t="n"/>
      <c r="DJ30" s="238" t="n"/>
      <c r="DK30" s="238" t="n"/>
      <c r="DL30" s="238" t="n"/>
      <c r="DM30" s="238" t="n"/>
      <c r="DN30" s="238" t="n"/>
      <c r="DO30" s="238" t="n"/>
      <c r="DP30" s="238" t="n"/>
      <c r="DQ30" s="238" t="n"/>
      <c r="DR30" s="238" t="n"/>
      <c r="DS30" s="238" t="n"/>
      <c r="DT30" s="238" t="n"/>
      <c r="DU30" s="238" t="n"/>
      <c r="DV30" s="238" t="n"/>
      <c r="DW30" s="238" t="n"/>
      <c r="DX30" s="238" t="n"/>
      <c r="DY30" s="238" t="n"/>
      <c r="DZ30" s="23" t="n"/>
      <c r="FQ30" s="212" t="n"/>
      <c r="FR30" s="212" t="n"/>
      <c r="FS30" s="212" t="n"/>
      <c r="FT30" s="212" t="n"/>
      <c r="FU30" s="212" t="n"/>
      <c r="FV30" s="212" t="n"/>
      <c r="FW30" s="212" t="n"/>
      <c r="FX30" s="212" t="n"/>
      <c r="FY30" s="212" t="n"/>
      <c r="FZ30" s="212" t="n"/>
    </row>
    <row r="31" ht="39.95" customFormat="1" customHeight="1" s="5">
      <c r="A31" s="10" t="inlineStr">
        <is>
          <t>A</t>
        </is>
      </c>
      <c r="B31" s="6" t="inlineStr">
        <is>
          <t>POSITION 'B'</t>
        </is>
      </c>
      <c r="C31" s="11" t="inlineStr">
        <is>
          <t>L</t>
        </is>
      </c>
      <c r="D31" s="433" t="inlineStr">
        <is>
          <t>ND</t>
        </is>
      </c>
      <c r="E31" s="436" t="inlineStr">
        <is>
          <t>ND</t>
        </is>
      </c>
      <c r="F31" s="436" t="inlineStr">
        <is>
          <t>ND</t>
        </is>
      </c>
      <c r="G31" s="475" t="n">
        <v>1.59</v>
      </c>
      <c r="H31" s="508" t="n">
        <v>1.7</v>
      </c>
      <c r="I31" s="442" t="inlineStr">
        <is>
          <t>ND</t>
        </is>
      </c>
      <c r="J31" s="436" t="inlineStr">
        <is>
          <t>ND</t>
        </is>
      </c>
      <c r="K31" s="436" t="inlineStr">
        <is>
          <t>ND</t>
        </is>
      </c>
      <c r="L31" s="436" t="inlineStr">
        <is>
          <t>ND</t>
        </is>
      </c>
      <c r="M31" s="158" t="n">
        <v>0.608</v>
      </c>
      <c r="N31" s="477" t="inlineStr">
        <is>
          <t>ND</t>
        </is>
      </c>
      <c r="O31" s="478" t="inlineStr">
        <is>
          <t>ND</t>
        </is>
      </c>
      <c r="P31" s="481" t="n">
        <v>1.6</v>
      </c>
      <c r="Q31" s="436" t="inlineStr">
        <is>
          <t>ND</t>
        </is>
      </c>
      <c r="R31" s="439" t="inlineStr">
        <is>
          <t>ND</t>
        </is>
      </c>
      <c r="S31" s="442" t="inlineStr">
        <is>
          <t>ND</t>
        </is>
      </c>
      <c r="T31" s="436" t="inlineStr">
        <is>
          <t>ND</t>
        </is>
      </c>
      <c r="U31" s="436" t="inlineStr">
        <is>
          <t>ND</t>
        </is>
      </c>
      <c r="V31" s="436" t="inlineStr">
        <is>
          <t>ND</t>
        </is>
      </c>
      <c r="W31" s="439" t="inlineStr">
        <is>
          <t>ND</t>
        </is>
      </c>
      <c r="X31" s="442" t="inlineStr">
        <is>
          <t>ND</t>
        </is>
      </c>
      <c r="Y31" s="436" t="inlineStr">
        <is>
          <t>ND</t>
        </is>
      </c>
      <c r="Z31" s="436" t="inlineStr">
        <is>
          <t>ND</t>
        </is>
      </c>
      <c r="AA31" s="436" t="inlineStr">
        <is>
          <t>ND</t>
        </is>
      </c>
      <c r="AB31" s="439" t="inlineStr">
        <is>
          <t>ND</t>
        </is>
      </c>
      <c r="AC31" s="442" t="inlineStr">
        <is>
          <t>ND</t>
        </is>
      </c>
      <c r="AD31" s="436" t="inlineStr">
        <is>
          <t>ND</t>
        </is>
      </c>
      <c r="AE31" s="436" t="inlineStr">
        <is>
          <t>ND</t>
        </is>
      </c>
      <c r="AF31" s="436" t="inlineStr">
        <is>
          <t>ND</t>
        </is>
      </c>
      <c r="AG31" s="439" t="inlineStr">
        <is>
          <t>ND</t>
        </is>
      </c>
      <c r="AH31" s="442" t="inlineStr">
        <is>
          <t>ND</t>
        </is>
      </c>
      <c r="AI31" s="436" t="inlineStr">
        <is>
          <t>ND</t>
        </is>
      </c>
      <c r="AJ31" s="478" t="n">
        <v>1.75</v>
      </c>
      <c r="AK31" s="478" t="inlineStr">
        <is>
          <t>ND</t>
        </is>
      </c>
      <c r="AL31" s="480" t="n">
        <v>1.19</v>
      </c>
      <c r="AM31" s="477" t="n">
        <v>1.88</v>
      </c>
      <c r="AN31" s="478" t="inlineStr">
        <is>
          <t>ND</t>
        </is>
      </c>
      <c r="AO31" s="436" t="inlineStr">
        <is>
          <t>ND</t>
        </is>
      </c>
      <c r="AP31" s="436" t="inlineStr">
        <is>
          <t>ND</t>
        </is>
      </c>
      <c r="AQ31" s="439" t="inlineStr">
        <is>
          <t>ND</t>
        </is>
      </c>
      <c r="AR31" s="442" t="inlineStr">
        <is>
          <t>ND</t>
        </is>
      </c>
      <c r="AS31" s="436" t="inlineStr">
        <is>
          <t>ND</t>
        </is>
      </c>
      <c r="AT31" s="436" t="inlineStr">
        <is>
          <t>ND</t>
        </is>
      </c>
      <c r="AU31" s="436" t="inlineStr">
        <is>
          <t>ND</t>
        </is>
      </c>
      <c r="AV31" s="439" t="inlineStr">
        <is>
          <t>ND</t>
        </is>
      </c>
      <c r="AW31" s="442" t="inlineStr">
        <is>
          <t>ND</t>
        </is>
      </c>
      <c r="AX31" s="436" t="inlineStr">
        <is>
          <t>ND</t>
        </is>
      </c>
      <c r="AY31" s="436" t="inlineStr">
        <is>
          <t>ND</t>
        </is>
      </c>
      <c r="AZ31" s="436" t="inlineStr">
        <is>
          <t>ND</t>
        </is>
      </c>
      <c r="BA31" s="439" t="inlineStr">
        <is>
          <t>ND</t>
        </is>
      </c>
      <c r="BB31" s="442" t="inlineStr">
        <is>
          <t>ND</t>
        </is>
      </c>
      <c r="BC31" s="436" t="inlineStr">
        <is>
          <t>ND</t>
        </is>
      </c>
      <c r="BD31" s="436" t="inlineStr">
        <is>
          <t>ND</t>
        </is>
      </c>
      <c r="BE31" s="436" t="inlineStr">
        <is>
          <t>ND</t>
        </is>
      </c>
      <c r="BF31" s="439" t="inlineStr">
        <is>
          <t>ND</t>
        </is>
      </c>
      <c r="BG31" s="442" t="inlineStr">
        <is>
          <t>ND</t>
        </is>
      </c>
      <c r="BH31" s="436" t="inlineStr">
        <is>
          <t>ND</t>
        </is>
      </c>
      <c r="BI31" s="436" t="inlineStr">
        <is>
          <t>ND</t>
        </is>
      </c>
      <c r="BJ31" s="436" t="inlineStr">
        <is>
          <t>ND</t>
        </is>
      </c>
      <c r="BK31" s="439" t="inlineStr">
        <is>
          <t>ND</t>
        </is>
      </c>
      <c r="BL31" s="442" t="inlineStr">
        <is>
          <t>ND</t>
        </is>
      </c>
      <c r="BM31" s="436" t="inlineStr">
        <is>
          <t>ND</t>
        </is>
      </c>
      <c r="BN31" s="436" t="inlineStr">
        <is>
          <t>ND</t>
        </is>
      </c>
      <c r="BO31" s="436" t="inlineStr">
        <is>
          <t>ND</t>
        </is>
      </c>
      <c r="BP31" s="439" t="inlineStr">
        <is>
          <t>ND</t>
        </is>
      </c>
      <c r="BQ31" s="442" t="inlineStr">
        <is>
          <t>ND</t>
        </is>
      </c>
      <c r="BR31" s="436" t="inlineStr">
        <is>
          <t>ND</t>
        </is>
      </c>
      <c r="BS31" s="436" t="inlineStr">
        <is>
          <t>ND</t>
        </is>
      </c>
      <c r="BT31" s="439" t="inlineStr">
        <is>
          <t>ND</t>
        </is>
      </c>
      <c r="BU31" s="454">
        <f>IFERROR(AVERAGE(D31:BT33),0)</f>
        <v/>
      </c>
      <c r="BV31" s="454">
        <f>MAX(D31:BT33)</f>
        <v/>
      </c>
      <c r="BW31" s="238" t="n"/>
      <c r="BX31" s="238" t="n"/>
      <c r="BY31" s="238" t="n"/>
      <c r="BZ31" s="238" t="n"/>
      <c r="CA31" s="238" t="n"/>
      <c r="CB31" s="238" t="n"/>
      <c r="CC31" s="238" t="n"/>
      <c r="CD31" s="238" t="n"/>
      <c r="CE31" s="238" t="n"/>
      <c r="CF31" s="238" t="n"/>
      <c r="CG31" s="238" t="n"/>
      <c r="CH31" s="238" t="n"/>
      <c r="CI31" s="238" t="n"/>
      <c r="CJ31" s="238" t="n"/>
      <c r="CK31" s="238" t="n"/>
      <c r="CL31" s="238" t="n"/>
      <c r="CM31" s="238" t="n"/>
      <c r="CN31" s="238" t="n"/>
      <c r="CO31" s="238" t="n"/>
      <c r="CP31" s="238" t="n"/>
      <c r="CQ31" s="238" t="n"/>
      <c r="CR31" s="238" t="n"/>
      <c r="CS31" s="238" t="n"/>
      <c r="CT31" s="238" t="n"/>
      <c r="CU31" s="238" t="n"/>
      <c r="CV31" s="238" t="n"/>
      <c r="CW31" s="238" t="n"/>
      <c r="CX31" s="238" t="n"/>
      <c r="CY31" s="238" t="n"/>
      <c r="CZ31" s="238" t="n"/>
      <c r="DA31" s="238" t="n"/>
      <c r="DB31" s="238" t="n"/>
      <c r="DC31" s="238" t="n"/>
      <c r="DD31" s="238" t="n"/>
      <c r="DE31" s="238" t="n"/>
      <c r="DF31" s="238" t="n"/>
      <c r="DG31" s="238" t="n"/>
      <c r="DH31" s="238" t="n"/>
      <c r="DI31" s="238" t="n"/>
      <c r="DJ31" s="238" t="n"/>
      <c r="DK31" s="238" t="n"/>
      <c r="DL31" s="238" t="n"/>
      <c r="DM31" s="238" t="n"/>
      <c r="DN31" s="238" t="n"/>
      <c r="DO31" s="238" t="n"/>
      <c r="DP31" s="238" t="n"/>
      <c r="DQ31" s="238" t="n"/>
      <c r="DR31" s="238" t="n"/>
      <c r="DS31" s="238" t="n"/>
      <c r="DT31" s="238" t="n"/>
      <c r="DU31" s="238" t="n"/>
      <c r="DV31" s="238" t="n"/>
      <c r="DW31" s="238" t="n"/>
      <c r="DX31" s="238" t="n"/>
      <c r="DY31" s="238" t="n"/>
      <c r="DZ31" s="23" t="n"/>
      <c r="FQ31" s="212" t="n"/>
      <c r="FR31" s="212" t="n"/>
      <c r="FS31" s="212" t="n"/>
      <c r="FT31" s="212" t="n"/>
      <c r="FU31" s="212" t="n"/>
      <c r="FV31" s="212" t="n"/>
      <c r="FW31" s="212" t="n"/>
      <c r="FX31" s="212" t="n"/>
      <c r="FY31" s="212" t="n"/>
      <c r="FZ31" s="212" t="n"/>
    </row>
    <row r="32" ht="39.95" customFormat="1" customHeight="1" s="5">
      <c r="A32" s="182" t="inlineStr"/>
      <c r="B32" s="7" t="inlineStr">
        <is>
          <t>OF THE MANWAY</t>
        </is>
      </c>
      <c r="C32" s="11" t="inlineStr">
        <is>
          <t>C</t>
        </is>
      </c>
      <c r="D32" s="434" t="inlineStr">
        <is>
          <t>ND</t>
        </is>
      </c>
      <c r="E32" s="437" t="inlineStr">
        <is>
          <t>ND</t>
        </is>
      </c>
      <c r="F32" s="437" t="inlineStr">
        <is>
          <t>ND</t>
        </is>
      </c>
      <c r="G32" s="486" t="n">
        <v>2.05</v>
      </c>
      <c r="H32" s="488" t="n">
        <v>3.74</v>
      </c>
      <c r="I32" s="443" t="inlineStr">
        <is>
          <t>ND</t>
        </is>
      </c>
      <c r="J32" s="485" t="n">
        <v>3.16</v>
      </c>
      <c r="K32" s="437" t="inlineStr">
        <is>
          <t>ND</t>
        </is>
      </c>
      <c r="L32" s="437" t="inlineStr">
        <is>
          <t>ND</t>
        </is>
      </c>
      <c r="M32" s="489" t="n">
        <v>4.92</v>
      </c>
      <c r="N32" s="443" t="inlineStr">
        <is>
          <t>ND</t>
        </is>
      </c>
      <c r="O32" s="485" t="n">
        <v>5.09</v>
      </c>
      <c r="P32" s="437" t="inlineStr">
        <is>
          <t>ND</t>
        </is>
      </c>
      <c r="Q32" s="437" t="inlineStr">
        <is>
          <t>ND</t>
        </is>
      </c>
      <c r="R32" s="440" t="inlineStr">
        <is>
          <t>ND</t>
        </is>
      </c>
      <c r="S32" s="443" t="inlineStr">
        <is>
          <t>ND</t>
        </is>
      </c>
      <c r="T32" s="437" t="inlineStr">
        <is>
          <t>ND</t>
        </is>
      </c>
      <c r="U32" s="437" t="inlineStr">
        <is>
          <t>ND</t>
        </is>
      </c>
      <c r="V32" s="437" t="inlineStr">
        <is>
          <t>ND</t>
        </is>
      </c>
      <c r="W32" s="440" t="inlineStr">
        <is>
          <t>ND</t>
        </is>
      </c>
      <c r="X32" s="443" t="inlineStr">
        <is>
          <t>ND</t>
        </is>
      </c>
      <c r="Y32" s="437" t="inlineStr">
        <is>
          <t>ND</t>
        </is>
      </c>
      <c r="Z32" s="437" t="inlineStr">
        <is>
          <t>ND</t>
        </is>
      </c>
      <c r="AA32" s="437" t="inlineStr">
        <is>
          <t>ND</t>
        </is>
      </c>
      <c r="AB32" s="440" t="inlineStr">
        <is>
          <t>ND</t>
        </is>
      </c>
      <c r="AC32" s="443" t="inlineStr">
        <is>
          <t>ND</t>
        </is>
      </c>
      <c r="AD32" s="437" t="inlineStr">
        <is>
          <t>ND</t>
        </is>
      </c>
      <c r="AE32" s="437" t="inlineStr">
        <is>
          <t>ND</t>
        </is>
      </c>
      <c r="AF32" s="437" t="inlineStr">
        <is>
          <t>ND</t>
        </is>
      </c>
      <c r="AG32" s="440" t="inlineStr">
        <is>
          <t>ND</t>
        </is>
      </c>
      <c r="AH32" s="443" t="inlineStr">
        <is>
          <t>ND</t>
        </is>
      </c>
      <c r="AI32" s="501" t="n">
        <v>2.3</v>
      </c>
      <c r="AJ32" s="437" t="n">
        <v>0.536</v>
      </c>
      <c r="AK32" s="437" t="inlineStr">
        <is>
          <t>ND</t>
        </is>
      </c>
      <c r="AL32" s="489" t="n">
        <v>1.33</v>
      </c>
      <c r="AM32" s="443" t="inlineStr">
        <is>
          <t>ND</t>
        </is>
      </c>
      <c r="AN32" s="485" t="inlineStr">
        <is>
          <t>ND</t>
        </is>
      </c>
      <c r="AO32" s="437" t="inlineStr">
        <is>
          <t>ND</t>
        </is>
      </c>
      <c r="AP32" s="437" t="inlineStr">
        <is>
          <t>ND</t>
        </is>
      </c>
      <c r="AQ32" s="440" t="inlineStr">
        <is>
          <t>ND</t>
        </is>
      </c>
      <c r="AR32" s="443" t="inlineStr">
        <is>
          <t>ND</t>
        </is>
      </c>
      <c r="AS32" s="437" t="inlineStr">
        <is>
          <t>ND</t>
        </is>
      </c>
      <c r="AT32" s="437" t="inlineStr">
        <is>
          <t>ND</t>
        </is>
      </c>
      <c r="AU32" s="437" t="inlineStr">
        <is>
          <t>ND</t>
        </is>
      </c>
      <c r="AV32" s="440" t="inlineStr">
        <is>
          <t>ND</t>
        </is>
      </c>
      <c r="AW32" s="443" t="inlineStr">
        <is>
          <t>ND</t>
        </is>
      </c>
      <c r="AX32" s="437" t="inlineStr">
        <is>
          <t>ND</t>
        </is>
      </c>
      <c r="AY32" s="437" t="inlineStr">
        <is>
          <t>ND</t>
        </is>
      </c>
      <c r="AZ32" s="437" t="inlineStr">
        <is>
          <t>ND</t>
        </is>
      </c>
      <c r="BA32" s="440" t="inlineStr">
        <is>
          <t>ND</t>
        </is>
      </c>
      <c r="BB32" s="443" t="inlineStr">
        <is>
          <t>ND</t>
        </is>
      </c>
      <c r="BC32" s="437" t="inlineStr">
        <is>
          <t>ND</t>
        </is>
      </c>
      <c r="BD32" s="437" t="inlineStr">
        <is>
          <t>ND</t>
        </is>
      </c>
      <c r="BE32" s="437" t="inlineStr">
        <is>
          <t>ND</t>
        </is>
      </c>
      <c r="BF32" s="440" t="inlineStr">
        <is>
          <t>ND</t>
        </is>
      </c>
      <c r="BG32" s="443" t="inlineStr">
        <is>
          <t>ND</t>
        </is>
      </c>
      <c r="BH32" s="437" t="inlineStr">
        <is>
          <t>ND</t>
        </is>
      </c>
      <c r="BI32" s="437" t="inlineStr">
        <is>
          <t>ND</t>
        </is>
      </c>
      <c r="BJ32" s="437" t="inlineStr">
        <is>
          <t>ND</t>
        </is>
      </c>
      <c r="BK32" s="440" t="inlineStr">
        <is>
          <t>ND</t>
        </is>
      </c>
      <c r="BL32" s="443" t="inlineStr">
        <is>
          <t>ND</t>
        </is>
      </c>
      <c r="BM32" s="437" t="inlineStr">
        <is>
          <t>ND</t>
        </is>
      </c>
      <c r="BN32" s="437" t="inlineStr">
        <is>
          <t>ND</t>
        </is>
      </c>
      <c r="BO32" s="437" t="inlineStr">
        <is>
          <t>ND</t>
        </is>
      </c>
      <c r="BP32" s="440" t="inlineStr">
        <is>
          <t>ND</t>
        </is>
      </c>
      <c r="BQ32" s="443" t="inlineStr">
        <is>
          <t>ND</t>
        </is>
      </c>
      <c r="BR32" s="437" t="inlineStr">
        <is>
          <t>ND</t>
        </is>
      </c>
      <c r="BS32" s="437" t="inlineStr">
        <is>
          <t>ND</t>
        </is>
      </c>
      <c r="BT32" s="440" t="inlineStr">
        <is>
          <t>ND</t>
        </is>
      </c>
      <c r="BU32" s="455" t="n"/>
      <c r="BV32" s="455" t="n"/>
      <c r="BW32" s="238" t="n"/>
      <c r="BX32" s="238" t="n"/>
      <c r="BY32" s="238" t="n"/>
      <c r="BZ32" s="238" t="n"/>
      <c r="CA32" s="238" t="n"/>
      <c r="CB32" s="238" t="n"/>
      <c r="CC32" s="238" t="n"/>
      <c r="CD32" s="238" t="n"/>
      <c r="CE32" s="238" t="n"/>
      <c r="CF32" s="238" t="n"/>
      <c r="CG32" s="238" t="n"/>
      <c r="CH32" s="238" t="n"/>
      <c r="CI32" s="238" t="n"/>
      <c r="CJ32" s="238" t="n"/>
      <c r="CK32" s="238" t="n"/>
      <c r="CL32" s="238" t="n"/>
      <c r="CM32" s="238" t="n"/>
      <c r="CN32" s="238" t="n"/>
      <c r="CO32" s="238" t="n"/>
      <c r="CP32" s="238" t="n"/>
      <c r="CQ32" s="238" t="n"/>
      <c r="CR32" s="238" t="n"/>
      <c r="CS32" s="238" t="n"/>
      <c r="CT32" s="238" t="n"/>
      <c r="CU32" s="238" t="n"/>
      <c r="CV32" s="238" t="n"/>
      <c r="CW32" s="238" t="n"/>
      <c r="CX32" s="238" t="n"/>
      <c r="CY32" s="238" t="n"/>
      <c r="CZ32" s="238" t="n"/>
      <c r="DA32" s="238" t="n"/>
      <c r="DB32" s="238" t="n"/>
      <c r="DC32" s="238" t="n"/>
      <c r="DD32" s="238" t="n"/>
      <c r="DE32" s="238" t="n"/>
      <c r="DF32" s="238" t="n"/>
      <c r="DG32" s="238" t="n"/>
      <c r="DH32" s="238" t="n"/>
      <c r="DI32" s="238" t="n"/>
      <c r="DJ32" s="238" t="n"/>
      <c r="DK32" s="238" t="n"/>
      <c r="DL32" s="238" t="n"/>
      <c r="DM32" s="238" t="n"/>
      <c r="DN32" s="238" t="n"/>
      <c r="DO32" s="238" t="n"/>
      <c r="DP32" s="238" t="n"/>
      <c r="DQ32" s="238" t="n"/>
      <c r="DR32" s="238" t="n"/>
      <c r="DS32" s="238" t="n"/>
      <c r="DT32" s="238" t="n"/>
      <c r="DU32" s="238" t="n"/>
      <c r="DV32" s="238" t="n"/>
      <c r="DW32" s="238" t="n"/>
      <c r="DX32" s="238" t="n"/>
      <c r="DY32" s="238" t="n"/>
      <c r="DZ32" s="23" t="n"/>
      <c r="FQ32" s="212" t="n"/>
      <c r="FR32" s="212" t="n"/>
      <c r="FS32" s="212" t="n"/>
      <c r="FT32" s="212" t="n"/>
      <c r="FU32" s="212" t="n"/>
      <c r="FV32" s="212" t="n"/>
      <c r="FW32" s="212" t="n"/>
      <c r="FX32" s="212" t="n"/>
      <c r="FY32" s="212" t="n"/>
      <c r="FZ32" s="212" t="n"/>
    </row>
    <row r="33" ht="39.95" customFormat="1" customHeight="1" s="5">
      <c r="A33" s="456" t="n"/>
      <c r="B33" s="8" t="inlineStr">
        <is>
          <t>&amp; OSCILLATOR</t>
        </is>
      </c>
      <c r="C33" s="12" t="inlineStr">
        <is>
          <t>R</t>
        </is>
      </c>
      <c r="D33" s="435" t="inlineStr">
        <is>
          <t>ND</t>
        </is>
      </c>
      <c r="E33" s="438" t="inlineStr">
        <is>
          <t>ND</t>
        </is>
      </c>
      <c r="F33" s="438" t="inlineStr">
        <is>
          <t>ND</t>
        </is>
      </c>
      <c r="G33" s="497" t="n">
        <v>1.63</v>
      </c>
      <c r="H33" s="495" t="n">
        <v>2.31</v>
      </c>
      <c r="I33" s="444" t="inlineStr">
        <is>
          <t>ND</t>
        </is>
      </c>
      <c r="J33" s="494" t="n">
        <v>7.53</v>
      </c>
      <c r="K33" s="438" t="inlineStr">
        <is>
          <t>ND</t>
        </is>
      </c>
      <c r="L33" s="492" t="inlineStr">
        <is>
          <t>ND</t>
        </is>
      </c>
      <c r="M33" s="441" t="inlineStr">
        <is>
          <t>ND</t>
        </is>
      </c>
      <c r="N33" s="444" t="inlineStr">
        <is>
          <t>ND</t>
        </is>
      </c>
      <c r="O33" s="494" t="n">
        <v>3.12</v>
      </c>
      <c r="P33" s="497" t="n">
        <v>1.66</v>
      </c>
      <c r="Q33" s="438" t="inlineStr">
        <is>
          <t>ND</t>
        </is>
      </c>
      <c r="R33" s="441" t="inlineStr">
        <is>
          <t>ND</t>
        </is>
      </c>
      <c r="S33" s="444" t="inlineStr">
        <is>
          <t>ND</t>
        </is>
      </c>
      <c r="T33" s="438" t="inlineStr">
        <is>
          <t>ND</t>
        </is>
      </c>
      <c r="U33" s="438" t="inlineStr">
        <is>
          <t>ND</t>
        </is>
      </c>
      <c r="V33" s="438" t="inlineStr">
        <is>
          <t>ND</t>
        </is>
      </c>
      <c r="W33" s="441" t="inlineStr">
        <is>
          <t>ND</t>
        </is>
      </c>
      <c r="X33" s="444" t="inlineStr">
        <is>
          <t>ND</t>
        </is>
      </c>
      <c r="Y33" s="438" t="inlineStr">
        <is>
          <t>ND</t>
        </is>
      </c>
      <c r="Z33" s="438" t="inlineStr">
        <is>
          <t>ND</t>
        </is>
      </c>
      <c r="AA33" s="438" t="inlineStr">
        <is>
          <t>ND</t>
        </is>
      </c>
      <c r="AB33" s="441" t="inlineStr">
        <is>
          <t>ND</t>
        </is>
      </c>
      <c r="AC33" s="444" t="inlineStr">
        <is>
          <t>ND</t>
        </is>
      </c>
      <c r="AD33" s="438" t="inlineStr">
        <is>
          <t>ND</t>
        </is>
      </c>
      <c r="AE33" s="438" t="inlineStr">
        <is>
          <t>ND</t>
        </is>
      </c>
      <c r="AF33" s="438" t="inlineStr">
        <is>
          <t>ND</t>
        </is>
      </c>
      <c r="AG33" s="441" t="inlineStr">
        <is>
          <t>ND</t>
        </is>
      </c>
      <c r="AH33" s="444" t="inlineStr">
        <is>
          <t>ND</t>
        </is>
      </c>
      <c r="AI33" s="497" t="n">
        <v>1.92</v>
      </c>
      <c r="AJ33" s="494" t="n">
        <v>3.26</v>
      </c>
      <c r="AK33" s="497" t="n">
        <v>3.35</v>
      </c>
      <c r="AL33" s="151" t="n">
        <v>0.358</v>
      </c>
      <c r="AM33" s="524" t="n">
        <v>9.4</v>
      </c>
      <c r="AN33" s="438" t="inlineStr">
        <is>
          <t>ND</t>
        </is>
      </c>
      <c r="AO33" s="438" t="inlineStr">
        <is>
          <t>ND</t>
        </is>
      </c>
      <c r="AP33" s="438" t="inlineStr">
        <is>
          <t>ND</t>
        </is>
      </c>
      <c r="AQ33" s="441" t="inlineStr">
        <is>
          <t>ND</t>
        </is>
      </c>
      <c r="AR33" s="444" t="inlineStr">
        <is>
          <t>ND</t>
        </is>
      </c>
      <c r="AS33" s="438" t="inlineStr">
        <is>
          <t>ND</t>
        </is>
      </c>
      <c r="AT33" s="438" t="inlineStr">
        <is>
          <t>ND</t>
        </is>
      </c>
      <c r="AU33" s="438" t="inlineStr">
        <is>
          <t>ND</t>
        </is>
      </c>
      <c r="AV33" s="441" t="inlineStr">
        <is>
          <t>ND</t>
        </is>
      </c>
      <c r="AW33" s="444" t="inlineStr">
        <is>
          <t>ND</t>
        </is>
      </c>
      <c r="AX33" s="438" t="inlineStr">
        <is>
          <t>ND</t>
        </is>
      </c>
      <c r="AY33" s="438" t="inlineStr">
        <is>
          <t>ND</t>
        </is>
      </c>
      <c r="AZ33" s="438" t="inlineStr">
        <is>
          <t>ND</t>
        </is>
      </c>
      <c r="BA33" s="441" t="inlineStr">
        <is>
          <t>ND</t>
        </is>
      </c>
      <c r="BB33" s="444" t="inlineStr">
        <is>
          <t>ND</t>
        </is>
      </c>
      <c r="BC33" s="438" t="inlineStr">
        <is>
          <t>ND</t>
        </is>
      </c>
      <c r="BD33" s="438" t="inlineStr">
        <is>
          <t>ND</t>
        </is>
      </c>
      <c r="BE33" s="438" t="inlineStr">
        <is>
          <t>ND</t>
        </is>
      </c>
      <c r="BF33" s="441" t="inlineStr">
        <is>
          <t>ND</t>
        </is>
      </c>
      <c r="BG33" s="444" t="inlineStr">
        <is>
          <t>ND</t>
        </is>
      </c>
      <c r="BH33" s="438" t="inlineStr">
        <is>
          <t>ND</t>
        </is>
      </c>
      <c r="BI33" s="438" t="inlineStr">
        <is>
          <t>ND</t>
        </is>
      </c>
      <c r="BJ33" s="438" t="inlineStr">
        <is>
          <t>ND</t>
        </is>
      </c>
      <c r="BK33" s="441" t="inlineStr">
        <is>
          <t>ND</t>
        </is>
      </c>
      <c r="BL33" s="444" t="inlineStr">
        <is>
          <t>ND</t>
        </is>
      </c>
      <c r="BM33" s="438" t="inlineStr">
        <is>
          <t>ND</t>
        </is>
      </c>
      <c r="BN33" s="438" t="inlineStr">
        <is>
          <t>ND</t>
        </is>
      </c>
      <c r="BO33" s="438" t="inlineStr">
        <is>
          <t>ND</t>
        </is>
      </c>
      <c r="BP33" s="441" t="inlineStr">
        <is>
          <t>ND</t>
        </is>
      </c>
      <c r="BQ33" s="444" t="inlineStr">
        <is>
          <t>ND</t>
        </is>
      </c>
      <c r="BR33" s="438" t="inlineStr">
        <is>
          <t>ND</t>
        </is>
      </c>
      <c r="BS33" s="438" t="inlineStr">
        <is>
          <t>ND</t>
        </is>
      </c>
      <c r="BT33" s="441" t="inlineStr">
        <is>
          <t>ND</t>
        </is>
      </c>
      <c r="BU33" s="457" t="n"/>
      <c r="BV33" s="457" t="n"/>
      <c r="BW33" s="238" t="n"/>
      <c r="BX33" s="238" t="n"/>
      <c r="BY33" s="238" t="n"/>
      <c r="BZ33" s="238" t="n"/>
      <c r="CA33" s="238" t="n"/>
      <c r="CB33" s="238" t="n"/>
      <c r="CC33" s="238" t="n"/>
      <c r="CD33" s="238" t="n"/>
      <c r="CE33" s="238" t="n"/>
      <c r="CF33" s="238" t="n"/>
      <c r="CG33" s="238" t="n"/>
      <c r="CH33" s="238" t="n"/>
      <c r="CI33" s="238" t="n"/>
      <c r="CJ33" s="238" t="n"/>
      <c r="CK33" s="238" t="n"/>
      <c r="CL33" s="238" t="n"/>
      <c r="CM33" s="238" t="n"/>
      <c r="CN33" s="238" t="n"/>
      <c r="CO33" s="238" t="n"/>
      <c r="CP33" s="238" t="n"/>
      <c r="CQ33" s="238" t="n"/>
      <c r="CR33" s="238" t="n"/>
      <c r="CS33" s="238" t="n"/>
      <c r="CT33" s="238" t="n"/>
      <c r="CU33" s="238" t="n"/>
      <c r="CV33" s="238" t="n"/>
      <c r="CW33" s="238" t="n"/>
      <c r="CX33" s="238" t="n"/>
      <c r="CY33" s="238" t="n"/>
      <c r="CZ33" s="238" t="n"/>
      <c r="DA33" s="238" t="n"/>
      <c r="DB33" s="238" t="n"/>
      <c r="DC33" s="238" t="n"/>
      <c r="DD33" s="238" t="n"/>
      <c r="DE33" s="238" t="n"/>
      <c r="DF33" s="238" t="n"/>
      <c r="DG33" s="238" t="n"/>
      <c r="DH33" s="238" t="n"/>
      <c r="DI33" s="238" t="n"/>
      <c r="DJ33" s="238" t="n"/>
      <c r="DK33" s="238" t="n"/>
      <c r="DL33" s="238" t="n"/>
      <c r="DM33" s="238" t="n"/>
      <c r="DN33" s="238" t="n"/>
      <c r="DO33" s="238" t="n"/>
      <c r="DP33" s="238" t="n"/>
      <c r="DQ33" s="238" t="n"/>
      <c r="DR33" s="238" t="n"/>
      <c r="DS33" s="238" t="n"/>
      <c r="DT33" s="238" t="n"/>
      <c r="DU33" s="238" t="n"/>
      <c r="DV33" s="238" t="n"/>
      <c r="DW33" s="238" t="n"/>
      <c r="DX33" s="238" t="n"/>
      <c r="DY33" s="238" t="n"/>
      <c r="DZ33" s="23" t="n"/>
      <c r="FQ33" s="212" t="n"/>
      <c r="FR33" s="212" t="n"/>
      <c r="FS33" s="212" t="n"/>
      <c r="FT33" s="212" t="n"/>
      <c r="FU33" s="212" t="n"/>
      <c r="FV33" s="212" t="n"/>
      <c r="FW33" s="212" t="n"/>
      <c r="FX33" s="212" t="n"/>
      <c r="FY33" s="212" t="n"/>
      <c r="FZ33" s="212" t="n"/>
    </row>
    <row r="34" ht="39.95" customFormat="1" customHeight="1" s="5">
      <c r="A34" s="10" t="inlineStr">
        <is>
          <t>A</t>
        </is>
      </c>
      <c r="B34" s="6" t="inlineStr">
        <is>
          <t>POSITION 'C'</t>
        </is>
      </c>
      <c r="C34" s="11" t="inlineStr">
        <is>
          <t>L</t>
        </is>
      </c>
      <c r="D34" s="433" t="inlineStr">
        <is>
          <t>ND</t>
        </is>
      </c>
      <c r="E34" s="436" t="inlineStr">
        <is>
          <t>ND</t>
        </is>
      </c>
      <c r="F34" s="436" t="inlineStr">
        <is>
          <t>ND</t>
        </is>
      </c>
      <c r="G34" s="478" t="n">
        <v>3.71</v>
      </c>
      <c r="H34" s="476" t="n">
        <v>1.07</v>
      </c>
      <c r="I34" s="442" t="inlineStr">
        <is>
          <t>ND</t>
        </is>
      </c>
      <c r="J34" s="436" t="inlineStr">
        <is>
          <t>ND</t>
        </is>
      </c>
      <c r="K34" s="436" t="n">
        <v>0.456</v>
      </c>
      <c r="L34" s="475" t="n">
        <v>2.85</v>
      </c>
      <c r="M34" s="439" t="inlineStr">
        <is>
          <t>ND</t>
        </is>
      </c>
      <c r="N34" s="442" t="inlineStr">
        <is>
          <t>ND</t>
        </is>
      </c>
      <c r="O34" s="478" t="inlineStr">
        <is>
          <t>ND</t>
        </is>
      </c>
      <c r="P34" s="436" t="n">
        <v>0.848</v>
      </c>
      <c r="Q34" s="436" t="inlineStr">
        <is>
          <t>ND</t>
        </is>
      </c>
      <c r="R34" s="439" t="inlineStr">
        <is>
          <t>ND</t>
        </is>
      </c>
      <c r="S34" s="442" t="inlineStr">
        <is>
          <t>ND</t>
        </is>
      </c>
      <c r="T34" s="436" t="inlineStr">
        <is>
          <t>ND</t>
        </is>
      </c>
      <c r="U34" s="436" t="inlineStr">
        <is>
          <t>ND</t>
        </is>
      </c>
      <c r="V34" s="436" t="inlineStr">
        <is>
          <t>ND</t>
        </is>
      </c>
      <c r="W34" s="439" t="inlineStr">
        <is>
          <t>ND</t>
        </is>
      </c>
      <c r="X34" s="442" t="inlineStr">
        <is>
          <t>ND</t>
        </is>
      </c>
      <c r="Y34" s="436" t="inlineStr">
        <is>
          <t>ND</t>
        </is>
      </c>
      <c r="Z34" s="436" t="inlineStr">
        <is>
          <t>ND</t>
        </is>
      </c>
      <c r="AA34" s="436" t="inlineStr">
        <is>
          <t>ND</t>
        </is>
      </c>
      <c r="AB34" s="439" t="inlineStr">
        <is>
          <t>ND</t>
        </is>
      </c>
      <c r="AC34" s="442" t="inlineStr">
        <is>
          <t>ND</t>
        </is>
      </c>
      <c r="AD34" s="436" t="inlineStr">
        <is>
          <t>ND</t>
        </is>
      </c>
      <c r="AE34" s="436" t="inlineStr">
        <is>
          <t>ND</t>
        </is>
      </c>
      <c r="AF34" s="436" t="inlineStr">
        <is>
          <t>ND</t>
        </is>
      </c>
      <c r="AG34" s="439" t="inlineStr">
        <is>
          <t>ND</t>
        </is>
      </c>
      <c r="AH34" s="442" t="inlineStr">
        <is>
          <t>ND</t>
        </is>
      </c>
      <c r="AI34" s="478" t="n">
        <v>2.91</v>
      </c>
      <c r="AJ34" s="478" t="n">
        <v>3.62</v>
      </c>
      <c r="AK34" s="436" t="inlineStr">
        <is>
          <t>ND</t>
        </is>
      </c>
      <c r="AL34" s="439" t="n">
        <v>0.349</v>
      </c>
      <c r="AM34" s="477" t="n">
        <v>4.91</v>
      </c>
      <c r="AN34" s="479" t="n">
        <v>1.1</v>
      </c>
      <c r="AO34" s="436" t="inlineStr">
        <is>
          <t>ND</t>
        </is>
      </c>
      <c r="AP34" s="436" t="inlineStr">
        <is>
          <t>ND</t>
        </is>
      </c>
      <c r="AQ34" s="439" t="inlineStr">
        <is>
          <t>ND</t>
        </is>
      </c>
      <c r="AR34" s="442" t="inlineStr">
        <is>
          <t>ND</t>
        </is>
      </c>
      <c r="AS34" s="436" t="inlineStr">
        <is>
          <t>ND</t>
        </is>
      </c>
      <c r="AT34" s="436" t="inlineStr">
        <is>
          <t>ND</t>
        </is>
      </c>
      <c r="AU34" s="436" t="inlineStr">
        <is>
          <t>ND</t>
        </is>
      </c>
      <c r="AV34" s="439" t="inlineStr">
        <is>
          <t>ND</t>
        </is>
      </c>
      <c r="AW34" s="442" t="inlineStr">
        <is>
          <t>ND</t>
        </is>
      </c>
      <c r="AX34" s="436" t="inlineStr">
        <is>
          <t>ND</t>
        </is>
      </c>
      <c r="AY34" s="436" t="inlineStr">
        <is>
          <t>ND</t>
        </is>
      </c>
      <c r="AZ34" s="436" t="inlineStr">
        <is>
          <t>ND</t>
        </is>
      </c>
      <c r="BA34" s="439" t="inlineStr">
        <is>
          <t>ND</t>
        </is>
      </c>
      <c r="BB34" s="442" t="inlineStr">
        <is>
          <t>ND</t>
        </is>
      </c>
      <c r="BC34" s="436" t="inlineStr">
        <is>
          <t>ND</t>
        </is>
      </c>
      <c r="BD34" s="436" t="inlineStr">
        <is>
          <t>ND</t>
        </is>
      </c>
      <c r="BE34" s="436" t="inlineStr">
        <is>
          <t>ND</t>
        </is>
      </c>
      <c r="BF34" s="439" t="inlineStr">
        <is>
          <t>ND</t>
        </is>
      </c>
      <c r="BG34" s="442" t="inlineStr">
        <is>
          <t>ND</t>
        </is>
      </c>
      <c r="BH34" s="436" t="inlineStr">
        <is>
          <t>ND</t>
        </is>
      </c>
      <c r="BI34" s="436" t="inlineStr">
        <is>
          <t>ND</t>
        </is>
      </c>
      <c r="BJ34" s="436" t="inlineStr">
        <is>
          <t>ND</t>
        </is>
      </c>
      <c r="BK34" s="439" t="inlineStr">
        <is>
          <t>ND</t>
        </is>
      </c>
      <c r="BL34" s="442" t="inlineStr">
        <is>
          <t>ND</t>
        </is>
      </c>
      <c r="BM34" s="436" t="inlineStr">
        <is>
          <t>ND</t>
        </is>
      </c>
      <c r="BN34" s="436" t="inlineStr">
        <is>
          <t>ND</t>
        </is>
      </c>
      <c r="BO34" s="436" t="inlineStr">
        <is>
          <t>ND</t>
        </is>
      </c>
      <c r="BP34" s="439" t="inlineStr">
        <is>
          <t>ND</t>
        </is>
      </c>
      <c r="BQ34" s="442" t="inlineStr">
        <is>
          <t>ND</t>
        </is>
      </c>
      <c r="BR34" s="436" t="inlineStr">
        <is>
          <t>ND</t>
        </is>
      </c>
      <c r="BS34" s="436" t="inlineStr">
        <is>
          <t>ND</t>
        </is>
      </c>
      <c r="BT34" s="439" t="inlineStr">
        <is>
          <t>ND</t>
        </is>
      </c>
      <c r="BU34" s="454">
        <f>IFERROR(AVERAGE(D34:BT36),0)</f>
        <v/>
      </c>
      <c r="BV34" s="454">
        <f>MAX(D34:BT36)</f>
        <v/>
      </c>
      <c r="BW34" s="238" t="n"/>
      <c r="BX34" s="238" t="n"/>
      <c r="BY34" s="238" t="n"/>
      <c r="BZ34" s="238" t="n"/>
      <c r="CA34" s="238" t="n"/>
      <c r="CB34" s="238" t="n"/>
      <c r="CC34" s="238" t="n"/>
      <c r="CD34" s="238" t="n"/>
      <c r="CE34" s="238" t="n"/>
      <c r="CF34" s="238" t="n"/>
      <c r="CG34" s="238" t="n"/>
      <c r="CH34" s="238" t="n"/>
      <c r="CI34" s="238" t="n"/>
      <c r="CJ34" s="238" t="n"/>
      <c r="CK34" s="238" t="n"/>
      <c r="CL34" s="238" t="n"/>
      <c r="CM34" s="238" t="n"/>
      <c r="CN34" s="238" t="n"/>
      <c r="CO34" s="238" t="n"/>
      <c r="CP34" s="238" t="n"/>
      <c r="CQ34" s="238" t="n"/>
      <c r="CR34" s="238" t="n"/>
      <c r="CS34" s="238" t="n"/>
      <c r="CT34" s="238" t="n"/>
      <c r="CU34" s="238" t="n"/>
      <c r="CV34" s="238" t="n"/>
      <c r="CW34" s="238" t="n"/>
      <c r="CX34" s="238" t="n"/>
      <c r="CY34" s="238" t="n"/>
      <c r="CZ34" s="238" t="n"/>
      <c r="DA34" s="238" t="n"/>
      <c r="DB34" s="238" t="n"/>
      <c r="DC34" s="238" t="n"/>
      <c r="DD34" s="238" t="n"/>
      <c r="DE34" s="238" t="n"/>
      <c r="DF34" s="238" t="n"/>
      <c r="DG34" s="238" t="n"/>
      <c r="DH34" s="238" t="n"/>
      <c r="DI34" s="238" t="n"/>
      <c r="DJ34" s="238" t="n"/>
      <c r="DK34" s="238" t="n"/>
      <c r="DL34" s="238" t="n"/>
      <c r="DM34" s="238" t="n"/>
      <c r="DN34" s="238" t="n"/>
      <c r="DO34" s="238" t="n"/>
      <c r="DP34" s="238" t="n"/>
      <c r="DQ34" s="238" t="n"/>
      <c r="DR34" s="238" t="n"/>
      <c r="DS34" s="238" t="n"/>
      <c r="DT34" s="238" t="n"/>
      <c r="DU34" s="238" t="n"/>
      <c r="DV34" s="238" t="n"/>
      <c r="DW34" s="238" t="n"/>
      <c r="DX34" s="238" t="n"/>
      <c r="DY34" s="238" t="n"/>
      <c r="DZ34" s="23" t="n"/>
      <c r="FQ34" s="212" t="n"/>
      <c r="FR34" s="212" t="n"/>
      <c r="FS34" s="212" t="n"/>
      <c r="FT34" s="212" t="n"/>
      <c r="FU34" s="212" t="n"/>
      <c r="FV34" s="212" t="n"/>
      <c r="FW34" s="212" t="n"/>
      <c r="FX34" s="212" t="n"/>
      <c r="FY34" s="212" t="n"/>
      <c r="FZ34" s="212" t="n"/>
    </row>
    <row r="35" ht="39.95" customFormat="1" customHeight="1" s="5">
      <c r="A35" s="182" t="inlineStr"/>
      <c r="B35" s="7" t="inlineStr">
        <is>
          <t>OF THE MANWAY</t>
        </is>
      </c>
      <c r="C35" s="11" t="inlineStr">
        <is>
          <t>C</t>
        </is>
      </c>
      <c r="D35" s="434" t="inlineStr">
        <is>
          <t>ND</t>
        </is>
      </c>
      <c r="E35" s="437" t="inlineStr">
        <is>
          <t>ND</t>
        </is>
      </c>
      <c r="F35" s="437" t="inlineStr">
        <is>
          <t>ND</t>
        </is>
      </c>
      <c r="G35" s="485" t="n">
        <v>2.48</v>
      </c>
      <c r="H35" s="440" t="inlineStr">
        <is>
          <t>ND</t>
        </is>
      </c>
      <c r="I35" s="443" t="inlineStr">
        <is>
          <t>ND</t>
        </is>
      </c>
      <c r="J35" s="437" t="inlineStr">
        <is>
          <t>ND</t>
        </is>
      </c>
      <c r="K35" s="437" t="inlineStr">
        <is>
          <t>ND</t>
        </is>
      </c>
      <c r="L35" s="437" t="n">
        <v>0.967</v>
      </c>
      <c r="M35" s="440" t="inlineStr">
        <is>
          <t>ND</t>
        </is>
      </c>
      <c r="N35" s="443" t="inlineStr">
        <is>
          <t>ND</t>
        </is>
      </c>
      <c r="O35" s="485" t="n">
        <v>2.58</v>
      </c>
      <c r="P35" s="485" t="inlineStr">
        <is>
          <t>ND</t>
        </is>
      </c>
      <c r="Q35" s="437" t="inlineStr">
        <is>
          <t>ND</t>
        </is>
      </c>
      <c r="R35" s="440" t="inlineStr">
        <is>
          <t>ND</t>
        </is>
      </c>
      <c r="S35" s="443" t="inlineStr">
        <is>
          <t>ND</t>
        </is>
      </c>
      <c r="T35" s="437" t="inlineStr">
        <is>
          <t>ND</t>
        </is>
      </c>
      <c r="U35" s="437" t="inlineStr">
        <is>
          <t>ND</t>
        </is>
      </c>
      <c r="V35" s="437" t="inlineStr">
        <is>
          <t>ND</t>
        </is>
      </c>
      <c r="W35" s="440" t="inlineStr">
        <is>
          <t>ND</t>
        </is>
      </c>
      <c r="X35" s="443" t="inlineStr">
        <is>
          <t>ND</t>
        </is>
      </c>
      <c r="Y35" s="437" t="inlineStr">
        <is>
          <t>ND</t>
        </is>
      </c>
      <c r="Z35" s="437" t="inlineStr">
        <is>
          <t>ND</t>
        </is>
      </c>
      <c r="AA35" s="437" t="inlineStr">
        <is>
          <t>ND</t>
        </is>
      </c>
      <c r="AB35" s="440" t="inlineStr">
        <is>
          <t>ND</t>
        </is>
      </c>
      <c r="AC35" s="443" t="inlineStr">
        <is>
          <t>ND</t>
        </is>
      </c>
      <c r="AD35" s="437" t="inlineStr">
        <is>
          <t>ND</t>
        </is>
      </c>
      <c r="AE35" s="437" t="inlineStr">
        <is>
          <t>ND</t>
        </is>
      </c>
      <c r="AF35" s="437" t="inlineStr">
        <is>
          <t>ND</t>
        </is>
      </c>
      <c r="AG35" s="440" t="inlineStr">
        <is>
          <t>ND</t>
        </is>
      </c>
      <c r="AH35" s="443" t="inlineStr">
        <is>
          <t>ND</t>
        </is>
      </c>
      <c r="AI35" s="122" t="n">
        <v>0.095</v>
      </c>
      <c r="AJ35" s="437" t="n">
        <v>0.5649999999999999</v>
      </c>
      <c r="AK35" s="486" t="n">
        <v>1.68</v>
      </c>
      <c r="AL35" s="440" t="n">
        <v>0.546</v>
      </c>
      <c r="AM35" s="443" t="inlineStr">
        <is>
          <t>ND</t>
        </is>
      </c>
      <c r="AN35" s="485" t="n">
        <v>4.63</v>
      </c>
      <c r="AO35" s="437" t="inlineStr">
        <is>
          <t>ND</t>
        </is>
      </c>
      <c r="AP35" s="437" t="inlineStr">
        <is>
          <t>ND</t>
        </is>
      </c>
      <c r="AQ35" s="440" t="inlineStr">
        <is>
          <t>ND</t>
        </is>
      </c>
      <c r="AR35" s="443" t="inlineStr">
        <is>
          <t>ND</t>
        </is>
      </c>
      <c r="AS35" s="437" t="inlineStr">
        <is>
          <t>ND</t>
        </is>
      </c>
      <c r="AT35" s="437" t="inlineStr">
        <is>
          <t>ND</t>
        </is>
      </c>
      <c r="AU35" s="437" t="inlineStr">
        <is>
          <t>ND</t>
        </is>
      </c>
      <c r="AV35" s="440" t="inlineStr">
        <is>
          <t>ND</t>
        </is>
      </c>
      <c r="AW35" s="443" t="inlineStr">
        <is>
          <t>ND</t>
        </is>
      </c>
      <c r="AX35" s="437" t="inlineStr">
        <is>
          <t>ND</t>
        </is>
      </c>
      <c r="AY35" s="437" t="inlineStr">
        <is>
          <t>ND</t>
        </is>
      </c>
      <c r="AZ35" s="437" t="inlineStr">
        <is>
          <t>ND</t>
        </is>
      </c>
      <c r="BA35" s="440" t="inlineStr">
        <is>
          <t>ND</t>
        </is>
      </c>
      <c r="BB35" s="443" t="inlineStr">
        <is>
          <t>ND</t>
        </is>
      </c>
      <c r="BC35" s="437" t="inlineStr">
        <is>
          <t>ND</t>
        </is>
      </c>
      <c r="BD35" s="437" t="inlineStr">
        <is>
          <t>ND</t>
        </is>
      </c>
      <c r="BE35" s="437" t="inlineStr">
        <is>
          <t>ND</t>
        </is>
      </c>
      <c r="BF35" s="440" t="inlineStr">
        <is>
          <t>ND</t>
        </is>
      </c>
      <c r="BG35" s="443" t="inlineStr">
        <is>
          <t>ND</t>
        </is>
      </c>
      <c r="BH35" s="437" t="inlineStr">
        <is>
          <t>ND</t>
        </is>
      </c>
      <c r="BI35" s="437" t="inlineStr">
        <is>
          <t>ND</t>
        </is>
      </c>
      <c r="BJ35" s="437" t="inlineStr">
        <is>
          <t>ND</t>
        </is>
      </c>
      <c r="BK35" s="440" t="inlineStr">
        <is>
          <t>ND</t>
        </is>
      </c>
      <c r="BL35" s="443" t="inlineStr">
        <is>
          <t>ND</t>
        </is>
      </c>
      <c r="BM35" s="437" t="inlineStr">
        <is>
          <t>ND</t>
        </is>
      </c>
      <c r="BN35" s="437" t="inlineStr">
        <is>
          <t>ND</t>
        </is>
      </c>
      <c r="BO35" s="437" t="inlineStr">
        <is>
          <t>ND</t>
        </is>
      </c>
      <c r="BP35" s="440" t="inlineStr">
        <is>
          <t>ND</t>
        </is>
      </c>
      <c r="BQ35" s="443" t="inlineStr">
        <is>
          <t>ND</t>
        </is>
      </c>
      <c r="BR35" s="437" t="inlineStr">
        <is>
          <t>ND</t>
        </is>
      </c>
      <c r="BS35" s="437" t="inlineStr">
        <is>
          <t>ND</t>
        </is>
      </c>
      <c r="BT35" s="440" t="inlineStr">
        <is>
          <t>ND</t>
        </is>
      </c>
      <c r="BU35" s="455" t="n"/>
      <c r="BV35" s="455" t="n"/>
      <c r="BW35" s="238" t="n"/>
      <c r="BX35" s="238" t="n"/>
      <c r="BY35" s="238" t="n"/>
      <c r="BZ35" s="238" t="n"/>
      <c r="CA35" s="238" t="n"/>
      <c r="CB35" s="238" t="n"/>
      <c r="CC35" s="238" t="n"/>
      <c r="CD35" s="238" t="n"/>
      <c r="CE35" s="238" t="n"/>
      <c r="CF35" s="238" t="n"/>
      <c r="CG35" s="238" t="n"/>
      <c r="CH35" s="238" t="n"/>
      <c r="CI35" s="238" t="n"/>
      <c r="CJ35" s="238" t="n"/>
      <c r="CK35" s="238" t="n"/>
      <c r="CL35" s="238" t="n"/>
      <c r="CM35" s="238" t="n"/>
      <c r="CN35" s="238" t="n"/>
      <c r="CO35" s="238" t="n"/>
      <c r="CP35" s="238" t="n"/>
      <c r="CQ35" s="238" t="n"/>
      <c r="CR35" s="238" t="n"/>
      <c r="CS35" s="238" t="n"/>
      <c r="CT35" s="238" t="n"/>
      <c r="CU35" s="238" t="n"/>
      <c r="CV35" s="238" t="n"/>
      <c r="CW35" s="238" t="n"/>
      <c r="CX35" s="238" t="n"/>
      <c r="CY35" s="238" t="n"/>
      <c r="CZ35" s="238" t="n"/>
      <c r="DA35" s="238" t="n"/>
      <c r="DB35" s="238" t="n"/>
      <c r="DC35" s="238" t="n"/>
      <c r="DD35" s="238" t="n"/>
      <c r="DE35" s="238" t="n"/>
      <c r="DF35" s="238" t="n"/>
      <c r="DG35" s="238" t="n"/>
      <c r="DH35" s="238" t="n"/>
      <c r="DI35" s="238" t="n"/>
      <c r="DJ35" s="238" t="n"/>
      <c r="DK35" s="238" t="n"/>
      <c r="DL35" s="238" t="n"/>
      <c r="DM35" s="238" t="n"/>
      <c r="DN35" s="238" t="n"/>
      <c r="DO35" s="238" t="n"/>
      <c r="DP35" s="238" t="n"/>
      <c r="DQ35" s="238" t="n"/>
      <c r="DR35" s="238" t="n"/>
      <c r="DS35" s="238" t="n"/>
      <c r="DT35" s="238" t="n"/>
      <c r="DU35" s="238" t="n"/>
      <c r="DV35" s="238" t="n"/>
      <c r="DW35" s="238" t="n"/>
      <c r="DX35" s="238" t="n"/>
      <c r="DY35" s="238" t="n"/>
      <c r="DZ35" s="23" t="n"/>
      <c r="FQ35" s="212" t="n"/>
      <c r="FR35" s="212" t="n"/>
      <c r="FS35" s="212" t="n"/>
      <c r="FT35" s="212" t="n"/>
      <c r="FU35" s="212" t="n"/>
      <c r="FV35" s="212" t="n"/>
      <c r="FW35" s="212" t="n"/>
      <c r="FX35" s="212" t="n"/>
      <c r="FY35" s="212" t="n"/>
      <c r="FZ35" s="212" t="n"/>
    </row>
    <row r="36" ht="39.95" customFormat="1" customHeight="1" s="5">
      <c r="A36" s="456" t="n"/>
      <c r="B36" s="8" t="inlineStr">
        <is>
          <t>&amp; OSCILLATOR</t>
        </is>
      </c>
      <c r="C36" s="12" t="inlineStr">
        <is>
          <t>R</t>
        </is>
      </c>
      <c r="D36" s="435" t="inlineStr">
        <is>
          <t>ND</t>
        </is>
      </c>
      <c r="E36" s="438" t="inlineStr">
        <is>
          <t>ND</t>
        </is>
      </c>
      <c r="F36" s="438" t="inlineStr">
        <is>
          <t>ND</t>
        </is>
      </c>
      <c r="G36" s="494" t="n">
        <v>2.28</v>
      </c>
      <c r="H36" s="495" t="n">
        <v>1.71</v>
      </c>
      <c r="I36" s="444" t="inlineStr">
        <is>
          <t>ND</t>
        </is>
      </c>
      <c r="J36" s="438" t="inlineStr">
        <is>
          <t>ND</t>
        </is>
      </c>
      <c r="K36" s="438" t="n">
        <v>0.168</v>
      </c>
      <c r="L36" s="438" t="inlineStr">
        <is>
          <t>ND</t>
        </is>
      </c>
      <c r="M36" s="441" t="inlineStr">
        <is>
          <t>ND</t>
        </is>
      </c>
      <c r="N36" s="444" t="inlineStr">
        <is>
          <t>ND</t>
        </is>
      </c>
      <c r="O36" s="494" t="n">
        <v>1.91</v>
      </c>
      <c r="P36" s="438" t="inlineStr">
        <is>
          <t>ND</t>
        </is>
      </c>
      <c r="Q36" s="438" t="inlineStr">
        <is>
          <t>ND</t>
        </is>
      </c>
      <c r="R36" s="441" t="inlineStr">
        <is>
          <t>ND</t>
        </is>
      </c>
      <c r="S36" s="444" t="inlineStr">
        <is>
          <t>ND</t>
        </is>
      </c>
      <c r="T36" s="438" t="inlineStr">
        <is>
          <t>ND</t>
        </is>
      </c>
      <c r="U36" s="438" t="inlineStr">
        <is>
          <t>ND</t>
        </is>
      </c>
      <c r="V36" s="438" t="inlineStr">
        <is>
          <t>ND</t>
        </is>
      </c>
      <c r="W36" s="441" t="inlineStr">
        <is>
          <t>ND</t>
        </is>
      </c>
      <c r="X36" s="444" t="inlineStr">
        <is>
          <t>ND</t>
        </is>
      </c>
      <c r="Y36" s="438" t="inlineStr">
        <is>
          <t>ND</t>
        </is>
      </c>
      <c r="Z36" s="438" t="inlineStr">
        <is>
          <t>ND</t>
        </is>
      </c>
      <c r="AA36" s="438" t="inlineStr">
        <is>
          <t>ND</t>
        </is>
      </c>
      <c r="AB36" s="441" t="inlineStr">
        <is>
          <t>ND</t>
        </is>
      </c>
      <c r="AC36" s="444" t="inlineStr">
        <is>
          <t>ND</t>
        </is>
      </c>
      <c r="AD36" s="438" t="inlineStr">
        <is>
          <t>ND</t>
        </is>
      </c>
      <c r="AE36" s="438" t="inlineStr">
        <is>
          <t>ND</t>
        </is>
      </c>
      <c r="AF36" s="438" t="inlineStr">
        <is>
          <t>ND</t>
        </is>
      </c>
      <c r="AG36" s="441" t="inlineStr">
        <is>
          <t>ND</t>
        </is>
      </c>
      <c r="AH36" s="444" t="inlineStr">
        <is>
          <t>ND</t>
        </is>
      </c>
      <c r="AI36" s="494" t="n">
        <v>3.22</v>
      </c>
      <c r="AJ36" s="492" t="n">
        <v>1.5</v>
      </c>
      <c r="AK36" s="497" t="n">
        <v>3.59</v>
      </c>
      <c r="AL36" s="441" t="n">
        <v>0.971</v>
      </c>
      <c r="AM36" s="496" t="n">
        <v>3.83</v>
      </c>
      <c r="AN36" s="494" t="inlineStr">
        <is>
          <t>ND</t>
        </is>
      </c>
      <c r="AO36" s="438" t="inlineStr">
        <is>
          <t>ND</t>
        </is>
      </c>
      <c r="AP36" s="438" t="inlineStr">
        <is>
          <t>ND</t>
        </is>
      </c>
      <c r="AQ36" s="441" t="inlineStr">
        <is>
          <t>ND</t>
        </is>
      </c>
      <c r="AR36" s="444" t="inlineStr">
        <is>
          <t>ND</t>
        </is>
      </c>
      <c r="AS36" s="438" t="inlineStr">
        <is>
          <t>ND</t>
        </is>
      </c>
      <c r="AT36" s="438" t="inlineStr">
        <is>
          <t>ND</t>
        </is>
      </c>
      <c r="AU36" s="438" t="inlineStr">
        <is>
          <t>ND</t>
        </is>
      </c>
      <c r="AV36" s="441" t="inlineStr">
        <is>
          <t>ND</t>
        </is>
      </c>
      <c r="AW36" s="444" t="inlineStr">
        <is>
          <t>ND</t>
        </is>
      </c>
      <c r="AX36" s="438" t="inlineStr">
        <is>
          <t>ND</t>
        </is>
      </c>
      <c r="AY36" s="438" t="inlineStr">
        <is>
          <t>ND</t>
        </is>
      </c>
      <c r="AZ36" s="438" t="inlineStr">
        <is>
          <t>ND</t>
        </is>
      </c>
      <c r="BA36" s="441" t="inlineStr">
        <is>
          <t>ND</t>
        </is>
      </c>
      <c r="BB36" s="444" t="inlineStr">
        <is>
          <t>ND</t>
        </is>
      </c>
      <c r="BC36" s="438" t="inlineStr">
        <is>
          <t>ND</t>
        </is>
      </c>
      <c r="BD36" s="438" t="inlineStr">
        <is>
          <t>ND</t>
        </is>
      </c>
      <c r="BE36" s="438" t="inlineStr">
        <is>
          <t>ND</t>
        </is>
      </c>
      <c r="BF36" s="441" t="inlineStr">
        <is>
          <t>ND</t>
        </is>
      </c>
      <c r="BG36" s="444" t="inlineStr">
        <is>
          <t>ND</t>
        </is>
      </c>
      <c r="BH36" s="438" t="inlineStr">
        <is>
          <t>ND</t>
        </is>
      </c>
      <c r="BI36" s="438" t="inlineStr">
        <is>
          <t>ND</t>
        </is>
      </c>
      <c r="BJ36" s="438" t="inlineStr">
        <is>
          <t>ND</t>
        </is>
      </c>
      <c r="BK36" s="441" t="inlineStr">
        <is>
          <t>ND</t>
        </is>
      </c>
      <c r="BL36" s="444" t="inlineStr">
        <is>
          <t>ND</t>
        </is>
      </c>
      <c r="BM36" s="438" t="inlineStr">
        <is>
          <t>ND</t>
        </is>
      </c>
      <c r="BN36" s="438" t="inlineStr">
        <is>
          <t>ND</t>
        </is>
      </c>
      <c r="BO36" s="438" t="inlineStr">
        <is>
          <t>ND</t>
        </is>
      </c>
      <c r="BP36" s="441" t="inlineStr">
        <is>
          <t>ND</t>
        </is>
      </c>
      <c r="BQ36" s="444" t="inlineStr">
        <is>
          <t>ND</t>
        </is>
      </c>
      <c r="BR36" s="438" t="inlineStr">
        <is>
          <t>ND</t>
        </is>
      </c>
      <c r="BS36" s="438" t="inlineStr">
        <is>
          <t>ND</t>
        </is>
      </c>
      <c r="BT36" s="441" t="inlineStr">
        <is>
          <t>ND</t>
        </is>
      </c>
      <c r="BU36" s="457" t="n"/>
      <c r="BV36" s="457" t="n"/>
      <c r="BW36" s="238" t="n"/>
      <c r="BX36" s="238" t="n"/>
      <c r="BY36" s="238" t="n"/>
      <c r="BZ36" s="238" t="n"/>
      <c r="CA36" s="238" t="n"/>
      <c r="CB36" s="238" t="n"/>
      <c r="CC36" s="238" t="n"/>
      <c r="CD36" s="238" t="n"/>
      <c r="CE36" s="238" t="n"/>
      <c r="CF36" s="238" t="n"/>
      <c r="CG36" s="238" t="n"/>
      <c r="CH36" s="238" t="n"/>
      <c r="CI36" s="238" t="n"/>
      <c r="CJ36" s="238" t="n"/>
      <c r="CK36" s="238" t="n"/>
      <c r="CL36" s="238" t="n"/>
      <c r="CM36" s="238" t="n"/>
      <c r="CN36" s="238" t="n"/>
      <c r="CO36" s="238" t="n"/>
      <c r="CP36" s="238" t="n"/>
      <c r="CQ36" s="238" t="n"/>
      <c r="CR36" s="238" t="n"/>
      <c r="CS36" s="238" t="n"/>
      <c r="CT36" s="238" t="n"/>
      <c r="CU36" s="238" t="n"/>
      <c r="CV36" s="238" t="n"/>
      <c r="CW36" s="238" t="n"/>
      <c r="CX36" s="238" t="n"/>
      <c r="CY36" s="238" t="n"/>
      <c r="CZ36" s="238" t="n"/>
      <c r="DA36" s="238" t="n"/>
      <c r="DB36" s="238" t="n"/>
      <c r="DC36" s="238" t="n"/>
      <c r="DD36" s="238" t="n"/>
      <c r="DE36" s="238" t="n"/>
      <c r="DF36" s="238" t="n"/>
      <c r="DG36" s="238" t="n"/>
      <c r="DH36" s="238" t="n"/>
      <c r="DI36" s="238" t="n"/>
      <c r="DJ36" s="238" t="n"/>
      <c r="DK36" s="238" t="n"/>
      <c r="DL36" s="238" t="n"/>
      <c r="DM36" s="238" t="n"/>
      <c r="DN36" s="238" t="n"/>
      <c r="DO36" s="238" t="n"/>
      <c r="DP36" s="238" t="n"/>
      <c r="DQ36" s="238" t="n"/>
      <c r="DR36" s="238" t="n"/>
      <c r="DS36" s="238" t="n"/>
      <c r="DT36" s="238" t="n"/>
      <c r="DU36" s="238" t="n"/>
      <c r="DV36" s="238" t="n"/>
      <c r="DW36" s="238" t="n"/>
      <c r="DX36" s="238" t="n"/>
      <c r="DY36" s="238" t="n"/>
      <c r="DZ36" s="23" t="n"/>
      <c r="FQ36" s="212" t="n"/>
      <c r="FR36" s="212" t="n"/>
      <c r="FS36" s="212" t="n"/>
      <c r="FT36" s="212" t="n"/>
      <c r="FU36" s="212" t="n"/>
      <c r="FV36" s="212" t="n"/>
      <c r="FW36" s="212" t="n"/>
      <c r="FX36" s="212" t="n"/>
      <c r="FY36" s="212" t="n"/>
      <c r="FZ36" s="212" t="n"/>
    </row>
    <row r="37" ht="39.95" customFormat="1" customHeight="1" s="5">
      <c r="A37" s="10" t="inlineStr">
        <is>
          <t>A</t>
        </is>
      </c>
      <c r="B37" s="6" t="inlineStr">
        <is>
          <t>POSITION 'D'</t>
        </is>
      </c>
      <c r="C37" s="11" t="inlineStr">
        <is>
          <t>L</t>
        </is>
      </c>
      <c r="D37" s="433" t="inlineStr">
        <is>
          <t>ND</t>
        </is>
      </c>
      <c r="E37" s="436" t="inlineStr">
        <is>
          <t>ND</t>
        </is>
      </c>
      <c r="F37" s="436" t="inlineStr">
        <is>
          <t>ND</t>
        </is>
      </c>
      <c r="G37" s="478" t="n">
        <v>1.78</v>
      </c>
      <c r="H37" s="480" t="n">
        <v>1.18</v>
      </c>
      <c r="I37" s="442" t="inlineStr">
        <is>
          <t>ND</t>
        </is>
      </c>
      <c r="J37" s="436" t="inlineStr">
        <is>
          <t>ND</t>
        </is>
      </c>
      <c r="K37" s="478" t="n">
        <v>7.51</v>
      </c>
      <c r="L37" s="475" t="n">
        <v>3.38</v>
      </c>
      <c r="M37" s="439" t="n">
        <v>0.9399999999999999</v>
      </c>
      <c r="N37" s="442" t="inlineStr">
        <is>
          <t>ND</t>
        </is>
      </c>
      <c r="O37" s="436" t="inlineStr">
        <is>
          <t>ND</t>
        </is>
      </c>
      <c r="P37" s="479" t="n">
        <v>1.8</v>
      </c>
      <c r="Q37" s="436" t="inlineStr">
        <is>
          <t>ND</t>
        </is>
      </c>
      <c r="R37" s="439" t="inlineStr">
        <is>
          <t>ND</t>
        </is>
      </c>
      <c r="S37" s="442" t="inlineStr">
        <is>
          <t>ND</t>
        </is>
      </c>
      <c r="T37" s="436" t="inlineStr">
        <is>
          <t>ND</t>
        </is>
      </c>
      <c r="U37" s="436" t="inlineStr">
        <is>
          <t>ND</t>
        </is>
      </c>
      <c r="V37" s="436" t="inlineStr">
        <is>
          <t>ND</t>
        </is>
      </c>
      <c r="W37" s="439" t="inlineStr">
        <is>
          <t>ND</t>
        </is>
      </c>
      <c r="X37" s="442" t="inlineStr">
        <is>
          <t>ND</t>
        </is>
      </c>
      <c r="Y37" s="436" t="inlineStr">
        <is>
          <t>ND</t>
        </is>
      </c>
      <c r="Z37" s="436" t="inlineStr">
        <is>
          <t>ND</t>
        </is>
      </c>
      <c r="AA37" s="436" t="inlineStr">
        <is>
          <t>ND</t>
        </is>
      </c>
      <c r="AB37" s="439" t="inlineStr">
        <is>
          <t>ND</t>
        </is>
      </c>
      <c r="AC37" s="442" t="inlineStr">
        <is>
          <t>ND</t>
        </is>
      </c>
      <c r="AD37" s="436" t="inlineStr">
        <is>
          <t>ND</t>
        </is>
      </c>
      <c r="AE37" s="436" t="inlineStr">
        <is>
          <t>ND</t>
        </is>
      </c>
      <c r="AF37" s="436" t="inlineStr">
        <is>
          <t>ND</t>
        </is>
      </c>
      <c r="AG37" s="439" t="inlineStr">
        <is>
          <t>ND</t>
        </is>
      </c>
      <c r="AH37" s="442" t="inlineStr">
        <is>
          <t>ND</t>
        </is>
      </c>
      <c r="AI37" s="478" t="n">
        <v>2.17</v>
      </c>
      <c r="AJ37" s="479" t="n">
        <v>1.1</v>
      </c>
      <c r="AK37" s="478" t="n">
        <v>3.67</v>
      </c>
      <c r="AL37" s="439" t="inlineStr">
        <is>
          <t>ND</t>
        </is>
      </c>
      <c r="AM37" s="477" t="n">
        <v>7.85</v>
      </c>
      <c r="AN37" s="531" t="n">
        <v>12.2</v>
      </c>
      <c r="AO37" s="436" t="inlineStr">
        <is>
          <t>ND</t>
        </is>
      </c>
      <c r="AP37" s="436" t="inlineStr">
        <is>
          <t>ND</t>
        </is>
      </c>
      <c r="AQ37" s="439" t="inlineStr">
        <is>
          <t>ND</t>
        </is>
      </c>
      <c r="AR37" s="442" t="inlineStr">
        <is>
          <t>ND</t>
        </is>
      </c>
      <c r="AS37" s="436" t="inlineStr">
        <is>
          <t>ND</t>
        </is>
      </c>
      <c r="AT37" s="436" t="inlineStr">
        <is>
          <t>ND</t>
        </is>
      </c>
      <c r="AU37" s="436" t="inlineStr">
        <is>
          <t>ND</t>
        </is>
      </c>
      <c r="AV37" s="439" t="inlineStr">
        <is>
          <t>ND</t>
        </is>
      </c>
      <c r="AW37" s="442" t="inlineStr">
        <is>
          <t>ND</t>
        </is>
      </c>
      <c r="AX37" s="436" t="inlineStr">
        <is>
          <t>ND</t>
        </is>
      </c>
      <c r="AY37" s="436" t="inlineStr">
        <is>
          <t>ND</t>
        </is>
      </c>
      <c r="AZ37" s="436" t="inlineStr">
        <is>
          <t>ND</t>
        </is>
      </c>
      <c r="BA37" s="439" t="inlineStr">
        <is>
          <t>ND</t>
        </is>
      </c>
      <c r="BB37" s="442" t="inlineStr">
        <is>
          <t>ND</t>
        </is>
      </c>
      <c r="BC37" s="436" t="inlineStr">
        <is>
          <t>ND</t>
        </is>
      </c>
      <c r="BD37" s="436" t="inlineStr">
        <is>
          <t>ND</t>
        </is>
      </c>
      <c r="BE37" s="436" t="inlineStr">
        <is>
          <t>ND</t>
        </is>
      </c>
      <c r="BF37" s="439" t="inlineStr">
        <is>
          <t>ND</t>
        </is>
      </c>
      <c r="BG37" s="442" t="inlineStr">
        <is>
          <t>ND</t>
        </is>
      </c>
      <c r="BH37" s="436" t="inlineStr">
        <is>
          <t>ND</t>
        </is>
      </c>
      <c r="BI37" s="436" t="inlineStr">
        <is>
          <t>ND</t>
        </is>
      </c>
      <c r="BJ37" s="436" t="inlineStr">
        <is>
          <t>ND</t>
        </is>
      </c>
      <c r="BK37" s="439" t="inlineStr">
        <is>
          <t>ND</t>
        </is>
      </c>
      <c r="BL37" s="442" t="inlineStr">
        <is>
          <t>ND</t>
        </is>
      </c>
      <c r="BM37" s="436" t="inlineStr">
        <is>
          <t>ND</t>
        </is>
      </c>
      <c r="BN37" s="436" t="inlineStr">
        <is>
          <t>ND</t>
        </is>
      </c>
      <c r="BO37" s="436" t="inlineStr">
        <is>
          <t>ND</t>
        </is>
      </c>
      <c r="BP37" s="439" t="inlineStr">
        <is>
          <t>ND</t>
        </is>
      </c>
      <c r="BQ37" s="442" t="inlineStr">
        <is>
          <t>ND</t>
        </is>
      </c>
      <c r="BR37" s="436" t="inlineStr">
        <is>
          <t>ND</t>
        </is>
      </c>
      <c r="BS37" s="436" t="inlineStr">
        <is>
          <t>ND</t>
        </is>
      </c>
      <c r="BT37" s="439" t="inlineStr">
        <is>
          <t>ND</t>
        </is>
      </c>
      <c r="BU37" s="454">
        <f>IFERROR(AVERAGE(D37:BT39),0)</f>
        <v/>
      </c>
      <c r="BV37" s="454">
        <f>MAX(D37:BT39)</f>
        <v/>
      </c>
      <c r="BW37" s="238" t="n"/>
      <c r="BX37" s="238" t="n"/>
      <c r="BY37" s="238" t="n"/>
      <c r="BZ37" s="238" t="n"/>
      <c r="CA37" s="238" t="n"/>
      <c r="CB37" s="238" t="n"/>
      <c r="CC37" s="238" t="n"/>
      <c r="CD37" s="238" t="n"/>
      <c r="CE37" s="238" t="n"/>
      <c r="CF37" s="238" t="n"/>
      <c r="CG37" s="238" t="n"/>
      <c r="CH37" s="238" t="n"/>
      <c r="CI37" s="238" t="n"/>
      <c r="CJ37" s="238" t="n"/>
      <c r="CK37" s="238" t="n"/>
      <c r="CL37" s="238" t="n"/>
      <c r="CM37" s="238" t="n"/>
      <c r="CN37" s="238" t="n"/>
      <c r="CO37" s="238" t="n"/>
      <c r="CP37" s="238" t="n"/>
      <c r="CQ37" s="238" t="n"/>
      <c r="CR37" s="238" t="n"/>
      <c r="CS37" s="238" t="n"/>
      <c r="CT37" s="238" t="n"/>
      <c r="CU37" s="238" t="n"/>
      <c r="CV37" s="238" t="n"/>
      <c r="CW37" s="238" t="n"/>
      <c r="CX37" s="238" t="n"/>
      <c r="CY37" s="238" t="n"/>
      <c r="CZ37" s="238" t="n"/>
      <c r="DA37" s="238" t="n"/>
      <c r="DB37" s="238" t="n"/>
      <c r="DC37" s="238" t="n"/>
      <c r="DD37" s="238" t="n"/>
      <c r="DE37" s="238" t="n"/>
      <c r="DF37" s="238" t="n"/>
      <c r="DG37" s="238" t="n"/>
      <c r="DH37" s="238" t="n"/>
      <c r="DI37" s="238" t="n"/>
      <c r="DJ37" s="238" t="n"/>
      <c r="DK37" s="238" t="n"/>
      <c r="DL37" s="238" t="n"/>
      <c r="DM37" s="238" t="n"/>
      <c r="DN37" s="238" t="n"/>
      <c r="DO37" s="238" t="n"/>
      <c r="DP37" s="238" t="n"/>
      <c r="DQ37" s="238" t="n"/>
      <c r="DR37" s="238" t="n"/>
      <c r="DS37" s="238" t="n"/>
      <c r="DT37" s="238" t="n"/>
      <c r="DU37" s="238" t="n"/>
      <c r="DV37" s="238" t="n"/>
      <c r="DW37" s="238" t="n"/>
      <c r="DX37" s="238" t="n"/>
      <c r="DY37" s="238" t="n"/>
      <c r="DZ37" s="23" t="n"/>
      <c r="FQ37" s="212" t="n"/>
      <c r="FR37" s="212" t="n"/>
      <c r="FS37" s="212" t="n"/>
      <c r="FT37" s="212" t="n"/>
      <c r="FU37" s="212" t="n"/>
      <c r="FV37" s="212" t="n"/>
      <c r="FW37" s="212" t="n"/>
      <c r="FX37" s="212" t="n"/>
      <c r="FY37" s="212" t="n"/>
      <c r="FZ37" s="212" t="n"/>
    </row>
    <row r="38" ht="39.95" customFormat="1" customHeight="1" s="5">
      <c r="A38" s="182" t="inlineStr"/>
      <c r="B38" s="7" t="inlineStr">
        <is>
          <t>OF THE MANWAY</t>
        </is>
      </c>
      <c r="C38" s="11" t="inlineStr">
        <is>
          <t>C</t>
        </is>
      </c>
      <c r="D38" s="434" t="inlineStr">
        <is>
          <t>ND</t>
        </is>
      </c>
      <c r="E38" s="437" t="inlineStr">
        <is>
          <t>ND</t>
        </is>
      </c>
      <c r="F38" s="437" t="inlineStr">
        <is>
          <t>ND</t>
        </is>
      </c>
      <c r="G38" s="437" t="n">
        <v>0.165</v>
      </c>
      <c r="H38" s="489" t="n">
        <v>1.87</v>
      </c>
      <c r="I38" s="443" t="inlineStr">
        <is>
          <t>ND</t>
        </is>
      </c>
      <c r="J38" s="437" t="inlineStr">
        <is>
          <t>ND</t>
        </is>
      </c>
      <c r="K38" s="536" t="n">
        <v>10</v>
      </c>
      <c r="L38" s="502" t="n">
        <v>2.9</v>
      </c>
      <c r="M38" s="440" t="inlineStr">
        <is>
          <t>ND</t>
        </is>
      </c>
      <c r="N38" s="443" t="inlineStr">
        <is>
          <t>ND</t>
        </is>
      </c>
      <c r="O38" s="437" t="n">
        <v>0.358</v>
      </c>
      <c r="P38" s="485" t="n">
        <v>4.92</v>
      </c>
      <c r="Q38" s="437" t="inlineStr">
        <is>
          <t>ND</t>
        </is>
      </c>
      <c r="R38" s="440" t="inlineStr">
        <is>
          <t>ND</t>
        </is>
      </c>
      <c r="S38" s="443" t="inlineStr">
        <is>
          <t>ND</t>
        </is>
      </c>
      <c r="T38" s="437" t="inlineStr">
        <is>
          <t>ND</t>
        </is>
      </c>
      <c r="U38" s="437" t="inlineStr">
        <is>
          <t>ND</t>
        </is>
      </c>
      <c r="V38" s="437" t="inlineStr">
        <is>
          <t>ND</t>
        </is>
      </c>
      <c r="W38" s="440" t="inlineStr">
        <is>
          <t>ND</t>
        </is>
      </c>
      <c r="X38" s="443" t="inlineStr">
        <is>
          <t>ND</t>
        </is>
      </c>
      <c r="Y38" s="437" t="inlineStr">
        <is>
          <t>ND</t>
        </is>
      </c>
      <c r="Z38" s="437" t="inlineStr">
        <is>
          <t>ND</t>
        </is>
      </c>
      <c r="AA38" s="437" t="inlineStr">
        <is>
          <t>ND</t>
        </is>
      </c>
      <c r="AB38" s="440" t="inlineStr">
        <is>
          <t>ND</t>
        </is>
      </c>
      <c r="AC38" s="443" t="inlineStr">
        <is>
          <t>ND</t>
        </is>
      </c>
      <c r="AD38" s="437" t="inlineStr">
        <is>
          <t>ND</t>
        </is>
      </c>
      <c r="AE38" s="437" t="inlineStr">
        <is>
          <t>ND</t>
        </is>
      </c>
      <c r="AF38" s="437" t="inlineStr">
        <is>
          <t>ND</t>
        </is>
      </c>
      <c r="AG38" s="440" t="inlineStr">
        <is>
          <t>ND</t>
        </is>
      </c>
      <c r="AH38" s="443" t="inlineStr">
        <is>
          <t>ND</t>
        </is>
      </c>
      <c r="AI38" s="485" t="inlineStr">
        <is>
          <t>ND</t>
        </is>
      </c>
      <c r="AJ38" s="502" t="n">
        <v>3.4</v>
      </c>
      <c r="AK38" s="485" t="n">
        <v>1.47</v>
      </c>
      <c r="AL38" s="440" t="n">
        <v>0.95</v>
      </c>
      <c r="AM38" s="490" t="n">
        <v>5.28</v>
      </c>
      <c r="AN38" s="533" t="n">
        <v>15.3</v>
      </c>
      <c r="AO38" s="437" t="inlineStr">
        <is>
          <t>ND</t>
        </is>
      </c>
      <c r="AP38" s="437" t="inlineStr">
        <is>
          <t>ND</t>
        </is>
      </c>
      <c r="AQ38" s="440" t="inlineStr">
        <is>
          <t>ND</t>
        </is>
      </c>
      <c r="AR38" s="443" t="inlineStr">
        <is>
          <t>ND</t>
        </is>
      </c>
      <c r="AS38" s="437" t="inlineStr">
        <is>
          <t>ND</t>
        </is>
      </c>
      <c r="AT38" s="437" t="inlineStr">
        <is>
          <t>ND</t>
        </is>
      </c>
      <c r="AU38" s="437" t="inlineStr">
        <is>
          <t>ND</t>
        </is>
      </c>
      <c r="AV38" s="440" t="inlineStr">
        <is>
          <t>ND</t>
        </is>
      </c>
      <c r="AW38" s="443" t="inlineStr">
        <is>
          <t>ND</t>
        </is>
      </c>
      <c r="AX38" s="437" t="inlineStr">
        <is>
          <t>ND</t>
        </is>
      </c>
      <c r="AY38" s="437" t="inlineStr">
        <is>
          <t>ND</t>
        </is>
      </c>
      <c r="AZ38" s="437" t="inlineStr">
        <is>
          <t>ND</t>
        </is>
      </c>
      <c r="BA38" s="440" t="inlineStr">
        <is>
          <t>ND</t>
        </is>
      </c>
      <c r="BB38" s="443" t="inlineStr">
        <is>
          <t>ND</t>
        </is>
      </c>
      <c r="BC38" s="437" t="inlineStr">
        <is>
          <t>ND</t>
        </is>
      </c>
      <c r="BD38" s="437" t="inlineStr">
        <is>
          <t>ND</t>
        </is>
      </c>
      <c r="BE38" s="437" t="inlineStr">
        <is>
          <t>ND</t>
        </is>
      </c>
      <c r="BF38" s="440" t="inlineStr">
        <is>
          <t>ND</t>
        </is>
      </c>
      <c r="BG38" s="443" t="inlineStr">
        <is>
          <t>ND</t>
        </is>
      </c>
      <c r="BH38" s="437" t="inlineStr">
        <is>
          <t>ND</t>
        </is>
      </c>
      <c r="BI38" s="437" t="inlineStr">
        <is>
          <t>ND</t>
        </is>
      </c>
      <c r="BJ38" s="437" t="inlineStr">
        <is>
          <t>ND</t>
        </is>
      </c>
      <c r="BK38" s="440" t="inlineStr">
        <is>
          <t>ND</t>
        </is>
      </c>
      <c r="BL38" s="443" t="inlineStr">
        <is>
          <t>ND</t>
        </is>
      </c>
      <c r="BM38" s="437" t="inlineStr">
        <is>
          <t>ND</t>
        </is>
      </c>
      <c r="BN38" s="437" t="inlineStr">
        <is>
          <t>ND</t>
        </is>
      </c>
      <c r="BO38" s="437" t="inlineStr">
        <is>
          <t>ND</t>
        </is>
      </c>
      <c r="BP38" s="440" t="inlineStr">
        <is>
          <t>ND</t>
        </is>
      </c>
      <c r="BQ38" s="443" t="inlineStr">
        <is>
          <t>ND</t>
        </is>
      </c>
      <c r="BR38" s="437" t="inlineStr">
        <is>
          <t>ND</t>
        </is>
      </c>
      <c r="BS38" s="437" t="inlineStr">
        <is>
          <t>ND</t>
        </is>
      </c>
      <c r="BT38" s="440" t="inlineStr">
        <is>
          <t>ND</t>
        </is>
      </c>
      <c r="BU38" s="455" t="n"/>
      <c r="BV38" s="455" t="n"/>
      <c r="BW38" s="238" t="n"/>
      <c r="BX38" s="238" t="n"/>
      <c r="BY38" s="238" t="n"/>
      <c r="BZ38" s="238" t="n"/>
      <c r="CA38" s="238" t="n"/>
      <c r="CB38" s="238" t="n"/>
      <c r="CC38" s="238" t="n"/>
      <c r="CD38" s="238" t="n"/>
      <c r="CE38" s="238" t="n"/>
      <c r="CF38" s="238" t="n"/>
      <c r="CG38" s="238" t="n"/>
      <c r="CH38" s="238" t="n"/>
      <c r="CI38" s="238" t="n"/>
      <c r="CJ38" s="238" t="n"/>
      <c r="CK38" s="238" t="n"/>
      <c r="CL38" s="238" t="n"/>
      <c r="CM38" s="238" t="n"/>
      <c r="CN38" s="238" t="n"/>
      <c r="CO38" s="238" t="n"/>
      <c r="CP38" s="238" t="n"/>
      <c r="CQ38" s="238" t="n"/>
      <c r="CR38" s="238" t="n"/>
      <c r="CS38" s="238" t="n"/>
      <c r="CT38" s="238" t="n"/>
      <c r="CU38" s="238" t="n"/>
      <c r="CV38" s="238" t="n"/>
      <c r="CW38" s="238" t="n"/>
      <c r="CX38" s="238" t="n"/>
      <c r="CY38" s="238" t="n"/>
      <c r="CZ38" s="238" t="n"/>
      <c r="DA38" s="238" t="n"/>
      <c r="DB38" s="238" t="n"/>
      <c r="DC38" s="238" t="n"/>
      <c r="DD38" s="238" t="n"/>
      <c r="DE38" s="238" t="n"/>
      <c r="DF38" s="238" t="n"/>
      <c r="DG38" s="238" t="n"/>
      <c r="DH38" s="238" t="n"/>
      <c r="DI38" s="238" t="n"/>
      <c r="DJ38" s="238" t="n"/>
      <c r="DK38" s="238" t="n"/>
      <c r="DL38" s="238" t="n"/>
      <c r="DM38" s="238" t="n"/>
      <c r="DN38" s="238" t="n"/>
      <c r="DO38" s="238" t="n"/>
      <c r="DP38" s="238" t="n"/>
      <c r="DQ38" s="238" t="n"/>
      <c r="DR38" s="238" t="n"/>
      <c r="DS38" s="238" t="n"/>
      <c r="DT38" s="238" t="n"/>
      <c r="DU38" s="238" t="n"/>
      <c r="DV38" s="238" t="n"/>
      <c r="DW38" s="238" t="n"/>
      <c r="DX38" s="238" t="n"/>
      <c r="DY38" s="238" t="n"/>
      <c r="DZ38" s="23" t="n"/>
      <c r="FQ38" s="212" t="n"/>
      <c r="FR38" s="212" t="n"/>
      <c r="FS38" s="212" t="n"/>
      <c r="FT38" s="212" t="n"/>
      <c r="FU38" s="212" t="n"/>
      <c r="FV38" s="212" t="n"/>
      <c r="FW38" s="212" t="n"/>
      <c r="FX38" s="212" t="n"/>
      <c r="FY38" s="212" t="n"/>
      <c r="FZ38" s="212" t="n"/>
    </row>
    <row r="39" ht="39.95" customFormat="1" customHeight="1" s="5">
      <c r="A39" s="456" t="n"/>
      <c r="B39" s="8" t="inlineStr">
        <is>
          <t>&amp; OSCILLATOR</t>
        </is>
      </c>
      <c r="C39" s="12" t="inlineStr">
        <is>
          <t>R</t>
        </is>
      </c>
      <c r="D39" s="435" t="inlineStr">
        <is>
          <t>ND</t>
        </is>
      </c>
      <c r="E39" s="438" t="inlineStr">
        <is>
          <t>ND</t>
        </is>
      </c>
      <c r="F39" s="438" t="inlineStr">
        <is>
          <t>ND</t>
        </is>
      </c>
      <c r="G39" s="438" t="inlineStr">
        <is>
          <t>ND</t>
        </is>
      </c>
      <c r="H39" s="537" t="n">
        <v>1.2</v>
      </c>
      <c r="I39" s="444" t="inlineStr">
        <is>
          <t>ND</t>
        </is>
      </c>
      <c r="J39" s="438" t="inlineStr">
        <is>
          <t>ND</t>
        </is>
      </c>
      <c r="K39" s="494" t="n">
        <v>9.84</v>
      </c>
      <c r="L39" s="125" t="n">
        <v>0.431</v>
      </c>
      <c r="M39" s="441" t="inlineStr">
        <is>
          <t>ND</t>
        </is>
      </c>
      <c r="N39" s="444" t="inlineStr">
        <is>
          <t>ND</t>
        </is>
      </c>
      <c r="O39" s="497" t="n">
        <v>5.87</v>
      </c>
      <c r="P39" s="494" t="n">
        <v>3.67</v>
      </c>
      <c r="Q39" s="438" t="inlineStr">
        <is>
          <t>ND</t>
        </is>
      </c>
      <c r="R39" s="441" t="inlineStr">
        <is>
          <t>ND</t>
        </is>
      </c>
      <c r="S39" s="444" t="inlineStr">
        <is>
          <t>ND</t>
        </is>
      </c>
      <c r="T39" s="438" t="inlineStr">
        <is>
          <t>ND</t>
        </is>
      </c>
      <c r="U39" s="438" t="inlineStr">
        <is>
          <t>ND</t>
        </is>
      </c>
      <c r="V39" s="438" t="inlineStr">
        <is>
          <t>ND</t>
        </is>
      </c>
      <c r="W39" s="441" t="inlineStr">
        <is>
          <t>ND</t>
        </is>
      </c>
      <c r="X39" s="444" t="inlineStr">
        <is>
          <t>ND</t>
        </is>
      </c>
      <c r="Y39" s="438" t="inlineStr">
        <is>
          <t>ND</t>
        </is>
      </c>
      <c r="Z39" s="438" t="inlineStr">
        <is>
          <t>ND</t>
        </is>
      </c>
      <c r="AA39" s="438" t="inlineStr">
        <is>
          <t>ND</t>
        </is>
      </c>
      <c r="AB39" s="441" t="inlineStr">
        <is>
          <t>ND</t>
        </is>
      </c>
      <c r="AC39" s="444" t="inlineStr">
        <is>
          <t>ND</t>
        </is>
      </c>
      <c r="AD39" s="438" t="inlineStr">
        <is>
          <t>ND</t>
        </is>
      </c>
      <c r="AE39" s="438" t="inlineStr">
        <is>
          <t>ND</t>
        </is>
      </c>
      <c r="AF39" s="438" t="inlineStr">
        <is>
          <t>ND</t>
        </is>
      </c>
      <c r="AG39" s="441" t="inlineStr">
        <is>
          <t>ND</t>
        </is>
      </c>
      <c r="AH39" s="444" t="inlineStr">
        <is>
          <t>ND</t>
        </is>
      </c>
      <c r="AI39" s="438" t="inlineStr">
        <is>
          <t>ND</t>
        </is>
      </c>
      <c r="AJ39" s="494" t="n">
        <v>1.52</v>
      </c>
      <c r="AK39" s="497" t="n">
        <v>2.45</v>
      </c>
      <c r="AL39" s="495" t="n">
        <v>4.56</v>
      </c>
      <c r="AM39" s="496" t="n">
        <v>3.89</v>
      </c>
      <c r="AN39" s="494" t="n">
        <v>2.68</v>
      </c>
      <c r="AO39" s="438" t="inlineStr">
        <is>
          <t>ND</t>
        </is>
      </c>
      <c r="AP39" s="438" t="inlineStr">
        <is>
          <t>ND</t>
        </is>
      </c>
      <c r="AQ39" s="441" t="inlineStr">
        <is>
          <t>ND</t>
        </is>
      </c>
      <c r="AR39" s="444" t="inlineStr">
        <is>
          <t>ND</t>
        </is>
      </c>
      <c r="AS39" s="438" t="inlineStr">
        <is>
          <t>ND</t>
        </is>
      </c>
      <c r="AT39" s="438" t="inlineStr">
        <is>
          <t>ND</t>
        </is>
      </c>
      <c r="AU39" s="438" t="inlineStr">
        <is>
          <t>ND</t>
        </is>
      </c>
      <c r="AV39" s="441" t="inlineStr">
        <is>
          <t>ND</t>
        </is>
      </c>
      <c r="AW39" s="444" t="inlineStr">
        <is>
          <t>ND</t>
        </is>
      </c>
      <c r="AX39" s="438" t="inlineStr">
        <is>
          <t>ND</t>
        </is>
      </c>
      <c r="AY39" s="438" t="inlineStr">
        <is>
          <t>ND</t>
        </is>
      </c>
      <c r="AZ39" s="438" t="inlineStr">
        <is>
          <t>ND</t>
        </is>
      </c>
      <c r="BA39" s="441" t="inlineStr">
        <is>
          <t>ND</t>
        </is>
      </c>
      <c r="BB39" s="444" t="inlineStr">
        <is>
          <t>ND</t>
        </is>
      </c>
      <c r="BC39" s="438" t="inlineStr">
        <is>
          <t>ND</t>
        </is>
      </c>
      <c r="BD39" s="438" t="inlineStr">
        <is>
          <t>ND</t>
        </is>
      </c>
      <c r="BE39" s="438" t="inlineStr">
        <is>
          <t>ND</t>
        </is>
      </c>
      <c r="BF39" s="441" t="inlineStr">
        <is>
          <t>ND</t>
        </is>
      </c>
      <c r="BG39" s="444" t="inlineStr">
        <is>
          <t>ND</t>
        </is>
      </c>
      <c r="BH39" s="438" t="inlineStr">
        <is>
          <t>ND</t>
        </is>
      </c>
      <c r="BI39" s="438" t="inlineStr">
        <is>
          <t>ND</t>
        </is>
      </c>
      <c r="BJ39" s="438" t="inlineStr">
        <is>
          <t>ND</t>
        </is>
      </c>
      <c r="BK39" s="441" t="inlineStr">
        <is>
          <t>ND</t>
        </is>
      </c>
      <c r="BL39" s="444" t="inlineStr">
        <is>
          <t>ND</t>
        </is>
      </c>
      <c r="BM39" s="438" t="inlineStr">
        <is>
          <t>ND</t>
        </is>
      </c>
      <c r="BN39" s="438" t="inlineStr">
        <is>
          <t>ND</t>
        </is>
      </c>
      <c r="BO39" s="438" t="inlineStr">
        <is>
          <t>ND</t>
        </is>
      </c>
      <c r="BP39" s="441" t="inlineStr">
        <is>
          <t>ND</t>
        </is>
      </c>
      <c r="BQ39" s="444" t="inlineStr">
        <is>
          <t>ND</t>
        </is>
      </c>
      <c r="BR39" s="438" t="inlineStr">
        <is>
          <t>ND</t>
        </is>
      </c>
      <c r="BS39" s="438" t="inlineStr">
        <is>
          <t>ND</t>
        </is>
      </c>
      <c r="BT39" s="441" t="inlineStr">
        <is>
          <t>ND</t>
        </is>
      </c>
      <c r="BU39" s="457" t="n"/>
      <c r="BV39" s="457" t="n"/>
      <c r="BW39" s="238" t="n"/>
      <c r="BX39" s="238" t="n"/>
      <c r="BY39" s="238" t="n"/>
      <c r="BZ39" s="238" t="n"/>
      <c r="CA39" s="238" t="n"/>
      <c r="CB39" s="238" t="n"/>
      <c r="CC39" s="238" t="n"/>
      <c r="CD39" s="238" t="n"/>
      <c r="CE39" s="238" t="n"/>
      <c r="CF39" s="238" t="n"/>
      <c r="CG39" s="238" t="n"/>
      <c r="CH39" s="238" t="n"/>
      <c r="CI39" s="238" t="n"/>
      <c r="CJ39" s="238" t="n"/>
      <c r="CK39" s="238" t="n"/>
      <c r="CL39" s="238" t="n"/>
      <c r="CM39" s="238" t="n"/>
      <c r="CN39" s="238" t="n"/>
      <c r="CO39" s="238" t="n"/>
      <c r="CP39" s="238" t="n"/>
      <c r="CQ39" s="238" t="n"/>
      <c r="CR39" s="238" t="n"/>
      <c r="CS39" s="238" t="n"/>
      <c r="CT39" s="238" t="n"/>
      <c r="CU39" s="238" t="n"/>
      <c r="CV39" s="238" t="n"/>
      <c r="CW39" s="238" t="n"/>
      <c r="CX39" s="238" t="n"/>
      <c r="CY39" s="238" t="n"/>
      <c r="CZ39" s="238" t="n"/>
      <c r="DA39" s="238" t="n"/>
      <c r="DB39" s="238" t="n"/>
      <c r="DC39" s="238" t="n"/>
      <c r="DD39" s="238" t="n"/>
      <c r="DE39" s="238" t="n"/>
      <c r="DF39" s="238" t="n"/>
      <c r="DG39" s="238" t="n"/>
      <c r="DH39" s="238" t="n"/>
      <c r="DI39" s="238" t="n"/>
      <c r="DJ39" s="238" t="n"/>
      <c r="DK39" s="238" t="n"/>
      <c r="DL39" s="238" t="n"/>
      <c r="DM39" s="238" t="n"/>
      <c r="DN39" s="238" t="n"/>
      <c r="DO39" s="238" t="n"/>
      <c r="DP39" s="238" t="n"/>
      <c r="DQ39" s="238" t="n"/>
      <c r="DR39" s="238" t="n"/>
      <c r="DS39" s="238" t="n"/>
      <c r="DT39" s="238" t="n"/>
      <c r="DU39" s="238" t="n"/>
      <c r="DV39" s="238" t="n"/>
      <c r="DW39" s="238" t="n"/>
      <c r="DX39" s="238" t="n"/>
      <c r="DY39" s="238" t="n"/>
      <c r="DZ39" s="23" t="n"/>
      <c r="FQ39" s="212" t="n"/>
      <c r="FR39" s="212" t="n"/>
      <c r="FS39" s="212" t="n"/>
      <c r="FT39" s="212" t="n"/>
      <c r="FU39" s="212" t="n"/>
      <c r="FV39" s="212" t="n"/>
      <c r="FW39" s="212" t="n"/>
      <c r="FX39" s="212" t="n"/>
      <c r="FY39" s="212" t="n"/>
      <c r="FZ39" s="212" t="n"/>
    </row>
    <row r="40" ht="39.95" customFormat="1" customHeight="1" s="5">
      <c r="A40" s="10" t="inlineStr">
        <is>
          <t>A</t>
        </is>
      </c>
      <c r="B40" s="6" t="inlineStr">
        <is>
          <t>POSITION 'E'</t>
        </is>
      </c>
      <c r="C40" s="11" t="inlineStr">
        <is>
          <t>L</t>
        </is>
      </c>
      <c r="D40" s="433" t="inlineStr">
        <is>
          <t>ND</t>
        </is>
      </c>
      <c r="E40" s="436" t="inlineStr">
        <is>
          <t>ND</t>
        </is>
      </c>
      <c r="F40" s="436" t="inlineStr">
        <is>
          <t>ND</t>
        </is>
      </c>
      <c r="G40" s="436" t="n">
        <v>0.949</v>
      </c>
      <c r="H40" s="439" t="inlineStr">
        <is>
          <t>ND</t>
        </is>
      </c>
      <c r="I40" s="483" t="n">
        <v>7.13</v>
      </c>
      <c r="J40" s="436" t="inlineStr">
        <is>
          <t>ND</t>
        </is>
      </c>
      <c r="K40" s="436" t="inlineStr">
        <is>
          <t>ND</t>
        </is>
      </c>
      <c r="L40" s="478" t="inlineStr">
        <is>
          <t>ND</t>
        </is>
      </c>
      <c r="M40" s="439" t="n">
        <v>0.246</v>
      </c>
      <c r="N40" s="442" t="inlineStr">
        <is>
          <t>ND</t>
        </is>
      </c>
      <c r="O40" s="475" t="n">
        <v>2.42</v>
      </c>
      <c r="P40" s="112" t="n">
        <v>0.763</v>
      </c>
      <c r="Q40" s="436" t="inlineStr">
        <is>
          <t>ND</t>
        </is>
      </c>
      <c r="R40" s="439" t="inlineStr">
        <is>
          <t>ND</t>
        </is>
      </c>
      <c r="S40" s="442" t="inlineStr">
        <is>
          <t>ND</t>
        </is>
      </c>
      <c r="T40" s="436" t="inlineStr">
        <is>
          <t>ND</t>
        </is>
      </c>
      <c r="U40" s="436" t="inlineStr">
        <is>
          <t>ND</t>
        </is>
      </c>
      <c r="V40" s="436" t="inlineStr">
        <is>
          <t>ND</t>
        </is>
      </c>
      <c r="W40" s="439" t="inlineStr">
        <is>
          <t>ND</t>
        </is>
      </c>
      <c r="X40" s="442" t="inlineStr">
        <is>
          <t>ND</t>
        </is>
      </c>
      <c r="Y40" s="436" t="inlineStr">
        <is>
          <t>ND</t>
        </is>
      </c>
      <c r="Z40" s="436" t="inlineStr">
        <is>
          <t>ND</t>
        </is>
      </c>
      <c r="AA40" s="436" t="inlineStr">
        <is>
          <t>ND</t>
        </is>
      </c>
      <c r="AB40" s="439" t="inlineStr">
        <is>
          <t>ND</t>
        </is>
      </c>
      <c r="AC40" s="442" t="inlineStr">
        <is>
          <t>ND</t>
        </is>
      </c>
      <c r="AD40" s="436" t="inlineStr">
        <is>
          <t>ND</t>
        </is>
      </c>
      <c r="AE40" s="436" t="inlineStr">
        <is>
          <t>ND</t>
        </is>
      </c>
      <c r="AF40" s="436" t="inlineStr">
        <is>
          <t>ND</t>
        </is>
      </c>
      <c r="AG40" s="439" t="inlineStr">
        <is>
          <t>ND</t>
        </is>
      </c>
      <c r="AH40" s="442" t="inlineStr">
        <is>
          <t>ND</t>
        </is>
      </c>
      <c r="AI40" s="478" t="n">
        <v>1.11</v>
      </c>
      <c r="AJ40" s="475" t="n">
        <v>2.71</v>
      </c>
      <c r="AK40" s="478" t="inlineStr">
        <is>
          <t>ND</t>
        </is>
      </c>
      <c r="AL40" s="480" t="n">
        <v>1.75</v>
      </c>
      <c r="AM40" s="477" t="n">
        <v>4.52</v>
      </c>
      <c r="AN40" s="531" t="n">
        <v>10.1</v>
      </c>
      <c r="AO40" s="436" t="inlineStr">
        <is>
          <t>ND</t>
        </is>
      </c>
      <c r="AP40" s="436" t="inlineStr">
        <is>
          <t>ND</t>
        </is>
      </c>
      <c r="AQ40" s="439" t="inlineStr">
        <is>
          <t>ND</t>
        </is>
      </c>
      <c r="AR40" s="442" t="inlineStr">
        <is>
          <t>ND</t>
        </is>
      </c>
      <c r="AS40" s="436" t="inlineStr">
        <is>
          <t>ND</t>
        </is>
      </c>
      <c r="AT40" s="436" t="inlineStr">
        <is>
          <t>ND</t>
        </is>
      </c>
      <c r="AU40" s="436" t="inlineStr">
        <is>
          <t>ND</t>
        </is>
      </c>
      <c r="AV40" s="439" t="inlineStr">
        <is>
          <t>ND</t>
        </is>
      </c>
      <c r="AW40" s="442" t="inlineStr">
        <is>
          <t>ND</t>
        </is>
      </c>
      <c r="AX40" s="436" t="inlineStr">
        <is>
          <t>ND</t>
        </is>
      </c>
      <c r="AY40" s="436" t="inlineStr">
        <is>
          <t>ND</t>
        </is>
      </c>
      <c r="AZ40" s="436" t="inlineStr">
        <is>
          <t>ND</t>
        </is>
      </c>
      <c r="BA40" s="439" t="inlineStr">
        <is>
          <t>ND</t>
        </is>
      </c>
      <c r="BB40" s="442" t="inlineStr">
        <is>
          <t>ND</t>
        </is>
      </c>
      <c r="BC40" s="436" t="inlineStr">
        <is>
          <t>ND</t>
        </is>
      </c>
      <c r="BD40" s="436" t="inlineStr">
        <is>
          <t>ND</t>
        </is>
      </c>
      <c r="BE40" s="436" t="inlineStr">
        <is>
          <t>ND</t>
        </is>
      </c>
      <c r="BF40" s="439" t="inlineStr">
        <is>
          <t>ND</t>
        </is>
      </c>
      <c r="BG40" s="442" t="inlineStr">
        <is>
          <t>ND</t>
        </is>
      </c>
      <c r="BH40" s="436" t="inlineStr">
        <is>
          <t>ND</t>
        </is>
      </c>
      <c r="BI40" s="436" t="inlineStr">
        <is>
          <t>ND</t>
        </is>
      </c>
      <c r="BJ40" s="436" t="inlineStr">
        <is>
          <t>ND</t>
        </is>
      </c>
      <c r="BK40" s="439" t="inlineStr">
        <is>
          <t>ND</t>
        </is>
      </c>
      <c r="BL40" s="442" t="inlineStr">
        <is>
          <t>ND</t>
        </is>
      </c>
      <c r="BM40" s="436" t="inlineStr">
        <is>
          <t>ND</t>
        </is>
      </c>
      <c r="BN40" s="436" t="inlineStr">
        <is>
          <t>ND</t>
        </is>
      </c>
      <c r="BO40" s="436" t="inlineStr">
        <is>
          <t>ND</t>
        </is>
      </c>
      <c r="BP40" s="439" t="inlineStr">
        <is>
          <t>ND</t>
        </is>
      </c>
      <c r="BQ40" s="442" t="inlineStr">
        <is>
          <t>ND</t>
        </is>
      </c>
      <c r="BR40" s="436" t="inlineStr">
        <is>
          <t>ND</t>
        </is>
      </c>
      <c r="BS40" s="436" t="inlineStr">
        <is>
          <t>ND</t>
        </is>
      </c>
      <c r="BT40" s="439" t="inlineStr">
        <is>
          <t>ND</t>
        </is>
      </c>
      <c r="BU40" s="454">
        <f>IFERROR(AVERAGE(D40:BT42),0)</f>
        <v/>
      </c>
      <c r="BV40" s="454">
        <f>MAX(D40:BT42)</f>
        <v/>
      </c>
      <c r="BW40" s="238" t="n"/>
      <c r="BX40" s="238" t="n"/>
      <c r="BY40" s="238" t="n"/>
      <c r="BZ40" s="238" t="n"/>
      <c r="CA40" s="238" t="n"/>
      <c r="CB40" s="238" t="n"/>
      <c r="CC40" s="238" t="n"/>
      <c r="CD40" s="238" t="n"/>
      <c r="CE40" s="238" t="n"/>
      <c r="CF40" s="238" t="n"/>
      <c r="CG40" s="238" t="n"/>
      <c r="CH40" s="238" t="n"/>
      <c r="CI40" s="238" t="n"/>
      <c r="CJ40" s="238" t="n"/>
      <c r="CK40" s="238" t="n"/>
      <c r="CL40" s="238" t="n"/>
      <c r="CM40" s="238" t="n"/>
      <c r="CN40" s="238" t="n"/>
      <c r="CO40" s="238" t="n"/>
      <c r="CP40" s="238" t="n"/>
      <c r="CQ40" s="238" t="n"/>
      <c r="CR40" s="238" t="n"/>
      <c r="CS40" s="238" t="n"/>
      <c r="CT40" s="238" t="n"/>
      <c r="CU40" s="238" t="n"/>
      <c r="CV40" s="238" t="n"/>
      <c r="CW40" s="238" t="n"/>
      <c r="CX40" s="238" t="n"/>
      <c r="CY40" s="238" t="n"/>
      <c r="CZ40" s="238" t="n"/>
      <c r="DA40" s="238" t="n"/>
      <c r="DB40" s="238" t="n"/>
      <c r="DC40" s="238" t="n"/>
      <c r="DD40" s="238" t="n"/>
      <c r="DE40" s="238" t="n"/>
      <c r="DF40" s="238" t="n"/>
      <c r="DG40" s="238" t="n"/>
      <c r="DH40" s="238" t="n"/>
      <c r="DI40" s="238" t="n"/>
      <c r="DJ40" s="238" t="n"/>
      <c r="DK40" s="238" t="n"/>
      <c r="DL40" s="238" t="n"/>
      <c r="DM40" s="238" t="n"/>
      <c r="DN40" s="238" t="n"/>
      <c r="DO40" s="238" t="n"/>
      <c r="DP40" s="238" t="n"/>
      <c r="DQ40" s="238" t="n"/>
      <c r="DR40" s="238" t="n"/>
      <c r="DS40" s="238" t="n"/>
      <c r="DT40" s="238" t="n"/>
      <c r="DU40" s="238" t="n"/>
      <c r="DV40" s="238" t="n"/>
      <c r="DW40" s="238" t="n"/>
      <c r="DX40" s="238" t="n"/>
      <c r="DY40" s="238" t="n"/>
      <c r="DZ40" s="23" t="n"/>
      <c r="FQ40" s="212" t="n"/>
      <c r="FR40" s="212" t="n"/>
      <c r="FS40" s="212" t="n"/>
      <c r="FT40" s="212" t="n"/>
      <c r="FU40" s="212" t="n"/>
      <c r="FV40" s="212" t="n"/>
      <c r="FW40" s="212" t="n"/>
      <c r="FX40" s="212" t="n"/>
      <c r="FY40" s="212" t="n"/>
      <c r="FZ40" s="212" t="n"/>
    </row>
    <row r="41" ht="39.95" customFormat="1" customHeight="1" s="5">
      <c r="A41" s="182" t="inlineStr"/>
      <c r="B41" s="7" t="inlineStr">
        <is>
          <t>OF THE MANWAY</t>
        </is>
      </c>
      <c r="C41" s="11" t="inlineStr">
        <is>
          <t>C</t>
        </is>
      </c>
      <c r="D41" s="434" t="inlineStr">
        <is>
          <t>ND</t>
        </is>
      </c>
      <c r="E41" s="437" t="inlineStr">
        <is>
          <t>ND</t>
        </is>
      </c>
      <c r="F41" s="437" t="inlineStr">
        <is>
          <t>ND</t>
        </is>
      </c>
      <c r="G41" s="486" t="n">
        <v>1.91</v>
      </c>
      <c r="H41" s="440" t="inlineStr">
        <is>
          <t>ND</t>
        </is>
      </c>
      <c r="I41" s="538" t="n">
        <v>10.2</v>
      </c>
      <c r="J41" s="486" t="n">
        <v>3.19</v>
      </c>
      <c r="K41" s="437" t="n">
        <v>0.931</v>
      </c>
      <c r="L41" s="485" t="inlineStr">
        <is>
          <t>ND</t>
        </is>
      </c>
      <c r="M41" s="488" t="n">
        <v>2.68</v>
      </c>
      <c r="N41" s="490" t="inlineStr">
        <is>
          <t>ND</t>
        </is>
      </c>
      <c r="O41" s="437" t="inlineStr">
        <is>
          <t>ND</t>
        </is>
      </c>
      <c r="P41" s="485" t="inlineStr">
        <is>
          <t>ND</t>
        </is>
      </c>
      <c r="Q41" s="437" t="inlineStr">
        <is>
          <t>ND</t>
        </is>
      </c>
      <c r="R41" s="440" t="inlineStr">
        <is>
          <t>ND</t>
        </is>
      </c>
      <c r="S41" s="443" t="inlineStr">
        <is>
          <t>ND</t>
        </is>
      </c>
      <c r="T41" s="437" t="inlineStr">
        <is>
          <t>ND</t>
        </is>
      </c>
      <c r="U41" s="437" t="inlineStr">
        <is>
          <t>ND</t>
        </is>
      </c>
      <c r="V41" s="437" t="inlineStr">
        <is>
          <t>ND</t>
        </is>
      </c>
      <c r="W41" s="440" t="inlineStr">
        <is>
          <t>ND</t>
        </is>
      </c>
      <c r="X41" s="443" t="inlineStr">
        <is>
          <t>ND</t>
        </is>
      </c>
      <c r="Y41" s="437" t="inlineStr">
        <is>
          <t>ND</t>
        </is>
      </c>
      <c r="Z41" s="437" t="inlineStr">
        <is>
          <t>ND</t>
        </is>
      </c>
      <c r="AA41" s="437" t="inlineStr">
        <is>
          <t>ND</t>
        </is>
      </c>
      <c r="AB41" s="440" t="inlineStr">
        <is>
          <t>ND</t>
        </is>
      </c>
      <c r="AC41" s="443" t="inlineStr">
        <is>
          <t>ND</t>
        </is>
      </c>
      <c r="AD41" s="437" t="inlineStr">
        <is>
          <t>ND</t>
        </is>
      </c>
      <c r="AE41" s="437" t="inlineStr">
        <is>
          <t>ND</t>
        </is>
      </c>
      <c r="AF41" s="437" t="inlineStr">
        <is>
          <t>ND</t>
        </is>
      </c>
      <c r="AG41" s="440" t="inlineStr">
        <is>
          <t>ND</t>
        </is>
      </c>
      <c r="AH41" s="443" t="inlineStr">
        <is>
          <t>ND</t>
        </is>
      </c>
      <c r="AI41" s="486" t="n">
        <v>5.42</v>
      </c>
      <c r="AJ41" s="485" t="n">
        <v>1.94</v>
      </c>
      <c r="AK41" s="485" t="n">
        <v>4.61</v>
      </c>
      <c r="AL41" s="489" t="n">
        <v>1.22</v>
      </c>
      <c r="AM41" s="487" t="n">
        <v>2.34</v>
      </c>
      <c r="AN41" s="533" t="n">
        <v>13.1</v>
      </c>
      <c r="AO41" s="437" t="inlineStr">
        <is>
          <t>ND</t>
        </is>
      </c>
      <c r="AP41" s="437" t="inlineStr">
        <is>
          <t>ND</t>
        </is>
      </c>
      <c r="AQ41" s="440" t="inlineStr">
        <is>
          <t>ND</t>
        </is>
      </c>
      <c r="AR41" s="443" t="inlineStr">
        <is>
          <t>ND</t>
        </is>
      </c>
      <c r="AS41" s="437" t="inlineStr">
        <is>
          <t>ND</t>
        </is>
      </c>
      <c r="AT41" s="437" t="inlineStr">
        <is>
          <t>ND</t>
        </is>
      </c>
      <c r="AU41" s="437" t="inlineStr">
        <is>
          <t>ND</t>
        </is>
      </c>
      <c r="AV41" s="440" t="inlineStr">
        <is>
          <t>ND</t>
        </is>
      </c>
      <c r="AW41" s="443" t="inlineStr">
        <is>
          <t>ND</t>
        </is>
      </c>
      <c r="AX41" s="437" t="inlineStr">
        <is>
          <t>ND</t>
        </is>
      </c>
      <c r="AY41" s="437" t="inlineStr">
        <is>
          <t>ND</t>
        </is>
      </c>
      <c r="AZ41" s="437" t="inlineStr">
        <is>
          <t>ND</t>
        </is>
      </c>
      <c r="BA41" s="440" t="inlineStr">
        <is>
          <t>ND</t>
        </is>
      </c>
      <c r="BB41" s="443" t="inlineStr">
        <is>
          <t>ND</t>
        </is>
      </c>
      <c r="BC41" s="437" t="inlineStr">
        <is>
          <t>ND</t>
        </is>
      </c>
      <c r="BD41" s="437" t="inlineStr">
        <is>
          <t>ND</t>
        </is>
      </c>
      <c r="BE41" s="437" t="inlineStr">
        <is>
          <t>ND</t>
        </is>
      </c>
      <c r="BF41" s="440" t="inlineStr">
        <is>
          <t>ND</t>
        </is>
      </c>
      <c r="BG41" s="443" t="inlineStr">
        <is>
          <t>ND</t>
        </is>
      </c>
      <c r="BH41" s="437" t="inlineStr">
        <is>
          <t>ND</t>
        </is>
      </c>
      <c r="BI41" s="437" t="inlineStr">
        <is>
          <t>ND</t>
        </is>
      </c>
      <c r="BJ41" s="437" t="inlineStr">
        <is>
          <t>ND</t>
        </is>
      </c>
      <c r="BK41" s="440" t="inlineStr">
        <is>
          <t>ND</t>
        </is>
      </c>
      <c r="BL41" s="443" t="inlineStr">
        <is>
          <t>ND</t>
        </is>
      </c>
      <c r="BM41" s="437" t="inlineStr">
        <is>
          <t>ND</t>
        </is>
      </c>
      <c r="BN41" s="437" t="inlineStr">
        <is>
          <t>ND</t>
        </is>
      </c>
      <c r="BO41" s="437" t="inlineStr">
        <is>
          <t>ND</t>
        </is>
      </c>
      <c r="BP41" s="440" t="inlineStr">
        <is>
          <t>ND</t>
        </is>
      </c>
      <c r="BQ41" s="443" t="inlineStr">
        <is>
          <t>ND</t>
        </is>
      </c>
      <c r="BR41" s="437" t="inlineStr">
        <is>
          <t>ND</t>
        </is>
      </c>
      <c r="BS41" s="437" t="inlineStr">
        <is>
          <t>ND</t>
        </is>
      </c>
      <c r="BT41" s="440" t="inlineStr">
        <is>
          <t>ND</t>
        </is>
      </c>
      <c r="BU41" s="455" t="n"/>
      <c r="BV41" s="455" t="n"/>
      <c r="BW41" s="238" t="n"/>
      <c r="BX41" s="238" t="n"/>
      <c r="BY41" s="238" t="n"/>
      <c r="BZ41" s="238" t="n"/>
      <c r="CA41" s="238" t="n"/>
      <c r="CB41" s="238" t="n"/>
      <c r="CC41" s="238" t="n"/>
      <c r="CD41" s="238" t="n"/>
      <c r="CE41" s="238" t="n"/>
      <c r="CF41" s="238" t="n"/>
      <c r="CG41" s="238" t="n"/>
      <c r="CH41" s="238" t="n"/>
      <c r="CI41" s="238" t="n"/>
      <c r="CJ41" s="238" t="n"/>
      <c r="CK41" s="238" t="n"/>
      <c r="CL41" s="238" t="n"/>
      <c r="CM41" s="238" t="n"/>
      <c r="CN41" s="238" t="n"/>
      <c r="CO41" s="238" t="n"/>
      <c r="CP41" s="238" t="n"/>
      <c r="CQ41" s="238" t="n"/>
      <c r="CR41" s="238" t="n"/>
      <c r="CS41" s="238" t="n"/>
      <c r="CT41" s="238" t="n"/>
      <c r="CU41" s="238" t="n"/>
      <c r="CV41" s="238" t="n"/>
      <c r="CW41" s="238" t="n"/>
      <c r="CX41" s="238" t="n"/>
      <c r="CY41" s="238" t="n"/>
      <c r="CZ41" s="238" t="n"/>
      <c r="DA41" s="238" t="n"/>
      <c r="DB41" s="238" t="n"/>
      <c r="DC41" s="238" t="n"/>
      <c r="DD41" s="238" t="n"/>
      <c r="DE41" s="238" t="n"/>
      <c r="DF41" s="238" t="n"/>
      <c r="DG41" s="238" t="n"/>
      <c r="DH41" s="238" t="n"/>
      <c r="DI41" s="238" t="n"/>
      <c r="DJ41" s="238" t="n"/>
      <c r="DK41" s="238" t="n"/>
      <c r="DL41" s="238" t="n"/>
      <c r="DM41" s="238" t="n"/>
      <c r="DN41" s="238" t="n"/>
      <c r="DO41" s="238" t="n"/>
      <c r="DP41" s="238" t="n"/>
      <c r="DQ41" s="238" t="n"/>
      <c r="DR41" s="238" t="n"/>
      <c r="DS41" s="238" t="n"/>
      <c r="DT41" s="238" t="n"/>
      <c r="DU41" s="238" t="n"/>
      <c r="DV41" s="238" t="n"/>
      <c r="DW41" s="238" t="n"/>
      <c r="DX41" s="238" t="n"/>
      <c r="DY41" s="238" t="n"/>
      <c r="DZ41" s="23" t="n"/>
      <c r="FQ41" s="212" t="n"/>
      <c r="FR41" s="212" t="n"/>
      <c r="FS41" s="212" t="n"/>
      <c r="FT41" s="212" t="n"/>
      <c r="FU41" s="212" t="n"/>
      <c r="FV41" s="212" t="n"/>
      <c r="FW41" s="212" t="n"/>
      <c r="FX41" s="212" t="n"/>
      <c r="FY41" s="212" t="n"/>
      <c r="FZ41" s="212" t="n"/>
    </row>
    <row r="42" ht="39.95" customFormat="1" customHeight="1" s="5">
      <c r="A42" s="456" t="n"/>
      <c r="B42" s="8" t="inlineStr">
        <is>
          <t>&amp; OSCILLATOR</t>
        </is>
      </c>
      <c r="C42" s="12" t="inlineStr">
        <is>
          <t>R</t>
        </is>
      </c>
      <c r="D42" s="435" t="inlineStr">
        <is>
          <t>ND</t>
        </is>
      </c>
      <c r="E42" s="438" t="inlineStr">
        <is>
          <t>ND</t>
        </is>
      </c>
      <c r="F42" s="438" t="inlineStr">
        <is>
          <t>ND</t>
        </is>
      </c>
      <c r="G42" s="438" t="n">
        <v>0.638</v>
      </c>
      <c r="H42" s="498" t="n">
        <v>1.46</v>
      </c>
      <c r="I42" s="505" t="n">
        <v>6.93</v>
      </c>
      <c r="J42" s="438" t="n">
        <v>0.1</v>
      </c>
      <c r="K42" s="438" t="inlineStr">
        <is>
          <t>ND</t>
        </is>
      </c>
      <c r="L42" s="494" t="inlineStr">
        <is>
          <t>ND</t>
        </is>
      </c>
      <c r="M42" s="441" t="n">
        <v>0.581</v>
      </c>
      <c r="N42" s="444" t="inlineStr">
        <is>
          <t>ND</t>
        </is>
      </c>
      <c r="O42" s="438" t="inlineStr">
        <is>
          <t>ND</t>
        </is>
      </c>
      <c r="P42" s="494" t="inlineStr">
        <is>
          <t>ND</t>
        </is>
      </c>
      <c r="Q42" s="438" t="inlineStr">
        <is>
          <t>ND</t>
        </is>
      </c>
      <c r="R42" s="441" t="inlineStr">
        <is>
          <t>ND</t>
        </is>
      </c>
      <c r="S42" s="444" t="inlineStr">
        <is>
          <t>ND</t>
        </is>
      </c>
      <c r="T42" s="438" t="inlineStr">
        <is>
          <t>ND</t>
        </is>
      </c>
      <c r="U42" s="438" t="inlineStr">
        <is>
          <t>ND</t>
        </is>
      </c>
      <c r="V42" s="438" t="inlineStr">
        <is>
          <t>ND</t>
        </is>
      </c>
      <c r="W42" s="441" t="inlineStr">
        <is>
          <t>ND</t>
        </is>
      </c>
      <c r="X42" s="444" t="inlineStr">
        <is>
          <t>ND</t>
        </is>
      </c>
      <c r="Y42" s="438" t="inlineStr">
        <is>
          <t>ND</t>
        </is>
      </c>
      <c r="Z42" s="438" t="inlineStr">
        <is>
          <t>ND</t>
        </is>
      </c>
      <c r="AA42" s="438" t="inlineStr">
        <is>
          <t>ND</t>
        </is>
      </c>
      <c r="AB42" s="441" t="inlineStr">
        <is>
          <t>ND</t>
        </is>
      </c>
      <c r="AC42" s="444" t="inlineStr">
        <is>
          <t>ND</t>
        </is>
      </c>
      <c r="AD42" s="438" t="inlineStr">
        <is>
          <t>ND</t>
        </is>
      </c>
      <c r="AE42" s="438" t="inlineStr">
        <is>
          <t>ND</t>
        </is>
      </c>
      <c r="AF42" s="438" t="inlineStr">
        <is>
          <t>ND</t>
        </is>
      </c>
      <c r="AG42" s="441" t="inlineStr">
        <is>
          <t>ND</t>
        </is>
      </c>
      <c r="AH42" s="444" t="inlineStr">
        <is>
          <t>ND</t>
        </is>
      </c>
      <c r="AI42" s="494" t="n">
        <v>1.83</v>
      </c>
      <c r="AJ42" s="438" t="n">
        <v>0.997</v>
      </c>
      <c r="AK42" s="494" t="n">
        <v>4.25</v>
      </c>
      <c r="AL42" s="441" t="n">
        <v>0.5659999999999999</v>
      </c>
      <c r="AM42" s="496" t="n">
        <v>5.71</v>
      </c>
      <c r="AN42" s="494" t="n">
        <v>7.62</v>
      </c>
      <c r="AO42" s="438" t="inlineStr">
        <is>
          <t>ND</t>
        </is>
      </c>
      <c r="AP42" s="438" t="inlineStr">
        <is>
          <t>ND</t>
        </is>
      </c>
      <c r="AQ42" s="441" t="inlineStr">
        <is>
          <t>ND</t>
        </is>
      </c>
      <c r="AR42" s="444" t="inlineStr">
        <is>
          <t>ND</t>
        </is>
      </c>
      <c r="AS42" s="438" t="inlineStr">
        <is>
          <t>ND</t>
        </is>
      </c>
      <c r="AT42" s="438" t="inlineStr">
        <is>
          <t>ND</t>
        </is>
      </c>
      <c r="AU42" s="438" t="inlineStr">
        <is>
          <t>ND</t>
        </is>
      </c>
      <c r="AV42" s="441" t="inlineStr">
        <is>
          <t>ND</t>
        </is>
      </c>
      <c r="AW42" s="444" t="inlineStr">
        <is>
          <t>ND</t>
        </is>
      </c>
      <c r="AX42" s="438" t="inlineStr">
        <is>
          <t>ND</t>
        </is>
      </c>
      <c r="AY42" s="438" t="inlineStr">
        <is>
          <t>ND</t>
        </is>
      </c>
      <c r="AZ42" s="438" t="inlineStr">
        <is>
          <t>ND</t>
        </is>
      </c>
      <c r="BA42" s="441" t="inlineStr">
        <is>
          <t>ND</t>
        </is>
      </c>
      <c r="BB42" s="444" t="inlineStr">
        <is>
          <t>ND</t>
        </is>
      </c>
      <c r="BC42" s="438" t="inlineStr">
        <is>
          <t>ND</t>
        </is>
      </c>
      <c r="BD42" s="438" t="inlineStr">
        <is>
          <t>ND</t>
        </is>
      </c>
      <c r="BE42" s="438" t="inlineStr">
        <is>
          <t>ND</t>
        </is>
      </c>
      <c r="BF42" s="441" t="inlineStr">
        <is>
          <t>ND</t>
        </is>
      </c>
      <c r="BG42" s="444" t="inlineStr">
        <is>
          <t>ND</t>
        </is>
      </c>
      <c r="BH42" s="438" t="inlineStr">
        <is>
          <t>ND</t>
        </is>
      </c>
      <c r="BI42" s="438" t="inlineStr">
        <is>
          <t>ND</t>
        </is>
      </c>
      <c r="BJ42" s="438" t="inlineStr">
        <is>
          <t>ND</t>
        </is>
      </c>
      <c r="BK42" s="441" t="inlineStr">
        <is>
          <t>ND</t>
        </is>
      </c>
      <c r="BL42" s="444" t="inlineStr">
        <is>
          <t>ND</t>
        </is>
      </c>
      <c r="BM42" s="438" t="inlineStr">
        <is>
          <t>ND</t>
        </is>
      </c>
      <c r="BN42" s="438" t="inlineStr">
        <is>
          <t>ND</t>
        </is>
      </c>
      <c r="BO42" s="438" t="inlineStr">
        <is>
          <t>ND</t>
        </is>
      </c>
      <c r="BP42" s="441" t="inlineStr">
        <is>
          <t>ND</t>
        </is>
      </c>
      <c r="BQ42" s="444" t="inlineStr">
        <is>
          <t>ND</t>
        </is>
      </c>
      <c r="BR42" s="438" t="inlineStr">
        <is>
          <t>ND</t>
        </is>
      </c>
      <c r="BS42" s="438" t="inlineStr">
        <is>
          <t>ND</t>
        </is>
      </c>
      <c r="BT42" s="441" t="inlineStr">
        <is>
          <t>ND</t>
        </is>
      </c>
      <c r="BU42" s="457" t="n"/>
      <c r="BV42" s="457" t="n"/>
      <c r="BW42" s="238" t="n"/>
      <c r="BX42" s="238" t="n"/>
      <c r="BY42" s="238" t="n"/>
      <c r="BZ42" s="238" t="n"/>
      <c r="CA42" s="238" t="n"/>
      <c r="CB42" s="238" t="n"/>
      <c r="CC42" s="238" t="n"/>
      <c r="CD42" s="238" t="n"/>
      <c r="CE42" s="238" t="n"/>
      <c r="CF42" s="238" t="n"/>
      <c r="CG42" s="238" t="n"/>
      <c r="CH42" s="238" t="n"/>
      <c r="CI42" s="238" t="n"/>
      <c r="CJ42" s="238" t="n"/>
      <c r="CK42" s="238" t="n"/>
      <c r="CL42" s="238" t="n"/>
      <c r="CM42" s="238" t="n"/>
      <c r="CN42" s="238" t="n"/>
      <c r="CO42" s="238" t="n"/>
      <c r="CP42" s="238" t="n"/>
      <c r="CQ42" s="238" t="n"/>
      <c r="CR42" s="238" t="n"/>
      <c r="CS42" s="238" t="n"/>
      <c r="CT42" s="238" t="n"/>
      <c r="CU42" s="238" t="n"/>
      <c r="CV42" s="238" t="n"/>
      <c r="CW42" s="238" t="n"/>
      <c r="CX42" s="238" t="n"/>
      <c r="CY42" s="238" t="n"/>
      <c r="CZ42" s="238" t="n"/>
      <c r="DA42" s="238" t="n"/>
      <c r="DB42" s="238" t="n"/>
      <c r="DC42" s="238" t="n"/>
      <c r="DD42" s="238" t="n"/>
      <c r="DE42" s="238" t="n"/>
      <c r="DF42" s="238" t="n"/>
      <c r="DG42" s="238" t="n"/>
      <c r="DH42" s="238" t="n"/>
      <c r="DI42" s="238" t="n"/>
      <c r="DJ42" s="238" t="n"/>
      <c r="DK42" s="238" t="n"/>
      <c r="DL42" s="238" t="n"/>
      <c r="DM42" s="238" t="n"/>
      <c r="DN42" s="238" t="n"/>
      <c r="DO42" s="238" t="n"/>
      <c r="DP42" s="238" t="n"/>
      <c r="DQ42" s="238" t="n"/>
      <c r="DR42" s="238" t="n"/>
      <c r="DS42" s="238" t="n"/>
      <c r="DT42" s="238" t="n"/>
      <c r="DU42" s="238" t="n"/>
      <c r="DV42" s="238" t="n"/>
      <c r="DW42" s="238" t="n"/>
      <c r="DX42" s="238" t="n"/>
      <c r="DY42" s="238" t="n"/>
      <c r="DZ42" s="23" t="n"/>
      <c r="FQ42" s="212" t="n"/>
      <c r="FR42" s="212" t="n"/>
      <c r="FS42" s="212" t="n"/>
      <c r="FT42" s="212" t="n"/>
      <c r="FU42" s="212" t="n"/>
      <c r="FV42" s="212" t="n"/>
      <c r="FW42" s="212" t="n"/>
      <c r="FX42" s="212" t="n"/>
      <c r="FY42" s="212" t="n"/>
      <c r="FZ42" s="212" t="n"/>
    </row>
    <row r="43" ht="39.95" customFormat="1" customHeight="1" s="5">
      <c r="A43" s="10" t="inlineStr">
        <is>
          <t>A</t>
        </is>
      </c>
      <c r="B43" s="6" t="n"/>
      <c r="C43" s="11" t="inlineStr">
        <is>
          <t>L</t>
        </is>
      </c>
      <c r="D43" s="433" t="inlineStr">
        <is>
          <t>ND</t>
        </is>
      </c>
      <c r="E43" s="478" t="inlineStr">
        <is>
          <t>ND</t>
        </is>
      </c>
      <c r="F43" s="436" t="inlineStr">
        <is>
          <t>ND</t>
        </is>
      </c>
      <c r="G43" s="475" t="n">
        <v>2.17</v>
      </c>
      <c r="H43" s="476" t="n">
        <v>4.04</v>
      </c>
      <c r="I43" s="442" t="inlineStr">
        <is>
          <t>ND</t>
        </is>
      </c>
      <c r="J43" s="436" t="inlineStr">
        <is>
          <t>ND</t>
        </is>
      </c>
      <c r="K43" s="475" t="n">
        <v>1.63</v>
      </c>
      <c r="L43" s="478" t="n">
        <v>1.85</v>
      </c>
      <c r="M43" s="439" t="inlineStr">
        <is>
          <t>ND</t>
        </is>
      </c>
      <c r="N43" s="442" t="inlineStr">
        <is>
          <t>ND</t>
        </is>
      </c>
      <c r="O43" s="478" t="inlineStr">
        <is>
          <t>ND</t>
        </is>
      </c>
      <c r="P43" s="478" t="n">
        <v>1.34</v>
      </c>
      <c r="Q43" s="478" t="n">
        <v>1.42</v>
      </c>
      <c r="R43" s="476" t="inlineStr">
        <is>
          <t>ND</t>
        </is>
      </c>
      <c r="S43" s="477" t="inlineStr">
        <is>
          <t>ND</t>
        </is>
      </c>
      <c r="T43" s="478" t="inlineStr">
        <is>
          <t>ND</t>
        </is>
      </c>
      <c r="U43" s="481" t="n">
        <v>3.4</v>
      </c>
      <c r="V43" s="478" t="inlineStr">
        <is>
          <t>ND</t>
        </is>
      </c>
      <c r="W43" s="476" t="n">
        <v>1.28</v>
      </c>
      <c r="X43" s="509" t="n">
        <v>11.1</v>
      </c>
      <c r="Y43" s="478" t="n">
        <v>2.22</v>
      </c>
      <c r="Z43" s="478" t="n">
        <v>8.210000000000001</v>
      </c>
      <c r="AA43" s="478" t="n">
        <v>4.86</v>
      </c>
      <c r="AB43" s="476" t="inlineStr">
        <is>
          <t>ND</t>
        </is>
      </c>
      <c r="AC43" s="477" t="n">
        <v>6.27</v>
      </c>
      <c r="AD43" s="478" t="n">
        <v>3.53</v>
      </c>
      <c r="AE43" s="531" t="n">
        <v>11.7</v>
      </c>
      <c r="AF43" s="475" t="n">
        <v>2.57</v>
      </c>
      <c r="AG43" s="476" t="n">
        <v>8.69</v>
      </c>
      <c r="AH43" s="483" t="n">
        <v>3.34</v>
      </c>
      <c r="AI43" s="478" t="n">
        <v>4.05</v>
      </c>
      <c r="AJ43" s="478" t="n">
        <v>4.81</v>
      </c>
      <c r="AK43" s="436" t="n">
        <v>0.819</v>
      </c>
      <c r="AL43" s="480" t="n">
        <v>1.86</v>
      </c>
      <c r="AM43" s="477" t="inlineStr">
        <is>
          <t>ND</t>
        </is>
      </c>
      <c r="AN43" s="531" t="n">
        <v>11.4</v>
      </c>
      <c r="AO43" s="478" t="n">
        <v>8.279999999999999</v>
      </c>
      <c r="AP43" s="478" t="inlineStr">
        <is>
          <t>ND</t>
        </is>
      </c>
      <c r="AQ43" s="476" t="n">
        <v>1.67</v>
      </c>
      <c r="AR43" s="477" t="inlineStr">
        <is>
          <t>ND</t>
        </is>
      </c>
      <c r="AS43" s="478" t="n">
        <v>7.08</v>
      </c>
      <c r="AT43" s="478" t="inlineStr">
        <is>
          <t>ND</t>
        </is>
      </c>
      <c r="AU43" s="112" t="n">
        <v>0.464</v>
      </c>
      <c r="AV43" s="476" t="n">
        <v>3.53</v>
      </c>
      <c r="AW43" s="477" t="inlineStr">
        <is>
          <t>ND</t>
        </is>
      </c>
      <c r="AX43" s="479" t="n">
        <v>6.5</v>
      </c>
      <c r="AY43" s="507" t="n">
        <v>11.9</v>
      </c>
      <c r="AZ43" s="478" t="n">
        <v>4.44</v>
      </c>
      <c r="BA43" s="480" t="n">
        <v>2.66</v>
      </c>
      <c r="BB43" s="477" t="inlineStr">
        <is>
          <t>ND</t>
        </is>
      </c>
      <c r="BC43" s="478" t="n">
        <v>4.35</v>
      </c>
      <c r="BD43" s="112" t="n">
        <v>0.274</v>
      </c>
      <c r="BE43" s="478" t="n">
        <v>3.26</v>
      </c>
      <c r="BF43" s="476" t="n">
        <v>4.83</v>
      </c>
      <c r="BG43" s="477" t="n">
        <v>5.71</v>
      </c>
      <c r="BH43" s="478" t="n">
        <v>5.18</v>
      </c>
      <c r="BI43" s="478" t="n">
        <v>4.77</v>
      </c>
      <c r="BJ43" s="478" t="n">
        <v>2.71</v>
      </c>
      <c r="BK43" s="476" t="n">
        <v>2.72</v>
      </c>
      <c r="BL43" s="477" t="n">
        <v>4.44</v>
      </c>
      <c r="BM43" s="478" t="n">
        <v>1.74</v>
      </c>
      <c r="BN43" s="112" t="n">
        <v>0.991</v>
      </c>
      <c r="BO43" s="112" t="n">
        <v>0.953</v>
      </c>
      <c r="BP43" s="480" t="n">
        <v>1.24</v>
      </c>
      <c r="BQ43" s="483" t="n">
        <v>3.78</v>
      </c>
      <c r="BR43" s="481" t="n">
        <v>3.7</v>
      </c>
      <c r="BS43" s="475" t="n">
        <v>2.79</v>
      </c>
      <c r="BT43" s="439" t="inlineStr">
        <is>
          <t>ND</t>
        </is>
      </c>
      <c r="BU43" s="454">
        <f>IFERROR(AVERAGE(D43:BT45),0)</f>
        <v/>
      </c>
      <c r="BV43" s="454">
        <f>MAX(D43:BT45)</f>
        <v/>
      </c>
      <c r="BW43" s="238" t="n"/>
      <c r="BX43" s="238" t="n"/>
      <c r="BY43" s="238" t="n"/>
      <c r="BZ43" s="238" t="n"/>
      <c r="CA43" s="238" t="n"/>
      <c r="CB43" s="238" t="n"/>
      <c r="CC43" s="238" t="n"/>
      <c r="CD43" s="238" t="n"/>
      <c r="CE43" s="238" t="n"/>
      <c r="CF43" s="238" t="n"/>
      <c r="CG43" s="238" t="n"/>
      <c r="CH43" s="238" t="n"/>
      <c r="CI43" s="238" t="n"/>
      <c r="CJ43" s="238" t="n"/>
      <c r="CK43" s="238" t="n"/>
      <c r="CL43" s="238" t="n"/>
      <c r="CM43" s="238" t="n"/>
      <c r="CN43" s="238" t="n"/>
      <c r="CO43" s="238" t="n"/>
      <c r="CP43" s="238" t="n"/>
      <c r="CQ43" s="238" t="n"/>
      <c r="CR43" s="238" t="n"/>
      <c r="CS43" s="238" t="n"/>
      <c r="CT43" s="238" t="n"/>
      <c r="CU43" s="238" t="n"/>
      <c r="CV43" s="238" t="n"/>
      <c r="CW43" s="238" t="n"/>
      <c r="CX43" s="238" t="n"/>
      <c r="CY43" s="238" t="n"/>
      <c r="CZ43" s="238" t="n"/>
      <c r="DA43" s="238" t="n"/>
      <c r="DB43" s="238" t="n"/>
      <c r="DC43" s="238" t="n"/>
      <c r="DD43" s="238" t="n"/>
      <c r="DE43" s="238" t="n"/>
      <c r="DF43" s="238" t="n"/>
      <c r="DG43" s="238" t="n"/>
      <c r="DH43" s="238" t="n"/>
      <c r="DI43" s="238" t="n"/>
      <c r="DJ43" s="238" t="n"/>
      <c r="DK43" s="238" t="n"/>
      <c r="DL43" s="238" t="n"/>
      <c r="DM43" s="238" t="n"/>
      <c r="DN43" s="238" t="n"/>
      <c r="DO43" s="238" t="n"/>
      <c r="DP43" s="238" t="n"/>
      <c r="DQ43" s="238" t="n"/>
      <c r="DR43" s="238" t="n"/>
      <c r="DS43" s="238" t="n"/>
      <c r="DT43" s="238" t="n"/>
      <c r="DU43" s="238" t="n"/>
      <c r="DV43" s="238" t="n"/>
      <c r="DW43" s="238" t="n"/>
      <c r="DX43" s="238" t="n"/>
      <c r="DY43" s="238" t="n"/>
      <c r="DZ43" s="23" t="n"/>
      <c r="FQ43" s="212" t="n"/>
      <c r="FR43" s="212" t="n"/>
      <c r="FS43" s="212" t="n"/>
      <c r="FT43" s="212" t="n"/>
      <c r="FU43" s="212" t="n"/>
      <c r="FV43" s="212" t="n"/>
      <c r="FW43" s="212" t="n"/>
      <c r="FX43" s="212" t="n"/>
      <c r="FY43" s="212" t="n"/>
      <c r="FZ43" s="212" t="n"/>
    </row>
    <row r="44" ht="39.95" customFormat="1" customHeight="1" s="5">
      <c r="A44" s="182" t="inlineStr"/>
      <c r="B44" s="7" t="inlineStr">
        <is>
          <t>+9 FT</t>
        </is>
      </c>
      <c r="C44" s="11" t="inlineStr">
        <is>
          <t>C</t>
        </is>
      </c>
      <c r="D44" s="434" t="inlineStr">
        <is>
          <t>ND</t>
        </is>
      </c>
      <c r="E44" s="485" t="n">
        <v>1.19</v>
      </c>
      <c r="F44" s="122" t="n">
        <v>0.392</v>
      </c>
      <c r="G44" s="437" t="n">
        <v>0.916</v>
      </c>
      <c r="H44" s="488" t="n">
        <v>2.34</v>
      </c>
      <c r="I44" s="538" t="n">
        <v>19.4</v>
      </c>
      <c r="J44" s="437" t="inlineStr">
        <is>
          <t>ND</t>
        </is>
      </c>
      <c r="K44" s="485" t="n">
        <v>6.48</v>
      </c>
      <c r="L44" s="485" t="inlineStr">
        <is>
          <t>ND</t>
        </is>
      </c>
      <c r="M44" s="440" t="inlineStr">
        <is>
          <t>ND</t>
        </is>
      </c>
      <c r="N44" s="443" t="inlineStr">
        <is>
          <t>ND</t>
        </is>
      </c>
      <c r="O44" s="437" t="inlineStr">
        <is>
          <t>ND</t>
        </is>
      </c>
      <c r="P44" s="485" t="n">
        <v>3.62</v>
      </c>
      <c r="Q44" s="485" t="n">
        <v>5.58</v>
      </c>
      <c r="R44" s="488" t="inlineStr">
        <is>
          <t>ND</t>
        </is>
      </c>
      <c r="S44" s="490" t="n">
        <v>3.17</v>
      </c>
      <c r="T44" s="485" t="inlineStr">
        <is>
          <t>ND</t>
        </is>
      </c>
      <c r="U44" s="437" t="inlineStr">
        <is>
          <t>ND</t>
        </is>
      </c>
      <c r="V44" s="485" t="n">
        <v>3.07</v>
      </c>
      <c r="W44" s="488" t="inlineStr">
        <is>
          <t>ND</t>
        </is>
      </c>
      <c r="X44" s="490" t="n">
        <v>4.56</v>
      </c>
      <c r="Y44" s="485" t="n">
        <v>2.36</v>
      </c>
      <c r="Z44" s="502" t="n">
        <v>4.3</v>
      </c>
      <c r="AA44" s="533" t="n">
        <v>11.1</v>
      </c>
      <c r="AB44" s="488" t="n">
        <v>4.27</v>
      </c>
      <c r="AC44" s="521" t="n">
        <v>10.4</v>
      </c>
      <c r="AD44" s="485" t="n">
        <v>1.76</v>
      </c>
      <c r="AE44" s="485" t="n">
        <v>5.91</v>
      </c>
      <c r="AF44" s="485" t="n">
        <v>7.99</v>
      </c>
      <c r="AG44" s="488" t="n">
        <v>5.72</v>
      </c>
      <c r="AH44" s="490" t="n">
        <v>6.33</v>
      </c>
      <c r="AI44" s="485" t="n">
        <v>3.82</v>
      </c>
      <c r="AJ44" s="485" t="n">
        <v>5.25</v>
      </c>
      <c r="AK44" s="501" t="n">
        <v>1.4</v>
      </c>
      <c r="AL44" s="489" t="n">
        <v>1.95</v>
      </c>
      <c r="AM44" s="490" t="inlineStr">
        <is>
          <t>ND</t>
        </is>
      </c>
      <c r="AN44" s="533" t="n">
        <v>12.1</v>
      </c>
      <c r="AO44" s="485" t="n">
        <v>6.69</v>
      </c>
      <c r="AP44" s="485" t="inlineStr">
        <is>
          <t>ND</t>
        </is>
      </c>
      <c r="AQ44" s="488" t="inlineStr">
        <is>
          <t>ND</t>
        </is>
      </c>
      <c r="AR44" s="490" t="n">
        <v>3.98</v>
      </c>
      <c r="AS44" s="502" t="inlineStr">
        <is>
          <t>ND</t>
        </is>
      </c>
      <c r="AT44" s="485" t="n">
        <v>4.85</v>
      </c>
      <c r="AU44" s="485" t="n">
        <v>4.85</v>
      </c>
      <c r="AV44" s="488" t="n">
        <v>6.75</v>
      </c>
      <c r="AW44" s="132" t="n">
        <v>0.37</v>
      </c>
      <c r="AX44" s="485" t="n">
        <v>6.22</v>
      </c>
      <c r="AY44" s="502" t="n">
        <v>4.2</v>
      </c>
      <c r="AZ44" s="122" t="n">
        <v>0.772</v>
      </c>
      <c r="BA44" s="504" t="n">
        <v>4.7</v>
      </c>
      <c r="BB44" s="490" t="n">
        <v>2.48</v>
      </c>
      <c r="BC44" s="485" t="n">
        <v>8.039999999999999</v>
      </c>
      <c r="BD44" s="485" t="n">
        <v>3.21</v>
      </c>
      <c r="BE44" s="485" t="n">
        <v>6.45</v>
      </c>
      <c r="BF44" s="504" t="n">
        <v>4.8</v>
      </c>
      <c r="BG44" s="522" t="n">
        <v>6.7</v>
      </c>
      <c r="BH44" s="539" t="n">
        <v>4</v>
      </c>
      <c r="BI44" s="485" t="n">
        <v>4.79</v>
      </c>
      <c r="BJ44" s="485" t="n">
        <v>1.19</v>
      </c>
      <c r="BK44" s="120" t="n">
        <v>0.972</v>
      </c>
      <c r="BL44" s="490" t="inlineStr">
        <is>
          <t>ND</t>
        </is>
      </c>
      <c r="BM44" s="485" t="inlineStr">
        <is>
          <t>ND</t>
        </is>
      </c>
      <c r="BN44" s="485" t="n">
        <v>1.03</v>
      </c>
      <c r="BO44" s="486" t="n">
        <v>2.55</v>
      </c>
      <c r="BP44" s="440" t="inlineStr">
        <is>
          <t>ND</t>
        </is>
      </c>
      <c r="BQ44" s="490" t="inlineStr">
        <is>
          <t>ND</t>
        </is>
      </c>
      <c r="BR44" s="486" t="n">
        <v>2.92</v>
      </c>
      <c r="BS44" s="540" t="n">
        <v>5</v>
      </c>
      <c r="BT44" s="541" t="n">
        <v>15.9</v>
      </c>
      <c r="BU44" s="455" t="n"/>
      <c r="BV44" s="455" t="n"/>
      <c r="BW44" s="238" t="n"/>
      <c r="BX44" s="238" t="n"/>
      <c r="BY44" s="238" t="n"/>
      <c r="BZ44" s="238" t="n"/>
      <c r="CA44" s="238" t="n"/>
      <c r="CB44" s="238" t="n"/>
      <c r="CC44" s="238" t="n"/>
      <c r="CD44" s="238" t="n"/>
      <c r="CE44" s="238" t="n"/>
      <c r="CF44" s="238" t="n"/>
      <c r="CG44" s="238" t="n"/>
      <c r="CH44" s="238" t="n"/>
      <c r="CI44" s="238" t="n"/>
      <c r="CJ44" s="238" t="n"/>
      <c r="CK44" s="238" t="n"/>
      <c r="CL44" s="238" t="n"/>
      <c r="CM44" s="238" t="n"/>
      <c r="CN44" s="238" t="n"/>
      <c r="CO44" s="238" t="n"/>
      <c r="CP44" s="238" t="n"/>
      <c r="CQ44" s="238" t="n"/>
      <c r="CR44" s="238" t="n"/>
      <c r="CS44" s="238" t="n"/>
      <c r="CT44" s="238" t="n"/>
      <c r="CU44" s="238" t="n"/>
      <c r="CV44" s="238" t="n"/>
      <c r="CW44" s="238" t="n"/>
      <c r="CX44" s="238" t="n"/>
      <c r="CY44" s="238" t="n"/>
      <c r="CZ44" s="238" t="n"/>
      <c r="DA44" s="238" t="n"/>
      <c r="DB44" s="238" t="n"/>
      <c r="DC44" s="238" t="n"/>
      <c r="DD44" s="238" t="n"/>
      <c r="DE44" s="238" t="n"/>
      <c r="DF44" s="238" t="n"/>
      <c r="DG44" s="238" t="n"/>
      <c r="DH44" s="238" t="n"/>
      <c r="DI44" s="238" t="n"/>
      <c r="DJ44" s="238" t="n"/>
      <c r="DK44" s="238" t="n"/>
      <c r="DL44" s="238" t="n"/>
      <c r="DM44" s="238" t="n"/>
      <c r="DN44" s="238" t="n"/>
      <c r="DO44" s="238" t="n"/>
      <c r="DP44" s="238" t="n"/>
      <c r="DQ44" s="238" t="n"/>
      <c r="DR44" s="238" t="n"/>
      <c r="DS44" s="238" t="n"/>
      <c r="DT44" s="238" t="n"/>
      <c r="DU44" s="238" t="n"/>
      <c r="DV44" s="238" t="n"/>
      <c r="DW44" s="238" t="n"/>
      <c r="DX44" s="238" t="n"/>
      <c r="DY44" s="238" t="n"/>
      <c r="DZ44" s="23" t="n"/>
      <c r="FQ44" s="212" t="n"/>
      <c r="FR44" s="212" t="n"/>
      <c r="FS44" s="212" t="n"/>
      <c r="FT44" s="212" t="n"/>
      <c r="FU44" s="212" t="n"/>
      <c r="FV44" s="212" t="n"/>
      <c r="FW44" s="212" t="n"/>
      <c r="FX44" s="212" t="n"/>
      <c r="FY44" s="212" t="n"/>
      <c r="FZ44" s="212" t="n"/>
    </row>
    <row r="45" ht="39.95" customFormat="1" customHeight="1" s="5">
      <c r="A45" s="456" t="n"/>
      <c r="B45" s="8" t="n"/>
      <c r="C45" s="12" t="inlineStr">
        <is>
          <t>R</t>
        </is>
      </c>
      <c r="D45" s="435" t="inlineStr">
        <is>
          <t>ND</t>
        </is>
      </c>
      <c r="E45" s="438" t="inlineStr">
        <is>
          <t>ND</t>
        </is>
      </c>
      <c r="F45" s="494" t="n">
        <v>1.84</v>
      </c>
      <c r="G45" s="438" t="n">
        <v>0.102</v>
      </c>
      <c r="H45" s="498" t="n">
        <v>3.71</v>
      </c>
      <c r="I45" s="534" t="n">
        <v>20.3</v>
      </c>
      <c r="J45" s="438" t="inlineStr">
        <is>
          <t>ND</t>
        </is>
      </c>
      <c r="K45" s="492" t="n">
        <v>1.4</v>
      </c>
      <c r="L45" s="497" t="n">
        <v>2.62</v>
      </c>
      <c r="M45" s="441" t="inlineStr">
        <is>
          <t>ND</t>
        </is>
      </c>
      <c r="N45" s="444" t="inlineStr">
        <is>
          <t>ND</t>
        </is>
      </c>
      <c r="O45" s="494" t="n">
        <v>1.84</v>
      </c>
      <c r="P45" s="494" t="inlineStr">
        <is>
          <t>ND</t>
        </is>
      </c>
      <c r="Q45" s="494" t="n">
        <v>3.17</v>
      </c>
      <c r="R45" s="495" t="inlineStr">
        <is>
          <t>ND</t>
        </is>
      </c>
      <c r="S45" s="496" t="inlineStr">
        <is>
          <t>ND</t>
        </is>
      </c>
      <c r="T45" s="494" t="inlineStr">
        <is>
          <t>ND</t>
        </is>
      </c>
      <c r="U45" s="438" t="inlineStr">
        <is>
          <t>ND</t>
        </is>
      </c>
      <c r="V45" s="494" t="n">
        <v>1.45</v>
      </c>
      <c r="W45" s="495" t="n">
        <v>3.85</v>
      </c>
      <c r="X45" s="496" t="n">
        <v>6.64</v>
      </c>
      <c r="Y45" s="494" t="n">
        <v>3.65</v>
      </c>
      <c r="Z45" s="494" t="inlineStr">
        <is>
          <t>ND</t>
        </is>
      </c>
      <c r="AA45" s="494" t="n">
        <v>4.62</v>
      </c>
      <c r="AB45" s="495" t="inlineStr">
        <is>
          <t>ND</t>
        </is>
      </c>
      <c r="AC45" s="496" t="n">
        <v>8.039999999999999</v>
      </c>
      <c r="AD45" s="494" t="n">
        <v>1.69</v>
      </c>
      <c r="AE45" s="494" t="n">
        <v>8.34</v>
      </c>
      <c r="AF45" s="494" t="n">
        <v>6.58</v>
      </c>
      <c r="AG45" s="498" t="n">
        <v>6.19</v>
      </c>
      <c r="AH45" s="496" t="n">
        <v>5.24</v>
      </c>
      <c r="AI45" s="497" t="n">
        <v>2.65</v>
      </c>
      <c r="AJ45" s="492" t="n">
        <v>4.4</v>
      </c>
      <c r="AK45" s="438" t="n">
        <v>0.879</v>
      </c>
      <c r="AL45" s="151" t="n">
        <v>0.283</v>
      </c>
      <c r="AM45" s="148" t="n">
        <v>0.584</v>
      </c>
      <c r="AN45" s="494" t="n">
        <v>7.03</v>
      </c>
      <c r="AO45" s="493" t="n">
        <v>10.2</v>
      </c>
      <c r="AP45" s="438" t="inlineStr">
        <is>
          <t>ND</t>
        </is>
      </c>
      <c r="AQ45" s="495" t="n">
        <v>5.77</v>
      </c>
      <c r="AR45" s="496" t="n">
        <v>3.52</v>
      </c>
      <c r="AS45" s="494" t="n">
        <v>6.32</v>
      </c>
      <c r="AT45" s="493" t="n">
        <v>11.6</v>
      </c>
      <c r="AU45" s="494" t="inlineStr">
        <is>
          <t>ND</t>
        </is>
      </c>
      <c r="AV45" s="495" t="n">
        <v>7.55</v>
      </c>
      <c r="AW45" s="496" t="n">
        <v>5.06</v>
      </c>
      <c r="AX45" s="493" t="n">
        <v>10.5</v>
      </c>
      <c r="AY45" s="494" t="n">
        <v>1.48</v>
      </c>
      <c r="AZ45" s="438" t="inlineStr">
        <is>
          <t>ND</t>
        </is>
      </c>
      <c r="BA45" s="495" t="inlineStr">
        <is>
          <t>ND</t>
        </is>
      </c>
      <c r="BB45" s="148" t="n">
        <v>0.369</v>
      </c>
      <c r="BC45" s="494" t="n">
        <v>6.97</v>
      </c>
      <c r="BD45" s="492" t="n">
        <v>1.5</v>
      </c>
      <c r="BE45" s="494" t="n">
        <v>7.47</v>
      </c>
      <c r="BF45" s="495" t="n">
        <v>3.56</v>
      </c>
      <c r="BG45" s="505" t="n">
        <v>2.04</v>
      </c>
      <c r="BH45" s="492" t="n">
        <v>3.4</v>
      </c>
      <c r="BI45" s="494" t="n">
        <v>7.13</v>
      </c>
      <c r="BJ45" s="492" t="n">
        <v>2.3</v>
      </c>
      <c r="BK45" s="495" t="n">
        <v>1.44</v>
      </c>
      <c r="BL45" s="542" t="n">
        <v>10.4</v>
      </c>
      <c r="BM45" s="494" t="n">
        <v>6.24</v>
      </c>
      <c r="BN45" s="438" t="n">
        <v>0.926</v>
      </c>
      <c r="BO45" s="497" t="n">
        <v>3.82</v>
      </c>
      <c r="BP45" s="498" t="n">
        <v>6.55</v>
      </c>
      <c r="BQ45" s="505" t="n">
        <v>1.54</v>
      </c>
      <c r="BR45" s="497" t="n">
        <v>3.38</v>
      </c>
      <c r="BS45" s="494" t="n">
        <v>2.06</v>
      </c>
      <c r="BT45" s="516" t="n">
        <v>19.4</v>
      </c>
      <c r="BU45" s="457" t="n"/>
      <c r="BV45" s="457" t="n"/>
      <c r="BW45" s="238" t="n"/>
      <c r="BX45" s="238" t="n"/>
      <c r="BY45" s="238" t="n"/>
      <c r="BZ45" s="238" t="n"/>
      <c r="CA45" s="238" t="n"/>
      <c r="CB45" s="238" t="n"/>
      <c r="CC45" s="238" t="n"/>
      <c r="CD45" s="238" t="n"/>
      <c r="CE45" s="238" t="n"/>
      <c r="CF45" s="238" t="n"/>
      <c r="CG45" s="238" t="n"/>
      <c r="CH45" s="238" t="n"/>
      <c r="CI45" s="238" t="n"/>
      <c r="CJ45" s="238" t="n"/>
      <c r="CK45" s="238" t="n"/>
      <c r="CL45" s="238" t="n"/>
      <c r="CM45" s="238" t="n"/>
      <c r="CN45" s="238" t="n"/>
      <c r="CO45" s="238" t="n"/>
      <c r="CP45" s="238" t="n"/>
      <c r="CQ45" s="238" t="n"/>
      <c r="CR45" s="238" t="n"/>
      <c r="CS45" s="238" t="n"/>
      <c r="CT45" s="238" t="n"/>
      <c r="CU45" s="238" t="n"/>
      <c r="CV45" s="238" t="n"/>
      <c r="CW45" s="238" t="n"/>
      <c r="CX45" s="238" t="n"/>
      <c r="CY45" s="238" t="n"/>
      <c r="CZ45" s="238" t="n"/>
      <c r="DA45" s="238" t="n"/>
      <c r="DB45" s="238" t="n"/>
      <c r="DC45" s="238" t="n"/>
      <c r="DD45" s="238" t="n"/>
      <c r="DE45" s="238" t="n"/>
      <c r="DF45" s="238" t="n"/>
      <c r="DG45" s="238" t="n"/>
      <c r="DH45" s="238" t="n"/>
      <c r="DI45" s="238" t="n"/>
      <c r="DJ45" s="238" t="n"/>
      <c r="DK45" s="238" t="n"/>
      <c r="DL45" s="238" t="n"/>
      <c r="DM45" s="238" t="n"/>
      <c r="DN45" s="238" t="n"/>
      <c r="DO45" s="238" t="n"/>
      <c r="DP45" s="238" t="n"/>
      <c r="DQ45" s="238" t="n"/>
      <c r="DR45" s="238" t="n"/>
      <c r="DS45" s="238" t="n"/>
      <c r="DT45" s="238" t="n"/>
      <c r="DU45" s="238" t="n"/>
      <c r="DV45" s="238" t="n"/>
      <c r="DW45" s="238" t="n"/>
      <c r="DX45" s="238" t="n"/>
      <c r="DY45" s="238" t="n"/>
      <c r="DZ45" s="23" t="n"/>
      <c r="FQ45" s="212" t="n"/>
      <c r="FR45" s="212" t="n"/>
      <c r="FS45" s="212" t="n"/>
      <c r="FT45" s="212" t="n"/>
      <c r="FU45" s="212" t="n"/>
      <c r="FV45" s="212" t="n"/>
      <c r="FW45" s="212" t="n"/>
      <c r="FX45" s="212" t="n"/>
      <c r="FY45" s="212" t="n"/>
      <c r="FZ45" s="212" t="n"/>
    </row>
    <row r="46" ht="39.95" customFormat="1" customHeight="1" s="5">
      <c r="A46" s="10" t="inlineStr">
        <is>
          <t>A</t>
        </is>
      </c>
      <c r="B46" s="6" t="n"/>
      <c r="C46" s="11" t="inlineStr">
        <is>
          <t>L</t>
        </is>
      </c>
      <c r="D46" s="433" t="n">
        <v>0.888</v>
      </c>
      <c r="E46" s="475" t="n">
        <v>1.14</v>
      </c>
      <c r="F46" s="436" t="inlineStr">
        <is>
          <t>ND</t>
        </is>
      </c>
      <c r="G46" s="478" t="inlineStr">
        <is>
          <t>ND</t>
        </is>
      </c>
      <c r="H46" s="476" t="inlineStr">
        <is>
          <t>ND</t>
        </is>
      </c>
      <c r="I46" s="442" t="inlineStr">
        <is>
          <t>ND</t>
        </is>
      </c>
      <c r="J46" s="478" t="inlineStr">
        <is>
          <t>ND</t>
        </is>
      </c>
      <c r="K46" s="436" t="inlineStr">
        <is>
          <t>ND</t>
        </is>
      </c>
      <c r="L46" s="436" t="inlineStr">
        <is>
          <t>ND</t>
        </is>
      </c>
      <c r="M46" s="476" t="inlineStr">
        <is>
          <t>ND</t>
        </is>
      </c>
      <c r="N46" s="477" t="inlineStr">
        <is>
          <t>ND</t>
        </is>
      </c>
      <c r="O46" s="112" t="n">
        <v>0.995</v>
      </c>
      <c r="P46" s="436" t="n">
        <v>0.362</v>
      </c>
      <c r="Q46" s="112" t="n">
        <v>0.077</v>
      </c>
      <c r="R46" s="439" t="n">
        <v>0.08400000000000001</v>
      </c>
      <c r="S46" s="477" t="inlineStr">
        <is>
          <t>ND</t>
        </is>
      </c>
      <c r="T46" s="478" t="inlineStr">
        <is>
          <t>ND</t>
        </is>
      </c>
      <c r="U46" s="478" t="inlineStr">
        <is>
          <t>ND</t>
        </is>
      </c>
      <c r="V46" s="478" t="n">
        <v>3.26</v>
      </c>
      <c r="W46" s="476" t="inlineStr">
        <is>
          <t>ND</t>
        </is>
      </c>
      <c r="X46" s="477" t="n">
        <v>5.69</v>
      </c>
      <c r="Y46" s="478" t="n">
        <v>1.08</v>
      </c>
      <c r="Z46" s="478" t="n">
        <v>1.26</v>
      </c>
      <c r="AA46" s="478" t="inlineStr">
        <is>
          <t>ND</t>
        </is>
      </c>
      <c r="AB46" s="476" t="inlineStr">
        <is>
          <t>ND</t>
        </is>
      </c>
      <c r="AC46" s="477" t="n">
        <v>1.26</v>
      </c>
      <c r="AD46" s="112" t="n">
        <v>0.673</v>
      </c>
      <c r="AE46" s="478" t="inlineStr">
        <is>
          <t>ND</t>
        </is>
      </c>
      <c r="AF46" s="478" t="n">
        <v>1.27</v>
      </c>
      <c r="AG46" s="113" t="n">
        <v>0.068</v>
      </c>
      <c r="AH46" s="477" t="n">
        <v>8.210000000000001</v>
      </c>
      <c r="AI46" s="531" t="n">
        <v>11.6</v>
      </c>
      <c r="AJ46" s="531" t="n">
        <v>13.5</v>
      </c>
      <c r="AK46" s="475" t="n">
        <v>8.529999999999999</v>
      </c>
      <c r="AL46" s="543" t="n">
        <v>10.2</v>
      </c>
      <c r="AM46" s="483" t="n">
        <v>2.53</v>
      </c>
      <c r="AN46" s="436" t="inlineStr">
        <is>
          <t>ND</t>
        </is>
      </c>
      <c r="AO46" s="478" t="inlineStr">
        <is>
          <t>ND</t>
        </is>
      </c>
      <c r="AP46" s="478" t="n">
        <v>8.640000000000001</v>
      </c>
      <c r="AQ46" s="113" t="n">
        <v>0.5</v>
      </c>
      <c r="AR46" s="477" t="inlineStr">
        <is>
          <t>ND</t>
        </is>
      </c>
      <c r="AS46" s="478" t="n">
        <v>2.26</v>
      </c>
      <c r="AT46" s="112" t="n">
        <v>0.056</v>
      </c>
      <c r="AU46" s="478" t="n">
        <v>2.77</v>
      </c>
      <c r="AV46" s="476" t="inlineStr">
        <is>
          <t>ND</t>
        </is>
      </c>
      <c r="AW46" s="115" t="n">
        <v>0.978</v>
      </c>
      <c r="AX46" s="478" t="n">
        <v>1.61</v>
      </c>
      <c r="AY46" s="112" t="n">
        <v>0.005</v>
      </c>
      <c r="AZ46" s="478" t="inlineStr">
        <is>
          <t>ND</t>
        </is>
      </c>
      <c r="BA46" s="476" t="n">
        <v>1.19</v>
      </c>
      <c r="BB46" s="477" t="n">
        <v>1.63</v>
      </c>
      <c r="BC46" s="478" t="n">
        <v>3.81</v>
      </c>
      <c r="BD46" s="478" t="inlineStr">
        <is>
          <t>ND</t>
        </is>
      </c>
      <c r="BE46" s="478" t="n">
        <v>5.59</v>
      </c>
      <c r="BF46" s="439" t="inlineStr">
        <is>
          <t>ND</t>
        </is>
      </c>
      <c r="BG46" s="483" t="n">
        <v>1.33</v>
      </c>
      <c r="BH46" s="475" t="n">
        <v>3.97</v>
      </c>
      <c r="BI46" s="436" t="n">
        <v>0.266</v>
      </c>
      <c r="BJ46" s="475" t="n">
        <v>4.26</v>
      </c>
      <c r="BK46" s="476" t="n">
        <v>1.88</v>
      </c>
      <c r="BL46" s="477" t="inlineStr">
        <is>
          <t>ND</t>
        </is>
      </c>
      <c r="BM46" s="478" t="inlineStr">
        <is>
          <t>ND</t>
        </is>
      </c>
      <c r="BN46" s="478" t="n">
        <v>2.27</v>
      </c>
      <c r="BO46" s="478" t="inlineStr">
        <is>
          <t>ND</t>
        </is>
      </c>
      <c r="BP46" s="439" t="inlineStr">
        <is>
          <t>ND</t>
        </is>
      </c>
      <c r="BQ46" s="477" t="n">
        <v>1.81</v>
      </c>
      <c r="BR46" s="436" t="inlineStr">
        <is>
          <t>ND</t>
        </is>
      </c>
      <c r="BS46" s="478" t="inlineStr">
        <is>
          <t>ND</t>
        </is>
      </c>
      <c r="BT46" s="544" t="n">
        <v>16.8</v>
      </c>
      <c r="BU46" s="454">
        <f>IFERROR(AVERAGE(D46:BT48),0)</f>
        <v/>
      </c>
      <c r="BV46" s="454">
        <f>MAX(D46:BT48)</f>
        <v/>
      </c>
      <c r="BW46" s="238" t="n"/>
      <c r="BX46" s="238" t="n"/>
      <c r="BY46" s="238" t="n"/>
      <c r="BZ46" s="238" t="n"/>
      <c r="CA46" s="238" t="n"/>
      <c r="CB46" s="238" t="n"/>
      <c r="CC46" s="238" t="n"/>
      <c r="CD46" s="238" t="n"/>
      <c r="CE46" s="238" t="n"/>
      <c r="CF46" s="238" t="n"/>
      <c r="CG46" s="238" t="n"/>
      <c r="CH46" s="238" t="n"/>
      <c r="CI46" s="238" t="n"/>
      <c r="CJ46" s="238" t="n"/>
      <c r="CK46" s="238" t="n"/>
      <c r="CL46" s="238" t="n"/>
      <c r="CM46" s="238" t="n"/>
      <c r="CN46" s="238" t="n"/>
      <c r="CO46" s="238" t="n"/>
      <c r="CP46" s="238" t="n"/>
      <c r="CQ46" s="238" t="n"/>
      <c r="CR46" s="238" t="n"/>
      <c r="CS46" s="238" t="n"/>
      <c r="CT46" s="238" t="n"/>
      <c r="CU46" s="238" t="n"/>
      <c r="CV46" s="238" t="n"/>
      <c r="CW46" s="238" t="n"/>
      <c r="CX46" s="238" t="n"/>
      <c r="CY46" s="238" t="n"/>
      <c r="CZ46" s="238" t="n"/>
      <c r="DA46" s="238" t="n"/>
      <c r="DB46" s="238" t="n"/>
      <c r="DC46" s="238" t="n"/>
      <c r="DD46" s="238" t="n"/>
      <c r="DE46" s="238" t="n"/>
      <c r="DF46" s="238" t="n"/>
      <c r="DG46" s="238" t="n"/>
      <c r="DH46" s="238" t="n"/>
      <c r="DI46" s="238" t="n"/>
      <c r="DJ46" s="238" t="n"/>
      <c r="DK46" s="238" t="n"/>
      <c r="DL46" s="238" t="n"/>
      <c r="DM46" s="238" t="n"/>
      <c r="DN46" s="238" t="n"/>
      <c r="DO46" s="238" t="n"/>
      <c r="DP46" s="238" t="n"/>
      <c r="DQ46" s="238" t="n"/>
      <c r="DR46" s="238" t="n"/>
      <c r="DS46" s="238" t="n"/>
      <c r="DT46" s="238" t="n"/>
      <c r="DU46" s="238" t="n"/>
      <c r="DV46" s="238" t="n"/>
      <c r="DW46" s="238" t="n"/>
      <c r="DX46" s="238" t="n"/>
      <c r="DY46" s="238" t="n"/>
      <c r="DZ46" s="23" t="n"/>
      <c r="FQ46" s="212" t="n"/>
      <c r="FR46" s="212" t="n"/>
      <c r="FS46" s="212" t="n"/>
      <c r="FT46" s="212" t="n"/>
      <c r="FU46" s="212" t="n"/>
      <c r="FV46" s="212" t="n"/>
      <c r="FW46" s="212" t="n"/>
      <c r="FX46" s="212" t="n"/>
      <c r="FY46" s="212" t="n"/>
      <c r="FZ46" s="212" t="n"/>
    </row>
    <row r="47" ht="39.95" customFormat="1" customHeight="1" s="5">
      <c r="A47" s="182" t="inlineStr"/>
      <c r="B47" s="7" t="inlineStr">
        <is>
          <t>+7 FT 6 IN</t>
        </is>
      </c>
      <c r="C47" s="11" t="inlineStr">
        <is>
          <t>C</t>
        </is>
      </c>
      <c r="D47" s="434" t="n">
        <v>0.232</v>
      </c>
      <c r="E47" s="437" t="inlineStr">
        <is>
          <t>ND</t>
        </is>
      </c>
      <c r="F47" s="437" t="n">
        <v>0.221</v>
      </c>
      <c r="G47" s="486" t="n">
        <v>2.05</v>
      </c>
      <c r="H47" s="488" t="n">
        <v>1.38</v>
      </c>
      <c r="I47" s="443" t="inlineStr">
        <is>
          <t>ND</t>
        </is>
      </c>
      <c r="J47" s="437" t="inlineStr">
        <is>
          <t>ND</t>
        </is>
      </c>
      <c r="K47" s="437" t="inlineStr">
        <is>
          <t>ND</t>
        </is>
      </c>
      <c r="L47" s="437" t="inlineStr">
        <is>
          <t>ND</t>
        </is>
      </c>
      <c r="M47" s="488" t="inlineStr">
        <is>
          <t>ND</t>
        </is>
      </c>
      <c r="N47" s="490" t="inlineStr">
        <is>
          <t>ND</t>
        </is>
      </c>
      <c r="O47" s="122" t="n">
        <v>0.536</v>
      </c>
      <c r="P47" s="486" t="n">
        <v>4.46</v>
      </c>
      <c r="Q47" s="485" t="n">
        <v>2.64</v>
      </c>
      <c r="R47" s="120" t="n">
        <v>0.99</v>
      </c>
      <c r="S47" s="490" t="n">
        <v>1.07</v>
      </c>
      <c r="T47" s="485" t="n">
        <v>1.94</v>
      </c>
      <c r="U47" s="485" t="inlineStr">
        <is>
          <t>ND</t>
        </is>
      </c>
      <c r="V47" s="485" t="inlineStr">
        <is>
          <t>ND</t>
        </is>
      </c>
      <c r="W47" s="120" t="n">
        <v>0.201</v>
      </c>
      <c r="X47" s="490" t="n">
        <v>8.33</v>
      </c>
      <c r="Y47" s="485" t="n">
        <v>2.42</v>
      </c>
      <c r="Z47" s="485" t="n">
        <v>2.71</v>
      </c>
      <c r="AA47" s="122" t="n">
        <v>0.671</v>
      </c>
      <c r="AB47" s="488" t="n">
        <v>4.55</v>
      </c>
      <c r="AC47" s="443" t="inlineStr">
        <is>
          <t>ND</t>
        </is>
      </c>
      <c r="AD47" s="485" t="n">
        <v>3.95</v>
      </c>
      <c r="AE47" s="485" t="n">
        <v>1.86</v>
      </c>
      <c r="AF47" s="485" t="n">
        <v>8.140000000000001</v>
      </c>
      <c r="AG47" s="504" t="inlineStr">
        <is>
          <t>ND</t>
        </is>
      </c>
      <c r="AH47" s="490" t="n">
        <v>1.28</v>
      </c>
      <c r="AI47" s="533" t="n">
        <v>10.9</v>
      </c>
      <c r="AJ47" s="533" t="n">
        <v>10.8</v>
      </c>
      <c r="AK47" s="533" t="n">
        <v>10.1</v>
      </c>
      <c r="AL47" s="488" t="n">
        <v>5.04</v>
      </c>
      <c r="AM47" s="487" t="n">
        <v>7.08</v>
      </c>
      <c r="AN47" s="437" t="inlineStr">
        <is>
          <t>ND</t>
        </is>
      </c>
      <c r="AO47" s="485" t="inlineStr">
        <is>
          <t>ND</t>
        </is>
      </c>
      <c r="AP47" s="485" t="n">
        <v>9.33</v>
      </c>
      <c r="AQ47" s="488" t="n">
        <v>1.12</v>
      </c>
      <c r="AR47" s="522" t="n">
        <v>3.8</v>
      </c>
      <c r="AS47" s="502" t="n">
        <v>4.5</v>
      </c>
      <c r="AT47" s="122" t="n">
        <v>0.782</v>
      </c>
      <c r="AU47" s="485" t="inlineStr">
        <is>
          <t>ND</t>
        </is>
      </c>
      <c r="AV47" s="488" t="inlineStr">
        <is>
          <t>ND</t>
        </is>
      </c>
      <c r="AW47" s="490" t="inlineStr">
        <is>
          <t>ND</t>
        </is>
      </c>
      <c r="AX47" s="485" t="n">
        <v>2.35</v>
      </c>
      <c r="AY47" s="485" t="n">
        <v>3.37</v>
      </c>
      <c r="AZ47" s="122" t="n">
        <v>0.785</v>
      </c>
      <c r="BA47" s="488" t="n">
        <v>1.26</v>
      </c>
      <c r="BB47" s="522" t="n">
        <v>3.2</v>
      </c>
      <c r="BC47" s="122" t="n">
        <v>0.122</v>
      </c>
      <c r="BD47" s="502" t="n">
        <v>1.1</v>
      </c>
      <c r="BE47" s="485" t="n">
        <v>1.87</v>
      </c>
      <c r="BF47" s="440" t="inlineStr">
        <is>
          <t>ND</t>
        </is>
      </c>
      <c r="BG47" s="511" t="n">
        <v>1.5</v>
      </c>
      <c r="BH47" s="437" t="n">
        <v>0.602</v>
      </c>
      <c r="BI47" s="486" t="n">
        <v>1.82</v>
      </c>
      <c r="BJ47" s="486" t="n">
        <v>6.26</v>
      </c>
      <c r="BK47" s="120" t="n">
        <v>0.408</v>
      </c>
      <c r="BL47" s="522" t="n">
        <v>1.3</v>
      </c>
      <c r="BM47" s="485" t="n">
        <v>3.26</v>
      </c>
      <c r="BN47" s="485" t="n">
        <v>1.53</v>
      </c>
      <c r="BO47" s="437" t="n">
        <v>0.513</v>
      </c>
      <c r="BP47" s="440" t="inlineStr">
        <is>
          <t>ND</t>
        </is>
      </c>
      <c r="BQ47" s="490" t="inlineStr">
        <is>
          <t>ND</t>
        </is>
      </c>
      <c r="BR47" s="437" t="inlineStr">
        <is>
          <t>ND</t>
        </is>
      </c>
      <c r="BS47" s="122" t="n">
        <v>0.974</v>
      </c>
      <c r="BT47" s="541" t="n">
        <v>18.6</v>
      </c>
      <c r="BU47" s="455" t="n"/>
      <c r="BV47" s="455" t="n"/>
      <c r="BW47" s="238" t="n"/>
      <c r="BX47" s="238" t="n"/>
      <c r="BY47" s="238" t="n"/>
      <c r="BZ47" s="238" t="n"/>
      <c r="CA47" s="238" t="n"/>
      <c r="CB47" s="238" t="n"/>
      <c r="CC47" s="238" t="n"/>
      <c r="CD47" s="238" t="n"/>
      <c r="CE47" s="238" t="n"/>
      <c r="CF47" s="238" t="n"/>
      <c r="CG47" s="238" t="n"/>
      <c r="CH47" s="238" t="n"/>
      <c r="CI47" s="238" t="n"/>
      <c r="CJ47" s="238" t="n"/>
      <c r="CK47" s="238" t="n"/>
      <c r="CL47" s="238" t="n"/>
      <c r="CM47" s="238" t="n"/>
      <c r="CN47" s="238" t="n"/>
      <c r="CO47" s="238" t="n"/>
      <c r="CP47" s="238" t="n"/>
      <c r="CQ47" s="238" t="n"/>
      <c r="CR47" s="238" t="n"/>
      <c r="CS47" s="238" t="n"/>
      <c r="CT47" s="238" t="n"/>
      <c r="CU47" s="238" t="n"/>
      <c r="CV47" s="238" t="n"/>
      <c r="CW47" s="238" t="n"/>
      <c r="CX47" s="238" t="n"/>
      <c r="CY47" s="238" t="n"/>
      <c r="CZ47" s="238" t="n"/>
      <c r="DA47" s="238" t="n"/>
      <c r="DB47" s="238" t="n"/>
      <c r="DC47" s="238" t="n"/>
      <c r="DD47" s="238" t="n"/>
      <c r="DE47" s="238" t="n"/>
      <c r="DF47" s="238" t="n"/>
      <c r="DG47" s="238" t="n"/>
      <c r="DH47" s="238" t="n"/>
      <c r="DI47" s="238" t="n"/>
      <c r="DJ47" s="238" t="n"/>
      <c r="DK47" s="238" t="n"/>
      <c r="DL47" s="238" t="n"/>
      <c r="DM47" s="238" t="n"/>
      <c r="DN47" s="238" t="n"/>
      <c r="DO47" s="238" t="n"/>
      <c r="DP47" s="238" t="n"/>
      <c r="DQ47" s="238" t="n"/>
      <c r="DR47" s="238" t="n"/>
      <c r="DS47" s="238" t="n"/>
      <c r="DT47" s="238" t="n"/>
      <c r="DU47" s="238" t="n"/>
      <c r="DV47" s="238" t="n"/>
      <c r="DW47" s="238" t="n"/>
      <c r="DX47" s="238" t="n"/>
      <c r="DY47" s="238" t="n"/>
      <c r="DZ47" s="23" t="n"/>
      <c r="FQ47" s="212" t="n"/>
      <c r="FR47" s="212" t="n"/>
      <c r="FS47" s="212" t="n"/>
      <c r="FT47" s="212" t="n"/>
      <c r="FU47" s="212" t="n"/>
      <c r="FV47" s="212" t="n"/>
      <c r="FW47" s="212" t="n"/>
      <c r="FX47" s="212" t="n"/>
      <c r="FY47" s="212" t="n"/>
      <c r="FZ47" s="212" t="n"/>
    </row>
    <row r="48" ht="39.95" customFormat="1" customHeight="1" s="5">
      <c r="A48" s="456" t="n"/>
      <c r="B48" s="8" t="n"/>
      <c r="C48" s="12" t="inlineStr">
        <is>
          <t>R</t>
        </is>
      </c>
      <c r="D48" s="435" t="n">
        <v>0.091</v>
      </c>
      <c r="E48" s="438" t="inlineStr">
        <is>
          <t>ND</t>
        </is>
      </c>
      <c r="F48" s="438" t="inlineStr">
        <is>
          <t>ND</t>
        </is>
      </c>
      <c r="G48" s="497" t="n">
        <v>3.08</v>
      </c>
      <c r="H48" s="441" t="inlineStr">
        <is>
          <t>ND</t>
        </is>
      </c>
      <c r="I48" s="444" t="inlineStr">
        <is>
          <t>ND</t>
        </is>
      </c>
      <c r="J48" s="438" t="inlineStr">
        <is>
          <t>ND</t>
        </is>
      </c>
      <c r="K48" s="438" t="inlineStr">
        <is>
          <t>ND</t>
        </is>
      </c>
      <c r="L48" s="438" t="inlineStr">
        <is>
          <t>ND</t>
        </is>
      </c>
      <c r="M48" s="528" t="inlineStr">
        <is>
          <t>ND</t>
        </is>
      </c>
      <c r="N48" s="496" t="inlineStr">
        <is>
          <t>ND</t>
        </is>
      </c>
      <c r="O48" s="494" t="n">
        <v>4.29</v>
      </c>
      <c r="P48" s="494" t="n">
        <v>7.46</v>
      </c>
      <c r="Q48" s="494" t="inlineStr">
        <is>
          <t>ND</t>
        </is>
      </c>
      <c r="R48" s="151" t="n">
        <v>0.484</v>
      </c>
      <c r="S48" s="496" t="n">
        <v>2.28</v>
      </c>
      <c r="T48" s="438" t="inlineStr">
        <is>
          <t>ND</t>
        </is>
      </c>
      <c r="U48" s="494" t="inlineStr">
        <is>
          <t>ND</t>
        </is>
      </c>
      <c r="V48" s="494" t="n">
        <v>2.05</v>
      </c>
      <c r="W48" s="528" t="n">
        <v>3.5</v>
      </c>
      <c r="X48" s="496" t="n">
        <v>3.84</v>
      </c>
      <c r="Y48" s="494" t="n">
        <v>2.07</v>
      </c>
      <c r="Z48" s="494" t="n">
        <v>3.32</v>
      </c>
      <c r="AA48" s="494" t="n">
        <v>2.06</v>
      </c>
      <c r="AB48" s="495" t="inlineStr">
        <is>
          <t>ND</t>
        </is>
      </c>
      <c r="AC48" s="148" t="n">
        <v>0.53</v>
      </c>
      <c r="AD48" s="438" t="inlineStr">
        <is>
          <t>ND</t>
        </is>
      </c>
      <c r="AE48" s="494" t="n">
        <v>4.58</v>
      </c>
      <c r="AF48" s="497" t="n">
        <v>6.86</v>
      </c>
      <c r="AG48" s="495" t="n">
        <v>8.359999999999999</v>
      </c>
      <c r="AH48" s="505" t="n">
        <v>1.63</v>
      </c>
      <c r="AI48" s="494" t="n">
        <v>9.82</v>
      </c>
      <c r="AJ48" s="494" t="n">
        <v>7.86</v>
      </c>
      <c r="AK48" s="494" t="n">
        <v>6.17</v>
      </c>
      <c r="AL48" s="495" t="n">
        <v>8.779999999999999</v>
      </c>
      <c r="AM48" s="505" t="n">
        <v>6.71</v>
      </c>
      <c r="AN48" s="494" t="inlineStr">
        <is>
          <t>ND</t>
        </is>
      </c>
      <c r="AO48" s="494" t="n">
        <v>1.67</v>
      </c>
      <c r="AP48" s="494" t="n">
        <v>6.68</v>
      </c>
      <c r="AQ48" s="527" t="n">
        <v>10.3</v>
      </c>
      <c r="AR48" s="496" t="n">
        <v>2.35</v>
      </c>
      <c r="AS48" s="526" t="n">
        <v>4</v>
      </c>
      <c r="AT48" s="125" t="n">
        <v>0.737</v>
      </c>
      <c r="AU48" s="438" t="inlineStr">
        <is>
          <t>ND</t>
        </is>
      </c>
      <c r="AV48" s="528" t="n">
        <v>3.7</v>
      </c>
      <c r="AW48" s="524" t="n">
        <v>1.2</v>
      </c>
      <c r="AX48" s="494" t="n">
        <v>2.11</v>
      </c>
      <c r="AY48" s="494" t="inlineStr">
        <is>
          <t>ND</t>
        </is>
      </c>
      <c r="AZ48" s="494" t="inlineStr">
        <is>
          <t>ND</t>
        </is>
      </c>
      <c r="BA48" s="151" t="n">
        <v>0.046</v>
      </c>
      <c r="BB48" s="496" t="n">
        <v>1.84</v>
      </c>
      <c r="BC48" s="494" t="n">
        <v>1.97</v>
      </c>
      <c r="BD48" s="494" t="n">
        <v>2.22</v>
      </c>
      <c r="BE48" s="494" t="n">
        <v>1.92</v>
      </c>
      <c r="BF48" s="498" t="n">
        <v>3.73</v>
      </c>
      <c r="BG48" s="444" t="inlineStr">
        <is>
          <t>ND</t>
        </is>
      </c>
      <c r="BH48" s="499" t="n">
        <v>2.3</v>
      </c>
      <c r="BI48" s="438" t="inlineStr">
        <is>
          <t>ND</t>
        </is>
      </c>
      <c r="BJ48" s="499" t="n">
        <v>4.1</v>
      </c>
      <c r="BK48" s="495" t="n">
        <v>3.35</v>
      </c>
      <c r="BL48" s="496" t="inlineStr">
        <is>
          <t>ND</t>
        </is>
      </c>
      <c r="BM48" s="494" t="inlineStr">
        <is>
          <t>ND</t>
        </is>
      </c>
      <c r="BN48" s="494" t="n">
        <v>1.92</v>
      </c>
      <c r="BO48" s="438" t="n">
        <v>0.151</v>
      </c>
      <c r="BP48" s="441" t="inlineStr">
        <is>
          <t>ND</t>
        </is>
      </c>
      <c r="BQ48" s="496" t="n">
        <v>1.96</v>
      </c>
      <c r="BR48" s="438" t="n">
        <v>0.823</v>
      </c>
      <c r="BS48" s="438" t="n">
        <v>0.446</v>
      </c>
      <c r="BT48" s="545" t="n">
        <v>38</v>
      </c>
      <c r="BU48" s="457" t="n"/>
      <c r="BV48" s="457" t="n"/>
      <c r="BW48" s="238" t="n"/>
      <c r="BX48" s="238" t="n"/>
      <c r="BY48" s="238" t="n"/>
      <c r="BZ48" s="238" t="n"/>
      <c r="CA48" s="238" t="n"/>
      <c r="CB48" s="238" t="n"/>
      <c r="CC48" s="238" t="n"/>
      <c r="CD48" s="238" t="n"/>
      <c r="CE48" s="238" t="n"/>
      <c r="CF48" s="238" t="n"/>
      <c r="CG48" s="238" t="n"/>
      <c r="CH48" s="238" t="n"/>
      <c r="CI48" s="238" t="n"/>
      <c r="CJ48" s="238" t="n"/>
      <c r="CK48" s="238" t="n"/>
      <c r="CL48" s="238" t="n"/>
      <c r="CM48" s="238" t="n"/>
      <c r="CN48" s="238" t="n"/>
      <c r="CO48" s="238" t="n"/>
      <c r="CP48" s="238" t="n"/>
      <c r="CQ48" s="238" t="n"/>
      <c r="CR48" s="238" t="n"/>
      <c r="CS48" s="238" t="n"/>
      <c r="CT48" s="238" t="n"/>
      <c r="CU48" s="238" t="n"/>
      <c r="CV48" s="238" t="n"/>
      <c r="CW48" s="238" t="n"/>
      <c r="CX48" s="238" t="n"/>
      <c r="CY48" s="238" t="n"/>
      <c r="CZ48" s="238" t="n"/>
      <c r="DA48" s="238" t="n"/>
      <c r="DB48" s="238" t="n"/>
      <c r="DC48" s="238" t="n"/>
      <c r="DD48" s="238" t="n"/>
      <c r="DE48" s="238" t="n"/>
      <c r="DF48" s="238" t="n"/>
      <c r="DG48" s="238" t="n"/>
      <c r="DH48" s="238" t="n"/>
      <c r="DI48" s="238" t="n"/>
      <c r="DJ48" s="238" t="n"/>
      <c r="DK48" s="238" t="n"/>
      <c r="DL48" s="238" t="n"/>
      <c r="DM48" s="238" t="n"/>
      <c r="DN48" s="238" t="n"/>
      <c r="DO48" s="238" t="n"/>
      <c r="DP48" s="238" t="n"/>
      <c r="DQ48" s="238" t="n"/>
      <c r="DR48" s="238" t="n"/>
      <c r="DS48" s="238" t="n"/>
      <c r="DT48" s="238" t="n"/>
      <c r="DU48" s="238" t="n"/>
      <c r="DV48" s="238" t="n"/>
      <c r="DW48" s="238" t="n"/>
      <c r="DX48" s="238" t="n"/>
      <c r="DY48" s="238" t="n"/>
      <c r="DZ48" s="23" t="n"/>
      <c r="FQ48" s="212" t="n"/>
      <c r="FR48" s="212" t="n"/>
      <c r="FS48" s="212" t="n"/>
      <c r="FT48" s="212" t="n"/>
      <c r="FU48" s="212" t="n"/>
      <c r="FV48" s="212" t="n"/>
      <c r="FW48" s="212" t="n"/>
      <c r="FX48" s="212" t="n"/>
      <c r="FY48" s="212" t="n"/>
      <c r="FZ48" s="212" t="n"/>
    </row>
    <row r="49" ht="39.95" customFormat="1" customHeight="1" s="5">
      <c r="A49" s="10" t="inlineStr">
        <is>
          <t>A</t>
        </is>
      </c>
      <c r="B49" s="6" t="n"/>
      <c r="C49" s="11" t="inlineStr">
        <is>
          <t>L</t>
        </is>
      </c>
      <c r="D49" s="474" t="n">
        <v>1.13</v>
      </c>
      <c r="E49" s="436" t="inlineStr">
        <is>
          <t>ND</t>
        </is>
      </c>
      <c r="F49" s="436" t="inlineStr">
        <is>
          <t>ND</t>
        </is>
      </c>
      <c r="G49" s="475" t="n">
        <v>1.67</v>
      </c>
      <c r="H49" s="439" t="n">
        <v>0.141</v>
      </c>
      <c r="I49" s="442" t="inlineStr">
        <is>
          <t>ND</t>
        </is>
      </c>
      <c r="J49" s="436" t="inlineStr">
        <is>
          <t>ND</t>
        </is>
      </c>
      <c r="K49" s="436" t="inlineStr">
        <is>
          <t>ND</t>
        </is>
      </c>
      <c r="L49" s="436" t="inlineStr">
        <is>
          <t>ND</t>
        </is>
      </c>
      <c r="M49" s="476" t="inlineStr">
        <is>
          <t>ND</t>
        </is>
      </c>
      <c r="N49" s="115" t="n">
        <v>0.38</v>
      </c>
      <c r="O49" s="436" t="inlineStr">
        <is>
          <t>ND</t>
        </is>
      </c>
      <c r="P49" s="475" t="n">
        <v>2.34</v>
      </c>
      <c r="Q49" s="478" t="n">
        <v>9.52</v>
      </c>
      <c r="R49" s="480" t="n">
        <v>5.59</v>
      </c>
      <c r="S49" s="477" t="n">
        <v>7.03</v>
      </c>
      <c r="T49" s="478" t="n">
        <v>7.82</v>
      </c>
      <c r="U49" s="478" t="n">
        <v>9.06</v>
      </c>
      <c r="V49" s="478" t="inlineStr">
        <is>
          <t>ND</t>
        </is>
      </c>
      <c r="W49" s="476" t="n">
        <v>9.640000000000001</v>
      </c>
      <c r="X49" s="509" t="n">
        <v>11.4</v>
      </c>
      <c r="Y49" s="531" t="n">
        <v>10.9</v>
      </c>
      <c r="Z49" s="478" t="n">
        <v>1.05</v>
      </c>
      <c r="AA49" s="475" t="n">
        <v>5.53</v>
      </c>
      <c r="AB49" s="508" t="inlineStr">
        <is>
          <t>ND</t>
        </is>
      </c>
      <c r="AC49" s="477" t="inlineStr">
        <is>
          <t>ND</t>
        </is>
      </c>
      <c r="AD49" s="478" t="n">
        <v>8.19</v>
      </c>
      <c r="AE49" s="478" t="inlineStr">
        <is>
          <t>ND</t>
        </is>
      </c>
      <c r="AF49" s="478" t="inlineStr">
        <is>
          <t>ND</t>
        </is>
      </c>
      <c r="AG49" s="476" t="n">
        <v>2.84</v>
      </c>
      <c r="AH49" s="477" t="inlineStr">
        <is>
          <t>ND</t>
        </is>
      </c>
      <c r="AI49" s="479" t="inlineStr">
        <is>
          <t>ND</t>
        </is>
      </c>
      <c r="AJ49" s="478" t="n">
        <v>6.74</v>
      </c>
      <c r="AK49" s="478" t="inlineStr">
        <is>
          <t>ND</t>
        </is>
      </c>
      <c r="AL49" s="476" t="n">
        <v>2.67</v>
      </c>
      <c r="AM49" s="482" t="n">
        <v>3.4</v>
      </c>
      <c r="AN49" s="478" t="n">
        <v>1.03</v>
      </c>
      <c r="AO49" s="478" t="inlineStr">
        <is>
          <t>ND</t>
        </is>
      </c>
      <c r="AP49" s="475" t="n">
        <v>2.36</v>
      </c>
      <c r="AQ49" s="476" t="inlineStr">
        <is>
          <t>ND</t>
        </is>
      </c>
      <c r="AR49" s="477" t="n">
        <v>3.02</v>
      </c>
      <c r="AS49" s="478" t="n">
        <v>4.18</v>
      </c>
      <c r="AT49" s="436" t="inlineStr">
        <is>
          <t>ND</t>
        </is>
      </c>
      <c r="AU49" s="478" t="inlineStr">
        <is>
          <t>ND</t>
        </is>
      </c>
      <c r="AV49" s="476" t="inlineStr">
        <is>
          <t>ND</t>
        </is>
      </c>
      <c r="AW49" s="482" t="inlineStr">
        <is>
          <t>ND</t>
        </is>
      </c>
      <c r="AX49" s="436" t="inlineStr">
        <is>
          <t>ND</t>
        </is>
      </c>
      <c r="AY49" s="436" t="inlineStr">
        <is>
          <t>ND</t>
        </is>
      </c>
      <c r="AZ49" s="475" t="n">
        <v>3.35</v>
      </c>
      <c r="BA49" s="113" t="n">
        <v>0.9370000000000001</v>
      </c>
      <c r="BB49" s="482" t="inlineStr">
        <is>
          <t>ND</t>
        </is>
      </c>
      <c r="BC49" s="478" t="inlineStr">
        <is>
          <t>ND</t>
        </is>
      </c>
      <c r="BD49" s="475" t="n">
        <v>5.74</v>
      </c>
      <c r="BE49" s="475" t="n">
        <v>1.55</v>
      </c>
      <c r="BF49" s="476" t="inlineStr">
        <is>
          <t>ND</t>
        </is>
      </c>
      <c r="BG49" s="477" t="n">
        <v>1.15</v>
      </c>
      <c r="BH49" s="478" t="n">
        <v>1.62</v>
      </c>
      <c r="BI49" s="436" t="inlineStr">
        <is>
          <t>ND</t>
        </is>
      </c>
      <c r="BJ49" s="478" t="inlineStr">
        <is>
          <t>ND</t>
        </is>
      </c>
      <c r="BK49" s="113" t="n">
        <v>0.262</v>
      </c>
      <c r="BL49" s="442" t="inlineStr">
        <is>
          <t>ND</t>
        </is>
      </c>
      <c r="BM49" s="478" t="n">
        <v>7.34</v>
      </c>
      <c r="BN49" s="436" t="inlineStr">
        <is>
          <t>ND</t>
        </is>
      </c>
      <c r="BO49" s="475" t="n">
        <v>4.42</v>
      </c>
      <c r="BP49" s="439" t="inlineStr">
        <is>
          <t>ND</t>
        </is>
      </c>
      <c r="BQ49" s="115" t="n">
        <v>0.802</v>
      </c>
      <c r="BR49" s="112" t="n">
        <v>0.444</v>
      </c>
      <c r="BS49" s="475" t="n">
        <v>2.04</v>
      </c>
      <c r="BT49" s="480" t="n">
        <v>2.54</v>
      </c>
      <c r="BU49" s="454">
        <f>IFERROR(AVERAGE(D49:BT51),0)</f>
        <v/>
      </c>
      <c r="BV49" s="454">
        <f>MAX(D49:BT51)</f>
        <v/>
      </c>
      <c r="BW49" s="238" t="n"/>
      <c r="BX49" s="238" t="n"/>
      <c r="BY49" s="238" t="n"/>
      <c r="BZ49" s="238" t="n"/>
      <c r="CA49" s="238" t="n"/>
      <c r="CB49" s="238" t="n"/>
      <c r="CC49" s="238" t="n"/>
      <c r="CD49" s="238" t="n"/>
      <c r="CE49" s="238" t="n"/>
      <c r="CF49" s="238" t="n"/>
      <c r="CG49" s="238" t="n"/>
      <c r="CH49" s="238" t="n"/>
      <c r="CI49" s="238" t="n"/>
      <c r="CJ49" s="238" t="n"/>
      <c r="CK49" s="238" t="n"/>
      <c r="CL49" s="238" t="n"/>
      <c r="CM49" s="238" t="n"/>
      <c r="CN49" s="238" t="n"/>
      <c r="CO49" s="238" t="n"/>
      <c r="CP49" s="238" t="n"/>
      <c r="CQ49" s="238" t="n"/>
      <c r="CR49" s="238" t="n"/>
      <c r="CS49" s="238" t="n"/>
      <c r="CT49" s="238" t="n"/>
      <c r="CU49" s="238" t="n"/>
      <c r="CV49" s="238" t="n"/>
      <c r="CW49" s="238" t="n"/>
      <c r="CX49" s="238" t="n"/>
      <c r="CY49" s="238" t="n"/>
      <c r="CZ49" s="238" t="n"/>
      <c r="DA49" s="238" t="n"/>
      <c r="DB49" s="238" t="n"/>
      <c r="DC49" s="238" t="n"/>
      <c r="DD49" s="238" t="n"/>
      <c r="DE49" s="238" t="n"/>
      <c r="DF49" s="238" t="n"/>
      <c r="DG49" s="238" t="n"/>
      <c r="DH49" s="238" t="n"/>
      <c r="DI49" s="238" t="n"/>
      <c r="DJ49" s="238" t="n"/>
      <c r="DK49" s="238" t="n"/>
      <c r="DL49" s="238" t="n"/>
      <c r="DM49" s="238" t="n"/>
      <c r="DN49" s="238" t="n"/>
      <c r="DO49" s="238" t="n"/>
      <c r="DP49" s="238" t="n"/>
      <c r="DQ49" s="238" t="n"/>
      <c r="DR49" s="238" t="n"/>
      <c r="DS49" s="238" t="n"/>
      <c r="DT49" s="238" t="n"/>
      <c r="DU49" s="238" t="n"/>
      <c r="DV49" s="238" t="n"/>
      <c r="DW49" s="238" t="n"/>
      <c r="DX49" s="238" t="n"/>
      <c r="DY49" s="238" t="n"/>
      <c r="DZ49" s="23" t="n"/>
      <c r="FQ49" s="212" t="n"/>
      <c r="FR49" s="212" t="n"/>
      <c r="FS49" s="212" t="n"/>
      <c r="FT49" s="212" t="n"/>
      <c r="FU49" s="212" t="n"/>
      <c r="FV49" s="212" t="n"/>
      <c r="FW49" s="212" t="n"/>
      <c r="FX49" s="212" t="n"/>
      <c r="FY49" s="212" t="n"/>
      <c r="FZ49" s="212" t="n"/>
    </row>
    <row r="50" ht="39.95" customFormat="1" customHeight="1" s="5">
      <c r="A50" s="182" t="inlineStr"/>
      <c r="B50" s="7" t="inlineStr">
        <is>
          <t>+6 FT</t>
        </is>
      </c>
      <c r="C50" s="11" t="inlineStr">
        <is>
          <t>C</t>
        </is>
      </c>
      <c r="D50" s="510" t="inlineStr">
        <is>
          <t>ND</t>
        </is>
      </c>
      <c r="E50" s="486" t="n">
        <v>1.47</v>
      </c>
      <c r="F50" s="437" t="inlineStr">
        <is>
          <t>ND</t>
        </is>
      </c>
      <c r="G50" s="437" t="n">
        <v>0.08</v>
      </c>
      <c r="H50" s="440" t="inlineStr">
        <is>
          <t>ND</t>
        </is>
      </c>
      <c r="I50" s="490" t="inlineStr">
        <is>
          <t>ND</t>
        </is>
      </c>
      <c r="J50" s="437" t="inlineStr">
        <is>
          <t>ND</t>
        </is>
      </c>
      <c r="K50" s="437" t="inlineStr">
        <is>
          <t>ND</t>
        </is>
      </c>
      <c r="L50" s="437" t="inlineStr">
        <is>
          <t>ND</t>
        </is>
      </c>
      <c r="M50" s="440" t="inlineStr">
        <is>
          <t>ND</t>
        </is>
      </c>
      <c r="N50" s="132" t="n">
        <v>0.858</v>
      </c>
      <c r="O50" s="437" t="inlineStr">
        <is>
          <t>ND</t>
        </is>
      </c>
      <c r="P50" s="485" t="n">
        <v>6.35</v>
      </c>
      <c r="Q50" s="486" t="n">
        <v>2.21</v>
      </c>
      <c r="R50" s="488" t="n">
        <v>8.98</v>
      </c>
      <c r="S50" s="490" t="n">
        <v>8.720000000000001</v>
      </c>
      <c r="T50" s="485" t="n">
        <v>4.51</v>
      </c>
      <c r="U50" s="502" t="n">
        <v>9.699999999999999</v>
      </c>
      <c r="V50" s="485" t="n">
        <v>2.33</v>
      </c>
      <c r="W50" s="488" t="n">
        <v>7.66</v>
      </c>
      <c r="X50" s="522" t="n">
        <v>5.2</v>
      </c>
      <c r="Y50" s="533" t="n">
        <v>11.6</v>
      </c>
      <c r="Z50" s="485" t="n">
        <v>2.47</v>
      </c>
      <c r="AA50" s="486" t="n">
        <v>7.44</v>
      </c>
      <c r="AB50" s="440" t="inlineStr">
        <is>
          <t>ND</t>
        </is>
      </c>
      <c r="AC50" s="490" t="n">
        <v>4.08</v>
      </c>
      <c r="AD50" s="485" t="n">
        <v>7.89</v>
      </c>
      <c r="AE50" s="485" t="inlineStr">
        <is>
          <t>ND</t>
        </is>
      </c>
      <c r="AF50" s="485" t="inlineStr">
        <is>
          <t>ND</t>
        </is>
      </c>
      <c r="AG50" s="488" t="inlineStr">
        <is>
          <t>ND</t>
        </is>
      </c>
      <c r="AH50" s="490" t="inlineStr">
        <is>
          <t>ND</t>
        </is>
      </c>
      <c r="AI50" s="485" t="n">
        <v>1.83</v>
      </c>
      <c r="AJ50" s="485" t="n">
        <v>5.59</v>
      </c>
      <c r="AK50" s="485" t="inlineStr">
        <is>
          <t>ND</t>
        </is>
      </c>
      <c r="AL50" s="512" t="n">
        <v>11.5</v>
      </c>
      <c r="AM50" s="490" t="n">
        <v>3.65</v>
      </c>
      <c r="AN50" s="485" t="inlineStr">
        <is>
          <t>ND</t>
        </is>
      </c>
      <c r="AO50" s="485" t="inlineStr">
        <is>
          <t>ND</t>
        </is>
      </c>
      <c r="AP50" s="486" t="n">
        <v>1.39</v>
      </c>
      <c r="AQ50" s="488" t="n">
        <v>1.29</v>
      </c>
      <c r="AR50" s="490" t="n">
        <v>8.42</v>
      </c>
      <c r="AS50" s="485" t="n">
        <v>3.66</v>
      </c>
      <c r="AT50" s="437" t="n">
        <v>0.894</v>
      </c>
      <c r="AU50" s="485" t="inlineStr">
        <is>
          <t>ND</t>
        </is>
      </c>
      <c r="AV50" s="440" t="inlineStr">
        <is>
          <t>ND</t>
        </is>
      </c>
      <c r="AW50" s="443" t="inlineStr">
        <is>
          <t>ND</t>
        </is>
      </c>
      <c r="AX50" s="437" t="inlineStr">
        <is>
          <t>ND</t>
        </is>
      </c>
      <c r="AY50" s="437" t="inlineStr">
        <is>
          <t>ND</t>
        </is>
      </c>
      <c r="AZ50" s="486" t="n">
        <v>6.63</v>
      </c>
      <c r="BA50" s="488" t="inlineStr">
        <is>
          <t>ND</t>
        </is>
      </c>
      <c r="BB50" s="546" t="inlineStr">
        <is>
          <t>ND</t>
        </is>
      </c>
      <c r="BC50" s="485" t="n">
        <v>3.12</v>
      </c>
      <c r="BD50" s="485" t="n">
        <v>2.12</v>
      </c>
      <c r="BE50" s="437" t="inlineStr">
        <is>
          <t>ND</t>
        </is>
      </c>
      <c r="BF50" s="120" t="n">
        <v>0.603</v>
      </c>
      <c r="BG50" s="490" t="inlineStr">
        <is>
          <t>ND</t>
        </is>
      </c>
      <c r="BH50" s="437" t="inlineStr">
        <is>
          <t>ND</t>
        </is>
      </c>
      <c r="BI50" s="122" t="n">
        <v>0.34</v>
      </c>
      <c r="BJ50" s="485" t="inlineStr">
        <is>
          <t>ND</t>
        </is>
      </c>
      <c r="BK50" s="488" t="n">
        <v>1.03</v>
      </c>
      <c r="BL50" s="443" t="inlineStr">
        <is>
          <t>ND</t>
        </is>
      </c>
      <c r="BM50" s="486" t="n">
        <v>1.54</v>
      </c>
      <c r="BN50" s="437" t="inlineStr">
        <is>
          <t>ND</t>
        </is>
      </c>
      <c r="BO50" s="486" t="n">
        <v>6.02</v>
      </c>
      <c r="BP50" s="440" t="inlineStr">
        <is>
          <t>ND</t>
        </is>
      </c>
      <c r="BQ50" s="487" t="n">
        <v>1.04</v>
      </c>
      <c r="BR50" s="485" t="n">
        <v>3.06</v>
      </c>
      <c r="BS50" s="486" t="n">
        <v>5.71</v>
      </c>
      <c r="BT50" s="440" t="inlineStr">
        <is>
          <t>ND</t>
        </is>
      </c>
      <c r="BU50" s="455" t="n"/>
      <c r="BV50" s="455" t="n"/>
      <c r="BW50" s="238" t="n"/>
      <c r="BX50" s="238" t="n"/>
      <c r="BY50" s="238" t="n"/>
      <c r="BZ50" s="238" t="n"/>
      <c r="CA50" s="238" t="n"/>
      <c r="CB50" s="238" t="n"/>
      <c r="CC50" s="238" t="n"/>
      <c r="CD50" s="238" t="n"/>
      <c r="CE50" s="238" t="n"/>
      <c r="CF50" s="238" t="n"/>
      <c r="CG50" s="238" t="n"/>
      <c r="CH50" s="238" t="n"/>
      <c r="CI50" s="238" t="n"/>
      <c r="CJ50" s="238" t="n"/>
      <c r="CK50" s="238" t="n"/>
      <c r="CL50" s="238" t="n"/>
      <c r="CM50" s="238" t="n"/>
      <c r="CN50" s="238" t="n"/>
      <c r="CO50" s="238" t="n"/>
      <c r="CP50" s="238" t="n"/>
      <c r="CQ50" s="238" t="n"/>
      <c r="CR50" s="238" t="n"/>
      <c r="CS50" s="238" t="n"/>
      <c r="CT50" s="238" t="n"/>
      <c r="CU50" s="238" t="n"/>
      <c r="CV50" s="238" t="n"/>
      <c r="CW50" s="238" t="n"/>
      <c r="CX50" s="238" t="n"/>
      <c r="CY50" s="238" t="n"/>
      <c r="CZ50" s="238" t="n"/>
      <c r="DA50" s="238" t="n"/>
      <c r="DB50" s="238" t="n"/>
      <c r="DC50" s="238" t="n"/>
      <c r="DD50" s="238" t="n"/>
      <c r="DE50" s="238" t="n"/>
      <c r="DF50" s="238" t="n"/>
      <c r="DG50" s="238" t="n"/>
      <c r="DH50" s="238" t="n"/>
      <c r="DI50" s="238" t="n"/>
      <c r="DJ50" s="238" t="n"/>
      <c r="DK50" s="238" t="n"/>
      <c r="DL50" s="238" t="n"/>
      <c r="DM50" s="238" t="n"/>
      <c r="DN50" s="238" t="n"/>
      <c r="DO50" s="238" t="n"/>
      <c r="DP50" s="238" t="n"/>
      <c r="DQ50" s="238" t="n"/>
      <c r="DR50" s="238" t="n"/>
      <c r="DS50" s="238" t="n"/>
      <c r="DT50" s="238" t="n"/>
      <c r="DU50" s="238" t="n"/>
      <c r="DV50" s="238" t="n"/>
      <c r="DW50" s="238" t="n"/>
      <c r="DX50" s="238" t="n"/>
      <c r="DY50" s="238" t="n"/>
      <c r="DZ50" s="23" t="n"/>
      <c r="FQ50" s="212" t="n"/>
      <c r="FR50" s="212" t="n"/>
      <c r="FS50" s="212" t="n"/>
      <c r="FT50" s="212" t="n"/>
      <c r="FU50" s="212" t="n"/>
      <c r="FV50" s="212" t="n"/>
      <c r="FW50" s="212" t="n"/>
      <c r="FX50" s="212" t="n"/>
      <c r="FY50" s="212" t="n"/>
      <c r="FZ50" s="212" t="n"/>
    </row>
    <row r="51" ht="39.95" customFormat="1" customHeight="1" s="5">
      <c r="A51" s="456" t="n"/>
      <c r="B51" s="8" t="n"/>
      <c r="C51" s="12" t="inlineStr">
        <is>
          <t>R</t>
        </is>
      </c>
      <c r="D51" s="547" t="inlineStr">
        <is>
          <t>ND</t>
        </is>
      </c>
      <c r="E51" s="497" t="n">
        <v>1.11</v>
      </c>
      <c r="F51" s="497" t="n">
        <v>1.67</v>
      </c>
      <c r="G51" s="438" t="n">
        <v>0.191</v>
      </c>
      <c r="H51" s="441" t="n">
        <v>0.098</v>
      </c>
      <c r="I51" s="444" t="inlineStr">
        <is>
          <t>ND</t>
        </is>
      </c>
      <c r="J51" s="438" t="inlineStr">
        <is>
          <t>ND</t>
        </is>
      </c>
      <c r="K51" s="438" t="inlineStr">
        <is>
          <t>ND</t>
        </is>
      </c>
      <c r="L51" s="438" t="inlineStr">
        <is>
          <t>ND</t>
        </is>
      </c>
      <c r="M51" s="441" t="inlineStr">
        <is>
          <t>ND</t>
        </is>
      </c>
      <c r="N51" s="496" t="inlineStr">
        <is>
          <t>ND</t>
        </is>
      </c>
      <c r="O51" s="497" t="n">
        <v>1.89</v>
      </c>
      <c r="P51" s="497" t="n">
        <v>3.87</v>
      </c>
      <c r="Q51" s="497" t="n">
        <v>9.02</v>
      </c>
      <c r="R51" s="498" t="n">
        <v>6.98</v>
      </c>
      <c r="S51" s="496" t="n">
        <v>4.84</v>
      </c>
      <c r="T51" s="494" t="n">
        <v>8.84</v>
      </c>
      <c r="U51" s="548" t="n">
        <v>11</v>
      </c>
      <c r="V51" s="492" t="inlineStr">
        <is>
          <t>ND</t>
        </is>
      </c>
      <c r="W51" s="495" t="n">
        <v>7.01</v>
      </c>
      <c r="X51" s="496" t="n">
        <v>9.06</v>
      </c>
      <c r="Y51" s="494" t="n">
        <v>5.33</v>
      </c>
      <c r="Z51" s="438" t="n">
        <v>0.535</v>
      </c>
      <c r="AA51" s="494" t="n">
        <v>4.81</v>
      </c>
      <c r="AB51" s="441" t="inlineStr">
        <is>
          <t>ND</t>
        </is>
      </c>
      <c r="AC51" s="148" t="n">
        <v>0.152</v>
      </c>
      <c r="AD51" s="497" t="n">
        <v>1.67</v>
      </c>
      <c r="AE51" s="494" t="n">
        <v>7.67</v>
      </c>
      <c r="AF51" s="494" t="inlineStr">
        <is>
          <t>ND</t>
        </is>
      </c>
      <c r="AG51" s="495" t="n">
        <v>1.12</v>
      </c>
      <c r="AH51" s="148" t="n">
        <v>0.554</v>
      </c>
      <c r="AI51" s="494" t="inlineStr">
        <is>
          <t>ND</t>
        </is>
      </c>
      <c r="AJ51" s="497" t="n">
        <v>1.15</v>
      </c>
      <c r="AK51" s="494" t="n">
        <v>3.49</v>
      </c>
      <c r="AL51" s="495" t="n">
        <v>8.050000000000001</v>
      </c>
      <c r="AM51" s="496" t="inlineStr">
        <is>
          <t>ND</t>
        </is>
      </c>
      <c r="AN51" s="494" t="inlineStr">
        <is>
          <t>ND</t>
        </is>
      </c>
      <c r="AO51" s="492" t="inlineStr">
        <is>
          <t>ND</t>
        </is>
      </c>
      <c r="AP51" s="497" t="n">
        <v>5.79</v>
      </c>
      <c r="AQ51" s="441" t="n">
        <v>0.86</v>
      </c>
      <c r="AR51" s="496" t="n">
        <v>6.97</v>
      </c>
      <c r="AS51" s="494" t="n">
        <v>5.21</v>
      </c>
      <c r="AT51" s="438" t="n">
        <v>0.698</v>
      </c>
      <c r="AU51" s="438" t="n">
        <v>0.422</v>
      </c>
      <c r="AV51" s="441" t="inlineStr">
        <is>
          <t>ND</t>
        </is>
      </c>
      <c r="AW51" s="444" t="inlineStr">
        <is>
          <t>ND</t>
        </is>
      </c>
      <c r="AX51" s="438" t="inlineStr">
        <is>
          <t>ND</t>
        </is>
      </c>
      <c r="AY51" s="494" t="inlineStr">
        <is>
          <t>ND</t>
        </is>
      </c>
      <c r="AZ51" s="497" t="n">
        <v>1.15</v>
      </c>
      <c r="BA51" s="151" t="n">
        <v>0.021</v>
      </c>
      <c r="BB51" s="524" t="inlineStr">
        <is>
          <t>ND</t>
        </is>
      </c>
      <c r="BC51" s="494" t="n">
        <v>2.46</v>
      </c>
      <c r="BD51" s="494" t="n">
        <v>3.51</v>
      </c>
      <c r="BE51" s="494" t="n">
        <v>3.83</v>
      </c>
      <c r="BF51" s="151" t="n">
        <v>0.035</v>
      </c>
      <c r="BG51" s="505" t="n">
        <v>1.49</v>
      </c>
      <c r="BH51" s="494" t="n">
        <v>2.06</v>
      </c>
      <c r="BI51" s="438" t="inlineStr">
        <is>
          <t>ND</t>
        </is>
      </c>
      <c r="BJ51" s="494" t="n">
        <v>1.72</v>
      </c>
      <c r="BK51" s="441" t="n">
        <v>0.08699999999999999</v>
      </c>
      <c r="BL51" s="444" t="inlineStr">
        <is>
          <t>ND</t>
        </is>
      </c>
      <c r="BM51" s="497" t="n">
        <v>5.44</v>
      </c>
      <c r="BN51" s="438" t="inlineStr">
        <is>
          <t>ND</t>
        </is>
      </c>
      <c r="BO51" s="497" t="n">
        <v>2.38</v>
      </c>
      <c r="BP51" s="441" t="inlineStr">
        <is>
          <t>ND</t>
        </is>
      </c>
      <c r="BQ51" s="524" t="n">
        <v>1.1</v>
      </c>
      <c r="BR51" s="494" t="n">
        <v>1.23</v>
      </c>
      <c r="BS51" s="497" t="n">
        <v>1.17</v>
      </c>
      <c r="BT51" s="441" t="inlineStr">
        <is>
          <t>ND</t>
        </is>
      </c>
      <c r="BU51" s="457" t="n"/>
      <c r="BV51" s="457" t="n"/>
      <c r="BW51" s="238" t="n"/>
      <c r="BX51" s="238" t="n"/>
      <c r="BY51" s="238" t="n"/>
      <c r="BZ51" s="238" t="n"/>
      <c r="CA51" s="238" t="n"/>
      <c r="CB51" s="238" t="n"/>
      <c r="CC51" s="238" t="n"/>
      <c r="CD51" s="238" t="n"/>
      <c r="CE51" s="238" t="n"/>
      <c r="CF51" s="238" t="n"/>
      <c r="CG51" s="238" t="n"/>
      <c r="CH51" s="238" t="n"/>
      <c r="CI51" s="238" t="n"/>
      <c r="CJ51" s="238" t="n"/>
      <c r="CK51" s="238" t="n"/>
      <c r="CL51" s="238" t="n"/>
      <c r="CM51" s="238" t="n"/>
      <c r="CN51" s="238" t="n"/>
      <c r="CO51" s="238" t="n"/>
      <c r="CP51" s="238" t="n"/>
      <c r="CQ51" s="238" t="n"/>
      <c r="CR51" s="238" t="n"/>
      <c r="CS51" s="238" t="n"/>
      <c r="CT51" s="238" t="n"/>
      <c r="CU51" s="238" t="n"/>
      <c r="CV51" s="238" t="n"/>
      <c r="CW51" s="238" t="n"/>
      <c r="CX51" s="238" t="n"/>
      <c r="CY51" s="238" t="n"/>
      <c r="CZ51" s="238" t="n"/>
      <c r="DA51" s="238" t="n"/>
      <c r="DB51" s="238" t="n"/>
      <c r="DC51" s="238" t="n"/>
      <c r="DD51" s="238" t="n"/>
      <c r="DE51" s="238" t="n"/>
      <c r="DF51" s="238" t="n"/>
      <c r="DG51" s="238" t="n"/>
      <c r="DH51" s="238" t="n"/>
      <c r="DI51" s="238" t="n"/>
      <c r="DJ51" s="238" t="n"/>
      <c r="DK51" s="238" t="n"/>
      <c r="DL51" s="238" t="n"/>
      <c r="DM51" s="238" t="n"/>
      <c r="DN51" s="238" t="n"/>
      <c r="DO51" s="238" t="n"/>
      <c r="DP51" s="238" t="n"/>
      <c r="DQ51" s="238" t="n"/>
      <c r="DR51" s="238" t="n"/>
      <c r="DS51" s="238" t="n"/>
      <c r="DT51" s="238" t="n"/>
      <c r="DU51" s="238" t="n"/>
      <c r="DV51" s="238" t="n"/>
      <c r="DW51" s="238" t="n"/>
      <c r="DX51" s="238" t="n"/>
      <c r="DY51" s="238" t="n"/>
      <c r="DZ51" s="23" t="n"/>
      <c r="FQ51" s="212" t="n"/>
      <c r="FR51" s="212" t="n"/>
      <c r="FS51" s="212" t="n"/>
      <c r="FT51" s="212" t="n"/>
      <c r="FU51" s="212" t="n"/>
      <c r="FV51" s="212" t="n"/>
      <c r="FW51" s="212" t="n"/>
      <c r="FX51" s="212" t="n"/>
      <c r="FY51" s="212" t="n"/>
      <c r="FZ51" s="212" t="n"/>
    </row>
    <row r="52" ht="39.95" customFormat="1" customHeight="1" s="5">
      <c r="A52" s="10" t="inlineStr">
        <is>
          <t>A</t>
        </is>
      </c>
      <c r="B52" s="6" t="n"/>
      <c r="C52" s="11" t="inlineStr">
        <is>
          <t>L</t>
        </is>
      </c>
      <c r="D52" s="474" t="n">
        <v>5.25</v>
      </c>
      <c r="E52" s="478" t="n">
        <v>2.99</v>
      </c>
      <c r="F52" s="436" t="n">
        <v>0.096</v>
      </c>
      <c r="G52" s="478" t="n">
        <v>2.12</v>
      </c>
      <c r="H52" s="480" t="n">
        <v>4.64</v>
      </c>
      <c r="I52" s="483" t="n">
        <v>1.56</v>
      </c>
      <c r="J52" s="475" t="n">
        <v>1.54</v>
      </c>
      <c r="K52" s="475" t="n">
        <v>3.61</v>
      </c>
      <c r="L52" s="475" t="n">
        <v>2.59</v>
      </c>
      <c r="M52" s="439" t="inlineStr">
        <is>
          <t>ND</t>
        </is>
      </c>
      <c r="N52" s="483" t="n">
        <v>2.46</v>
      </c>
      <c r="O52" s="475" t="n">
        <v>4.82</v>
      </c>
      <c r="P52" s="478" t="inlineStr">
        <is>
          <t>ND</t>
        </is>
      </c>
      <c r="Q52" s="478" t="n">
        <v>5.36</v>
      </c>
      <c r="R52" s="508" t="n">
        <v>3.7</v>
      </c>
      <c r="S52" s="477" t="n">
        <v>4.77</v>
      </c>
      <c r="T52" s="478" t="n">
        <v>7.35</v>
      </c>
      <c r="U52" s="112" t="n">
        <v>0.243</v>
      </c>
      <c r="V52" s="478" t="n">
        <v>1.47</v>
      </c>
      <c r="W52" s="476" t="n">
        <v>3.15</v>
      </c>
      <c r="X52" s="477" t="inlineStr">
        <is>
          <t>ND</t>
        </is>
      </c>
      <c r="Y52" s="478" t="n">
        <v>4.11</v>
      </c>
      <c r="Z52" s="478" t="n">
        <v>2.78</v>
      </c>
      <c r="AA52" s="478" t="n">
        <v>1.53</v>
      </c>
      <c r="AB52" s="476" t="n">
        <v>2.31</v>
      </c>
      <c r="AC52" s="477" t="inlineStr">
        <is>
          <t>ND</t>
        </is>
      </c>
      <c r="AD52" s="478" t="inlineStr">
        <is>
          <t>ND</t>
        </is>
      </c>
      <c r="AE52" s="436" t="inlineStr">
        <is>
          <t>ND</t>
        </is>
      </c>
      <c r="AF52" s="475" t="n">
        <v>9.33</v>
      </c>
      <c r="AG52" s="113" t="n">
        <v>0.16</v>
      </c>
      <c r="AH52" s="549" t="inlineStr">
        <is>
          <t>ND</t>
        </is>
      </c>
      <c r="AI52" s="112" t="n">
        <v>0.544</v>
      </c>
      <c r="AJ52" s="436" t="inlineStr">
        <is>
          <t>ND</t>
        </is>
      </c>
      <c r="AK52" s="478" t="n">
        <v>5.57</v>
      </c>
      <c r="AL52" s="508" t="n">
        <v>3.3</v>
      </c>
      <c r="AM52" s="477" t="inlineStr">
        <is>
          <t>ND</t>
        </is>
      </c>
      <c r="AN52" s="475" t="n">
        <v>2.84</v>
      </c>
      <c r="AO52" s="436" t="inlineStr">
        <is>
          <t>ND</t>
        </is>
      </c>
      <c r="AP52" s="436" t="inlineStr">
        <is>
          <t>ND</t>
        </is>
      </c>
      <c r="AQ52" s="480" t="n">
        <v>1.54</v>
      </c>
      <c r="AR52" s="483" t="n">
        <v>1.13</v>
      </c>
      <c r="AS52" s="478" t="n">
        <v>1.88</v>
      </c>
      <c r="AT52" s="436" t="inlineStr">
        <is>
          <t>ND</t>
        </is>
      </c>
      <c r="AU52" s="475" t="n">
        <v>3.24</v>
      </c>
      <c r="AV52" s="476" t="n">
        <v>2.08</v>
      </c>
      <c r="AW52" s="477" t="n">
        <v>2.39</v>
      </c>
      <c r="AX52" s="478" t="inlineStr">
        <is>
          <t>ND</t>
        </is>
      </c>
      <c r="AY52" s="478" t="inlineStr">
        <is>
          <t>ND</t>
        </is>
      </c>
      <c r="AZ52" s="436" t="inlineStr">
        <is>
          <t>ND</t>
        </is>
      </c>
      <c r="BA52" s="439" t="n">
        <v>0.826</v>
      </c>
      <c r="BB52" s="115" t="n">
        <v>0.313</v>
      </c>
      <c r="BC52" s="478" t="inlineStr">
        <is>
          <t>ND</t>
        </is>
      </c>
      <c r="BD52" s="436" t="inlineStr">
        <is>
          <t>ND</t>
        </is>
      </c>
      <c r="BE52" s="478" t="inlineStr">
        <is>
          <t>ND</t>
        </is>
      </c>
      <c r="BF52" s="439" t="n">
        <v>0.394</v>
      </c>
      <c r="BG52" s="477" t="inlineStr">
        <is>
          <t>ND</t>
        </is>
      </c>
      <c r="BH52" s="436" t="inlineStr">
        <is>
          <t>ND</t>
        </is>
      </c>
      <c r="BI52" s="478" t="n">
        <v>1.21</v>
      </c>
      <c r="BJ52" s="475" t="n">
        <v>1.01</v>
      </c>
      <c r="BK52" s="476" t="n">
        <v>2.85</v>
      </c>
      <c r="BL52" s="477" t="n">
        <v>1.97</v>
      </c>
      <c r="BM52" s="478" t="n">
        <v>3.45</v>
      </c>
      <c r="BN52" s="436" t="inlineStr">
        <is>
          <t>ND</t>
        </is>
      </c>
      <c r="BO52" s="478" t="n">
        <v>9.69</v>
      </c>
      <c r="BP52" s="476" t="n">
        <v>4.16</v>
      </c>
      <c r="BQ52" s="477" t="inlineStr">
        <is>
          <t>ND</t>
        </is>
      </c>
      <c r="BR52" s="112" t="n">
        <v>0.075</v>
      </c>
      <c r="BS52" s="478" t="n">
        <v>1.88</v>
      </c>
      <c r="BT52" s="544" t="n">
        <v>10.8</v>
      </c>
      <c r="BU52" s="454">
        <f>IFERROR(AVERAGE(D52:BT54),0)</f>
        <v/>
      </c>
      <c r="BV52" s="454">
        <f>MAX(D52:BT54)</f>
        <v/>
      </c>
      <c r="BW52" s="238" t="n"/>
      <c r="BX52" s="238" t="n"/>
      <c r="BY52" s="238" t="n"/>
      <c r="BZ52" s="238" t="n"/>
      <c r="CA52" s="238" t="n"/>
      <c r="CB52" s="238" t="n"/>
      <c r="CC52" s="238" t="n"/>
      <c r="CD52" s="238" t="n"/>
      <c r="CE52" s="238" t="n"/>
      <c r="CF52" s="238" t="n"/>
      <c r="CG52" s="238" t="n"/>
      <c r="CH52" s="238" t="n"/>
      <c r="CI52" s="238" t="n"/>
      <c r="CJ52" s="238" t="n"/>
      <c r="CK52" s="238" t="n"/>
      <c r="CL52" s="238" t="n"/>
      <c r="CM52" s="238" t="n"/>
      <c r="CN52" s="238" t="n"/>
      <c r="CO52" s="238" t="n"/>
      <c r="CP52" s="238" t="n"/>
      <c r="CQ52" s="238" t="n"/>
      <c r="CR52" s="238" t="n"/>
      <c r="CS52" s="238" t="n"/>
      <c r="CT52" s="238" t="n"/>
      <c r="CU52" s="238" t="n"/>
      <c r="CV52" s="238" t="n"/>
      <c r="CW52" s="238" t="n"/>
      <c r="CX52" s="238" t="n"/>
      <c r="CY52" s="238" t="n"/>
      <c r="CZ52" s="238" t="n"/>
      <c r="DA52" s="238" t="n"/>
      <c r="DB52" s="238" t="n"/>
      <c r="DC52" s="238" t="n"/>
      <c r="DD52" s="238" t="n"/>
      <c r="DE52" s="238" t="n"/>
      <c r="DF52" s="238" t="n"/>
      <c r="DG52" s="238" t="n"/>
      <c r="DH52" s="238" t="n"/>
      <c r="DI52" s="238" t="n"/>
      <c r="DJ52" s="238" t="n"/>
      <c r="DK52" s="238" t="n"/>
      <c r="DL52" s="238" t="n"/>
      <c r="DM52" s="238" t="n"/>
      <c r="DN52" s="238" t="n"/>
      <c r="DO52" s="238" t="n"/>
      <c r="DP52" s="238" t="n"/>
      <c r="DQ52" s="238" t="n"/>
      <c r="DR52" s="238" t="n"/>
      <c r="DS52" s="238" t="n"/>
      <c r="DT52" s="238" t="n"/>
      <c r="DU52" s="238" t="n"/>
      <c r="DV52" s="238" t="n"/>
      <c r="DW52" s="238" t="n"/>
      <c r="DX52" s="238" t="n"/>
      <c r="DY52" s="238" t="n"/>
      <c r="DZ52" s="23" t="n"/>
      <c r="FQ52" s="212" t="n"/>
      <c r="FR52" s="212" t="n"/>
      <c r="FS52" s="212" t="n"/>
      <c r="FT52" s="212" t="n"/>
      <c r="FU52" s="212" t="n"/>
      <c r="FV52" s="212" t="n"/>
      <c r="FW52" s="212" t="n"/>
      <c r="FX52" s="212" t="n"/>
      <c r="FY52" s="212" t="n"/>
      <c r="FZ52" s="212" t="n"/>
    </row>
    <row r="53" ht="39.95" customFormat="1" customHeight="1" s="5">
      <c r="A53" s="182" t="inlineStr"/>
      <c r="B53" s="7" t="inlineStr">
        <is>
          <t>+4 FT 6 IN</t>
        </is>
      </c>
      <c r="C53" s="11" t="inlineStr">
        <is>
          <t>C</t>
        </is>
      </c>
      <c r="D53" s="484" t="n">
        <v>4.09</v>
      </c>
      <c r="E53" s="485" t="n">
        <v>2.63</v>
      </c>
      <c r="F53" s="486" t="n">
        <v>2.01</v>
      </c>
      <c r="G53" s="485" t="n">
        <v>5.86</v>
      </c>
      <c r="H53" s="489" t="n">
        <v>3.25</v>
      </c>
      <c r="I53" s="443" t="n">
        <v>0.947</v>
      </c>
      <c r="J53" s="486" t="n">
        <v>3.33</v>
      </c>
      <c r="K53" s="486" t="n">
        <v>4.86</v>
      </c>
      <c r="L53" s="486" t="n">
        <v>5.88</v>
      </c>
      <c r="M53" s="489" t="n">
        <v>1.91</v>
      </c>
      <c r="N53" s="487" t="n">
        <v>4.72</v>
      </c>
      <c r="O53" s="486" t="n">
        <v>5.03</v>
      </c>
      <c r="P53" s="502" t="n">
        <v>4.4</v>
      </c>
      <c r="Q53" s="437" t="inlineStr">
        <is>
          <t>ND</t>
        </is>
      </c>
      <c r="R53" s="440" t="inlineStr">
        <is>
          <t>ND</t>
        </is>
      </c>
      <c r="S53" s="132" t="n">
        <v>0.367</v>
      </c>
      <c r="T53" s="485" t="n">
        <v>4.68</v>
      </c>
      <c r="U53" s="485" t="n">
        <v>7.42</v>
      </c>
      <c r="V53" s="122" t="n">
        <v>0.15</v>
      </c>
      <c r="W53" s="488" t="n">
        <v>5.96</v>
      </c>
      <c r="X53" s="490" t="inlineStr">
        <is>
          <t>ND</t>
        </is>
      </c>
      <c r="Y53" s="485" t="n">
        <v>4.88</v>
      </c>
      <c r="Z53" s="122" t="n">
        <v>0.716</v>
      </c>
      <c r="AA53" s="485" t="n">
        <v>3.44</v>
      </c>
      <c r="AB53" s="440" t="inlineStr">
        <is>
          <t>ND</t>
        </is>
      </c>
      <c r="AC53" s="490" t="n">
        <v>5.06</v>
      </c>
      <c r="AD53" s="485" t="n">
        <v>1.17</v>
      </c>
      <c r="AE53" s="485" t="n">
        <v>1.58</v>
      </c>
      <c r="AF53" s="437" t="inlineStr">
        <is>
          <t>ND</t>
        </is>
      </c>
      <c r="AG53" s="488" t="n">
        <v>4.31</v>
      </c>
      <c r="AH53" s="132" t="n">
        <v>0.944</v>
      </c>
      <c r="AI53" s="485" t="inlineStr">
        <is>
          <t>ND</t>
        </is>
      </c>
      <c r="AJ53" s="437" t="n">
        <v>0.361</v>
      </c>
      <c r="AK53" s="485" t="n">
        <v>2.49</v>
      </c>
      <c r="AL53" s="488" t="n">
        <v>1.62</v>
      </c>
      <c r="AM53" s="487" t="n">
        <v>1.18</v>
      </c>
      <c r="AN53" s="437" t="inlineStr">
        <is>
          <t>ND</t>
        </is>
      </c>
      <c r="AO53" s="501" t="n">
        <v>2.3</v>
      </c>
      <c r="AP53" s="437" t="inlineStr">
        <is>
          <t>ND</t>
        </is>
      </c>
      <c r="AQ53" s="440" t="n">
        <v>0.841</v>
      </c>
      <c r="AR53" s="443" t="n">
        <v>0.73</v>
      </c>
      <c r="AS53" s="485" t="n">
        <v>6.69</v>
      </c>
      <c r="AT53" s="437" t="inlineStr">
        <is>
          <t>ND</t>
        </is>
      </c>
      <c r="AU53" s="437" t="inlineStr">
        <is>
          <t>ND</t>
        </is>
      </c>
      <c r="AV53" s="120" t="n">
        <v>0.538</v>
      </c>
      <c r="AW53" s="490" t="inlineStr">
        <is>
          <t>ND</t>
        </is>
      </c>
      <c r="AX53" s="122" t="n">
        <v>0.001</v>
      </c>
      <c r="AY53" s="485" t="n">
        <v>1.15</v>
      </c>
      <c r="AZ53" s="437" t="inlineStr">
        <is>
          <t>ND</t>
        </is>
      </c>
      <c r="BA53" s="489" t="n">
        <v>2.64</v>
      </c>
      <c r="BB53" s="490" t="n">
        <v>1.31</v>
      </c>
      <c r="BC53" s="485" t="inlineStr">
        <is>
          <t>ND</t>
        </is>
      </c>
      <c r="BD53" s="485" t="n">
        <v>1.76</v>
      </c>
      <c r="BE53" s="437" t="n">
        <v>0.204</v>
      </c>
      <c r="BF53" s="504" t="inlineStr">
        <is>
          <t>ND</t>
        </is>
      </c>
      <c r="BG53" s="490" t="n">
        <v>1.88</v>
      </c>
      <c r="BH53" s="485" t="n">
        <v>2.05</v>
      </c>
      <c r="BI53" s="122" t="n">
        <v>0.717</v>
      </c>
      <c r="BJ53" s="437" t="inlineStr">
        <is>
          <t>ND</t>
        </is>
      </c>
      <c r="BK53" s="488" t="inlineStr">
        <is>
          <t>ND</t>
        </is>
      </c>
      <c r="BL53" s="443" t="inlineStr">
        <is>
          <t>ND</t>
        </is>
      </c>
      <c r="BM53" s="485" t="inlineStr">
        <is>
          <t>ND</t>
        </is>
      </c>
      <c r="BN53" s="437" t="inlineStr">
        <is>
          <t>ND</t>
        </is>
      </c>
      <c r="BO53" s="485" t="n">
        <v>3.01</v>
      </c>
      <c r="BP53" s="440" t="inlineStr">
        <is>
          <t>ND</t>
        </is>
      </c>
      <c r="BQ53" s="132" t="n">
        <v>0.222</v>
      </c>
      <c r="BR53" s="122" t="n">
        <v>0.178</v>
      </c>
      <c r="BS53" s="502" t="n">
        <v>1.8</v>
      </c>
      <c r="BT53" s="488" t="n">
        <v>3.42</v>
      </c>
      <c r="BU53" s="455" t="n"/>
      <c r="BV53" s="455" t="n"/>
      <c r="BW53" s="238" t="n"/>
      <c r="BX53" s="238" t="n"/>
      <c r="BY53" s="238" t="n"/>
      <c r="BZ53" s="238" t="n"/>
      <c r="CA53" s="238" t="n"/>
      <c r="CB53" s="238" t="n"/>
      <c r="CC53" s="238" t="n"/>
      <c r="CD53" s="238" t="n"/>
      <c r="CE53" s="238" t="n"/>
      <c r="CF53" s="238" t="n"/>
      <c r="CG53" s="238" t="n"/>
      <c r="CH53" s="238" t="n"/>
      <c r="CI53" s="238" t="n"/>
      <c r="CJ53" s="238" t="n"/>
      <c r="CK53" s="238" t="n"/>
      <c r="CL53" s="238" t="n"/>
      <c r="CM53" s="238" t="n"/>
      <c r="CN53" s="238" t="n"/>
      <c r="CO53" s="238" t="n"/>
      <c r="CP53" s="238" t="n"/>
      <c r="CQ53" s="238" t="n"/>
      <c r="CR53" s="238" t="n"/>
      <c r="CS53" s="238" t="n"/>
      <c r="CT53" s="238" t="n"/>
      <c r="CU53" s="238" t="n"/>
      <c r="CV53" s="238" t="n"/>
      <c r="CW53" s="238" t="n"/>
      <c r="CX53" s="238" t="n"/>
      <c r="CY53" s="238" t="n"/>
      <c r="CZ53" s="238" t="n"/>
      <c r="DA53" s="238" t="n"/>
      <c r="DB53" s="238" t="n"/>
      <c r="DC53" s="238" t="n"/>
      <c r="DD53" s="238" t="n"/>
      <c r="DE53" s="238" t="n"/>
      <c r="DF53" s="238" t="n"/>
      <c r="DG53" s="238" t="n"/>
      <c r="DH53" s="238" t="n"/>
      <c r="DI53" s="238" t="n"/>
      <c r="DJ53" s="238" t="n"/>
      <c r="DK53" s="238" t="n"/>
      <c r="DL53" s="238" t="n"/>
      <c r="DM53" s="238" t="n"/>
      <c r="DN53" s="238" t="n"/>
      <c r="DO53" s="238" t="n"/>
      <c r="DP53" s="238" t="n"/>
      <c r="DQ53" s="238" t="n"/>
      <c r="DR53" s="238" t="n"/>
      <c r="DS53" s="238" t="n"/>
      <c r="DT53" s="238" t="n"/>
      <c r="DU53" s="238" t="n"/>
      <c r="DV53" s="238" t="n"/>
      <c r="DW53" s="238" t="n"/>
      <c r="DX53" s="238" t="n"/>
      <c r="DY53" s="238" t="n"/>
      <c r="DZ53" s="23" t="n"/>
      <c r="FQ53" s="212" t="n"/>
      <c r="FR53" s="212" t="n"/>
      <c r="FS53" s="212" t="n"/>
      <c r="FT53" s="212" t="n"/>
      <c r="FU53" s="212" t="n"/>
      <c r="FV53" s="212" t="n"/>
      <c r="FW53" s="212" t="n"/>
      <c r="FX53" s="212" t="n"/>
      <c r="FY53" s="212" t="n"/>
      <c r="FZ53" s="212" t="n"/>
    </row>
    <row r="54" ht="39.95" customFormat="1" customHeight="1" s="5">
      <c r="A54" s="456" t="n"/>
      <c r="B54" s="8" t="n"/>
      <c r="C54" s="12" t="inlineStr">
        <is>
          <t>R</t>
        </is>
      </c>
      <c r="D54" s="550" t="n">
        <v>8.9</v>
      </c>
      <c r="E54" s="497" t="n">
        <v>2.39</v>
      </c>
      <c r="F54" s="526" t="n">
        <v>6</v>
      </c>
      <c r="G54" s="494" t="n">
        <v>2.63</v>
      </c>
      <c r="H54" s="537" t="n">
        <v>2.4</v>
      </c>
      <c r="I54" s="505" t="n">
        <v>2.47</v>
      </c>
      <c r="J54" s="497" t="n">
        <v>3.09</v>
      </c>
      <c r="K54" s="438" t="n">
        <v>0.964</v>
      </c>
      <c r="L54" s="497" t="n">
        <v>3.09</v>
      </c>
      <c r="M54" s="498" t="n">
        <v>1.18</v>
      </c>
      <c r="N54" s="505" t="n">
        <v>3.06</v>
      </c>
      <c r="O54" s="494" t="n">
        <v>1.11</v>
      </c>
      <c r="P54" s="494" t="n">
        <v>7.15</v>
      </c>
      <c r="Q54" s="497" t="n">
        <v>2.73</v>
      </c>
      <c r="R54" s="495" t="n">
        <v>5.17</v>
      </c>
      <c r="S54" s="496" t="n">
        <v>4.65</v>
      </c>
      <c r="T54" s="494" t="n">
        <v>2.57</v>
      </c>
      <c r="U54" s="492" t="n">
        <v>8.199999999999999</v>
      </c>
      <c r="V54" s="494" t="inlineStr">
        <is>
          <t>ND</t>
        </is>
      </c>
      <c r="W54" s="528" t="n">
        <v>6.2</v>
      </c>
      <c r="X54" s="496" t="inlineStr">
        <is>
          <t>ND</t>
        </is>
      </c>
      <c r="Y54" s="494" t="n">
        <v>1.08</v>
      </c>
      <c r="Z54" s="492" t="n">
        <v>4.7</v>
      </c>
      <c r="AA54" s="494" t="n">
        <v>5.74</v>
      </c>
      <c r="AB54" s="495" t="inlineStr">
        <is>
          <t>ND</t>
        </is>
      </c>
      <c r="AC54" s="444" t="inlineStr">
        <is>
          <t>ND</t>
        </is>
      </c>
      <c r="AD54" s="497" t="n">
        <v>2.32</v>
      </c>
      <c r="AE54" s="125" t="n">
        <v>0.794</v>
      </c>
      <c r="AF54" s="438" t="inlineStr">
        <is>
          <t>ND</t>
        </is>
      </c>
      <c r="AG54" s="498" t="n">
        <v>3.74</v>
      </c>
      <c r="AH54" s="496" t="n">
        <v>6.08</v>
      </c>
      <c r="AI54" s="125" t="n">
        <v>0.6929999999999999</v>
      </c>
      <c r="AJ54" s="497" t="n">
        <v>3.71</v>
      </c>
      <c r="AK54" s="497" t="n">
        <v>2.15</v>
      </c>
      <c r="AL54" s="441" t="inlineStr">
        <is>
          <t>ND</t>
        </is>
      </c>
      <c r="AM54" s="496" t="n">
        <v>3.55</v>
      </c>
      <c r="AN54" s="494" t="inlineStr">
        <is>
          <t>ND</t>
        </is>
      </c>
      <c r="AO54" s="438" t="inlineStr">
        <is>
          <t>ND</t>
        </is>
      </c>
      <c r="AP54" s="438" t="inlineStr">
        <is>
          <t>ND</t>
        </is>
      </c>
      <c r="AQ54" s="441" t="n">
        <v>0.741</v>
      </c>
      <c r="AR54" s="444" t="n">
        <v>0.925</v>
      </c>
      <c r="AS54" s="494" t="n">
        <v>2.85</v>
      </c>
      <c r="AT54" s="497" t="n">
        <v>4.52</v>
      </c>
      <c r="AU54" s="497" t="n">
        <v>2.49</v>
      </c>
      <c r="AV54" s="495" t="inlineStr">
        <is>
          <t>ND</t>
        </is>
      </c>
      <c r="AW54" s="496" t="n">
        <v>1.26</v>
      </c>
      <c r="AX54" s="494" t="inlineStr">
        <is>
          <t>ND</t>
        </is>
      </c>
      <c r="AY54" s="494" t="n">
        <v>1.25</v>
      </c>
      <c r="AZ54" s="438" t="inlineStr">
        <is>
          <t>ND</t>
        </is>
      </c>
      <c r="BA54" s="498" t="n">
        <v>1.13</v>
      </c>
      <c r="BB54" s="496" t="n">
        <v>1.83</v>
      </c>
      <c r="BC54" s="494" t="n">
        <v>1.82</v>
      </c>
      <c r="BD54" s="438" t="inlineStr">
        <is>
          <t>ND</t>
        </is>
      </c>
      <c r="BE54" s="438" t="n">
        <v>0.983</v>
      </c>
      <c r="BF54" s="495" t="inlineStr">
        <is>
          <t>ND</t>
        </is>
      </c>
      <c r="BG54" s="496" t="n">
        <v>1.54</v>
      </c>
      <c r="BH54" s="125" t="n">
        <v>0.393</v>
      </c>
      <c r="BI54" s="438" t="n">
        <v>0.982</v>
      </c>
      <c r="BJ54" s="438" t="inlineStr">
        <is>
          <t>ND</t>
        </is>
      </c>
      <c r="BK54" s="151" t="n">
        <v>0.482</v>
      </c>
      <c r="BL54" s="444" t="inlineStr">
        <is>
          <t>ND</t>
        </is>
      </c>
      <c r="BM54" s="494" t="n">
        <v>1.83</v>
      </c>
      <c r="BN54" s="438" t="inlineStr">
        <is>
          <t>ND</t>
        </is>
      </c>
      <c r="BO54" s="494" t="n">
        <v>1.78</v>
      </c>
      <c r="BP54" s="495" t="n">
        <v>2.86</v>
      </c>
      <c r="BQ54" s="496" t="n">
        <v>2.37</v>
      </c>
      <c r="BR54" s="125" t="n">
        <v>0.985</v>
      </c>
      <c r="BS54" s="494" t="n">
        <v>8.09</v>
      </c>
      <c r="BT54" s="441" t="inlineStr">
        <is>
          <t>ND</t>
        </is>
      </c>
      <c r="BU54" s="457" t="n"/>
      <c r="BV54" s="457" t="n"/>
      <c r="BW54" s="238" t="n"/>
      <c r="BX54" s="238" t="n"/>
      <c r="BY54" s="238" t="n"/>
      <c r="BZ54" s="238" t="n"/>
      <c r="CA54" s="238" t="n"/>
      <c r="CB54" s="238" t="n"/>
      <c r="CC54" s="238" t="n"/>
      <c r="CD54" s="238" t="n"/>
      <c r="CE54" s="238" t="n"/>
      <c r="CF54" s="238" t="n"/>
      <c r="CG54" s="238" t="n"/>
      <c r="CH54" s="238" t="n"/>
      <c r="CI54" s="238" t="n"/>
      <c r="CJ54" s="238" t="n"/>
      <c r="CK54" s="238" t="n"/>
      <c r="CL54" s="238" t="n"/>
      <c r="CM54" s="238" t="n"/>
      <c r="CN54" s="238" t="n"/>
      <c r="CO54" s="238" t="n"/>
      <c r="CP54" s="238" t="n"/>
      <c r="CQ54" s="238" t="n"/>
      <c r="CR54" s="238" t="n"/>
      <c r="CS54" s="238" t="n"/>
      <c r="CT54" s="238" t="n"/>
      <c r="CU54" s="238" t="n"/>
      <c r="CV54" s="238" t="n"/>
      <c r="CW54" s="238" t="n"/>
      <c r="CX54" s="238" t="n"/>
      <c r="CY54" s="238" t="n"/>
      <c r="CZ54" s="238" t="n"/>
      <c r="DA54" s="238" t="n"/>
      <c r="DB54" s="238" t="n"/>
      <c r="DC54" s="238" t="n"/>
      <c r="DD54" s="238" t="n"/>
      <c r="DE54" s="238" t="n"/>
      <c r="DF54" s="238" t="n"/>
      <c r="DG54" s="238" t="n"/>
      <c r="DH54" s="238" t="n"/>
      <c r="DI54" s="238" t="n"/>
      <c r="DJ54" s="238" t="n"/>
      <c r="DK54" s="238" t="n"/>
      <c r="DL54" s="238" t="n"/>
      <c r="DM54" s="238" t="n"/>
      <c r="DN54" s="238" t="n"/>
      <c r="DO54" s="238" t="n"/>
      <c r="DP54" s="238" t="n"/>
      <c r="DQ54" s="238" t="n"/>
      <c r="DR54" s="238" t="n"/>
      <c r="DS54" s="238" t="n"/>
      <c r="DT54" s="238" t="n"/>
      <c r="DU54" s="238" t="n"/>
      <c r="DV54" s="238" t="n"/>
      <c r="DW54" s="238" t="n"/>
      <c r="DX54" s="238" t="n"/>
      <c r="DY54" s="238" t="n"/>
      <c r="DZ54" s="23" t="n"/>
      <c r="FQ54" s="212" t="n"/>
      <c r="FR54" s="212" t="n"/>
      <c r="FS54" s="212" t="n"/>
      <c r="FT54" s="212" t="n"/>
      <c r="FU54" s="212" t="n"/>
      <c r="FV54" s="212" t="n"/>
      <c r="FW54" s="212" t="n"/>
      <c r="FX54" s="212" t="n"/>
      <c r="FY54" s="212" t="n"/>
      <c r="FZ54" s="212" t="n"/>
    </row>
    <row r="55" ht="39.95" customFormat="1" customHeight="1" s="5">
      <c r="A55" s="10" t="inlineStr">
        <is>
          <t>A</t>
        </is>
      </c>
      <c r="B55" s="6" t="n"/>
      <c r="C55" s="11" t="inlineStr">
        <is>
          <t>L</t>
        </is>
      </c>
      <c r="D55" s="518" t="n">
        <v>2.85</v>
      </c>
      <c r="E55" s="478" t="n">
        <v>2.32</v>
      </c>
      <c r="F55" s="436" t="n">
        <v>0.944</v>
      </c>
      <c r="G55" s="478" t="n">
        <v>2.08</v>
      </c>
      <c r="H55" s="439" t="inlineStr">
        <is>
          <t>ND</t>
        </is>
      </c>
      <c r="I55" s="477" t="n">
        <v>4.02</v>
      </c>
      <c r="J55" s="475" t="n">
        <v>6.53</v>
      </c>
      <c r="K55" s="436" t="inlineStr">
        <is>
          <t>ND</t>
        </is>
      </c>
      <c r="L55" s="436" t="inlineStr">
        <is>
          <t>ND</t>
        </is>
      </c>
      <c r="M55" s="439" t="inlineStr">
        <is>
          <t>ND</t>
        </is>
      </c>
      <c r="N55" s="477" t="n">
        <v>4.32</v>
      </c>
      <c r="O55" s="478" t="inlineStr">
        <is>
          <t>ND</t>
        </is>
      </c>
      <c r="P55" s="478" t="n">
        <v>7.59</v>
      </c>
      <c r="Q55" s="436" t="inlineStr">
        <is>
          <t>ND</t>
        </is>
      </c>
      <c r="R55" s="113" t="n">
        <v>0.641</v>
      </c>
      <c r="S55" s="483" t="n">
        <v>7.25</v>
      </c>
      <c r="T55" s="478" t="inlineStr">
        <is>
          <t>ND</t>
        </is>
      </c>
      <c r="U55" s="478" t="n">
        <v>6.41</v>
      </c>
      <c r="V55" s="481" t="n">
        <v>6.2</v>
      </c>
      <c r="W55" s="439" t="inlineStr">
        <is>
          <t>ND</t>
        </is>
      </c>
      <c r="X55" s="442" t="inlineStr">
        <is>
          <t>ND</t>
        </is>
      </c>
      <c r="Y55" s="436" t="inlineStr">
        <is>
          <t>ND</t>
        </is>
      </c>
      <c r="Z55" s="436" t="n">
        <v>0.369</v>
      </c>
      <c r="AA55" s="475" t="n">
        <v>1.44</v>
      </c>
      <c r="AB55" s="439" t="inlineStr">
        <is>
          <t>ND</t>
        </is>
      </c>
      <c r="AC55" s="442" t="n">
        <v>0.064</v>
      </c>
      <c r="AD55" s="478" t="n">
        <v>2.35</v>
      </c>
      <c r="AE55" s="436" t="n">
        <v>0.106</v>
      </c>
      <c r="AF55" s="436" t="inlineStr">
        <is>
          <t>ND</t>
        </is>
      </c>
      <c r="AG55" s="480" t="n">
        <v>5.58</v>
      </c>
      <c r="AH55" s="477" t="n">
        <v>8.92</v>
      </c>
      <c r="AI55" s="475" t="n">
        <v>7.26</v>
      </c>
      <c r="AJ55" s="436" t="inlineStr">
        <is>
          <t>ND</t>
        </is>
      </c>
      <c r="AK55" s="475" t="n">
        <v>4.18</v>
      </c>
      <c r="AL55" s="480" t="n">
        <v>1.69</v>
      </c>
      <c r="AM55" s="442" t="inlineStr">
        <is>
          <t>ND</t>
        </is>
      </c>
      <c r="AN55" s="436" t="inlineStr">
        <is>
          <t>ND</t>
        </is>
      </c>
      <c r="AO55" s="436" t="inlineStr">
        <is>
          <t>ND</t>
        </is>
      </c>
      <c r="AP55" s="112" t="n">
        <v>0.01</v>
      </c>
      <c r="AQ55" s="439" t="n">
        <v>0.95</v>
      </c>
      <c r="AR55" s="483" t="n">
        <v>1.38</v>
      </c>
      <c r="AS55" s="475" t="n">
        <v>8.220000000000001</v>
      </c>
      <c r="AT55" s="478" t="n">
        <v>3.28</v>
      </c>
      <c r="AU55" s="478" t="n">
        <v>2.65</v>
      </c>
      <c r="AV55" s="480" t="n">
        <v>2.74</v>
      </c>
      <c r="AW55" s="442" t="n">
        <v>0.585</v>
      </c>
      <c r="AX55" s="478" t="n">
        <v>3.01</v>
      </c>
      <c r="AY55" s="478" t="n">
        <v>1.78</v>
      </c>
      <c r="AZ55" s="436" t="inlineStr">
        <is>
          <t>ND</t>
        </is>
      </c>
      <c r="BA55" s="480" t="n">
        <v>2.83</v>
      </c>
      <c r="BB55" s="442" t="inlineStr">
        <is>
          <t>ND</t>
        </is>
      </c>
      <c r="BC55" s="436" t="inlineStr">
        <is>
          <t>ND</t>
        </is>
      </c>
      <c r="BD55" s="112" t="n">
        <v>0.792</v>
      </c>
      <c r="BE55" s="475" t="n">
        <v>2.71</v>
      </c>
      <c r="BF55" s="439" t="inlineStr">
        <is>
          <t>ND</t>
        </is>
      </c>
      <c r="BG55" s="442" t="n">
        <v>0.736</v>
      </c>
      <c r="BH55" s="475" t="n">
        <v>1.25</v>
      </c>
      <c r="BI55" s="436" t="inlineStr">
        <is>
          <t>ND</t>
        </is>
      </c>
      <c r="BJ55" s="436" t="inlineStr">
        <is>
          <t>ND</t>
        </is>
      </c>
      <c r="BK55" s="476" t="n">
        <v>2.01</v>
      </c>
      <c r="BL55" s="477" t="n">
        <v>2.47</v>
      </c>
      <c r="BM55" s="478" t="n">
        <v>2.74</v>
      </c>
      <c r="BN55" s="478" t="n">
        <v>3.75</v>
      </c>
      <c r="BO55" s="436" t="inlineStr">
        <is>
          <t>ND</t>
        </is>
      </c>
      <c r="BP55" s="439" t="inlineStr">
        <is>
          <t>ND</t>
        </is>
      </c>
      <c r="BQ55" s="483" t="n">
        <v>5.19</v>
      </c>
      <c r="BR55" s="436" t="inlineStr">
        <is>
          <t>ND</t>
        </is>
      </c>
      <c r="BS55" s="436" t="inlineStr">
        <is>
          <t>ND</t>
        </is>
      </c>
      <c r="BT55" s="439" t="inlineStr">
        <is>
          <t>ND</t>
        </is>
      </c>
      <c r="BU55" s="454">
        <f>IFERROR(AVERAGE(D55:BT57),0)</f>
        <v/>
      </c>
      <c r="BV55" s="454">
        <f>MAX(D55:BT57)</f>
        <v/>
      </c>
      <c r="BW55" s="238" t="n"/>
      <c r="BX55" s="238" t="n"/>
      <c r="BY55" s="238" t="n"/>
      <c r="BZ55" s="238" t="n"/>
      <c r="CA55" s="238" t="n"/>
      <c r="CB55" s="238" t="n"/>
      <c r="CC55" s="238" t="n"/>
      <c r="CD55" s="238" t="n"/>
      <c r="CE55" s="238" t="n"/>
      <c r="CF55" s="238" t="n"/>
      <c r="CG55" s="238" t="n"/>
      <c r="CH55" s="238" t="n"/>
      <c r="CI55" s="238" t="n"/>
      <c r="CJ55" s="238" t="n"/>
      <c r="CK55" s="238" t="n"/>
      <c r="CL55" s="238" t="n"/>
      <c r="CM55" s="238" t="n"/>
      <c r="CN55" s="238" t="n"/>
      <c r="CO55" s="238" t="n"/>
      <c r="CP55" s="238" t="n"/>
      <c r="CQ55" s="238" t="n"/>
      <c r="CR55" s="238" t="n"/>
      <c r="CS55" s="238" t="n"/>
      <c r="CT55" s="238" t="n"/>
      <c r="CU55" s="238" t="n"/>
      <c r="CV55" s="238" t="n"/>
      <c r="CW55" s="238" t="n"/>
      <c r="CX55" s="238" t="n"/>
      <c r="CY55" s="238" t="n"/>
      <c r="CZ55" s="238" t="n"/>
      <c r="DA55" s="238" t="n"/>
      <c r="DB55" s="238" t="n"/>
      <c r="DC55" s="238" t="n"/>
      <c r="DD55" s="238" t="n"/>
      <c r="DE55" s="238" t="n"/>
      <c r="DF55" s="238" t="n"/>
      <c r="DG55" s="238" t="n"/>
      <c r="DH55" s="238" t="n"/>
      <c r="DI55" s="238" t="n"/>
      <c r="DJ55" s="238" t="n"/>
      <c r="DK55" s="238" t="n"/>
      <c r="DL55" s="238" t="n"/>
      <c r="DM55" s="238" t="n"/>
      <c r="DN55" s="238" t="n"/>
      <c r="DO55" s="238" t="n"/>
      <c r="DP55" s="238" t="n"/>
      <c r="DQ55" s="238" t="n"/>
      <c r="DR55" s="238" t="n"/>
      <c r="DS55" s="238" t="n"/>
      <c r="DT55" s="238" t="n"/>
      <c r="DU55" s="238" t="n"/>
      <c r="DV55" s="238" t="n"/>
      <c r="DW55" s="238" t="n"/>
      <c r="DX55" s="238" t="n"/>
      <c r="DY55" s="238" t="n"/>
      <c r="DZ55" s="23" t="n"/>
      <c r="FQ55" s="212" t="n"/>
      <c r="FR55" s="212" t="n"/>
      <c r="FS55" s="212" t="n"/>
      <c r="FT55" s="212" t="n"/>
      <c r="FU55" s="212" t="n"/>
      <c r="FV55" s="212" t="n"/>
      <c r="FW55" s="212" t="n"/>
      <c r="FX55" s="212" t="n"/>
      <c r="FY55" s="212" t="n"/>
      <c r="FZ55" s="212" t="n"/>
    </row>
    <row r="56" ht="39.95" customFormat="1" customHeight="1" s="5">
      <c r="A56" s="182" t="inlineStr"/>
      <c r="B56" s="7" t="inlineStr">
        <is>
          <t>+3 FT</t>
        </is>
      </c>
      <c r="C56" s="11" t="inlineStr">
        <is>
          <t>C</t>
        </is>
      </c>
      <c r="D56" s="484" t="n">
        <v>3.19</v>
      </c>
      <c r="E56" s="502" t="n">
        <v>2.9</v>
      </c>
      <c r="F56" s="437" t="inlineStr">
        <is>
          <t>ND</t>
        </is>
      </c>
      <c r="G56" s="501" t="n">
        <v>2.4</v>
      </c>
      <c r="H56" s="440" t="inlineStr">
        <is>
          <t>ND</t>
        </is>
      </c>
      <c r="I56" s="487" t="n">
        <v>1.71</v>
      </c>
      <c r="J56" s="485" t="n">
        <v>2.58</v>
      </c>
      <c r="K56" s="437" t="inlineStr">
        <is>
          <t>ND</t>
        </is>
      </c>
      <c r="L56" s="437" t="inlineStr">
        <is>
          <t>ND</t>
        </is>
      </c>
      <c r="M56" s="503" t="n">
        <v>1.5</v>
      </c>
      <c r="N56" s="132" t="n">
        <v>0.591</v>
      </c>
      <c r="O56" s="437" t="inlineStr">
        <is>
          <t>ND</t>
        </is>
      </c>
      <c r="P56" s="437" t="inlineStr">
        <is>
          <t>ND</t>
        </is>
      </c>
      <c r="Q56" s="437" t="inlineStr">
        <is>
          <t>ND</t>
        </is>
      </c>
      <c r="R56" s="488" t="n">
        <v>7.06</v>
      </c>
      <c r="S56" s="487" t="n">
        <v>5.13</v>
      </c>
      <c r="T56" s="485" t="n">
        <v>2.49</v>
      </c>
      <c r="U56" s="437" t="n">
        <v>0.505</v>
      </c>
      <c r="V56" s="437" t="inlineStr">
        <is>
          <t>ND</t>
        </is>
      </c>
      <c r="W56" s="440" t="inlineStr">
        <is>
          <t>ND</t>
        </is>
      </c>
      <c r="X56" s="443" t="inlineStr">
        <is>
          <t>ND</t>
        </is>
      </c>
      <c r="Y56" s="486" t="n">
        <v>7.82</v>
      </c>
      <c r="Z56" s="485" t="n">
        <v>3.48</v>
      </c>
      <c r="AA56" s="437" t="inlineStr">
        <is>
          <t>ND</t>
        </is>
      </c>
      <c r="AB56" s="488" t="n">
        <v>6.83</v>
      </c>
      <c r="AC56" s="487" t="n">
        <v>3.71</v>
      </c>
      <c r="AD56" s="437" t="inlineStr">
        <is>
          <t>ND</t>
        </is>
      </c>
      <c r="AE56" s="437" t="n">
        <v>0.263</v>
      </c>
      <c r="AF56" s="437" t="inlineStr">
        <is>
          <t>ND</t>
        </is>
      </c>
      <c r="AG56" s="440" t="n">
        <v>0.242</v>
      </c>
      <c r="AH56" s="443" t="n">
        <v>0.678</v>
      </c>
      <c r="AI56" s="485" t="n">
        <v>8.859999999999999</v>
      </c>
      <c r="AJ56" s="437" t="inlineStr">
        <is>
          <t>ND</t>
        </is>
      </c>
      <c r="AK56" s="437" t="n">
        <v>0.8179999999999999</v>
      </c>
      <c r="AL56" s="440" t="inlineStr">
        <is>
          <t>ND</t>
        </is>
      </c>
      <c r="AM56" s="487" t="n">
        <v>1.23</v>
      </c>
      <c r="AN56" s="437" t="inlineStr">
        <is>
          <t>ND</t>
        </is>
      </c>
      <c r="AO56" s="485" t="n">
        <v>2.07</v>
      </c>
      <c r="AP56" s="485" t="inlineStr">
        <is>
          <t>ND</t>
        </is>
      </c>
      <c r="AQ56" s="440" t="inlineStr">
        <is>
          <t>ND</t>
        </is>
      </c>
      <c r="AR56" s="490" t="n">
        <v>3.28</v>
      </c>
      <c r="AS56" s="486" t="n">
        <v>4.66</v>
      </c>
      <c r="AT56" s="485" t="n">
        <v>1.26</v>
      </c>
      <c r="AU56" s="485" t="n">
        <v>1.08</v>
      </c>
      <c r="AV56" s="489" t="n">
        <v>2.02</v>
      </c>
      <c r="AW56" s="490" t="n">
        <v>2.83</v>
      </c>
      <c r="AX56" s="486" t="n">
        <v>2.19</v>
      </c>
      <c r="AY56" s="485" t="n">
        <v>1.74</v>
      </c>
      <c r="AZ56" s="437" t="n">
        <v>0.309</v>
      </c>
      <c r="BA56" s="440" t="inlineStr">
        <is>
          <t>ND</t>
        </is>
      </c>
      <c r="BB56" s="490" t="n">
        <v>2.99</v>
      </c>
      <c r="BC56" s="485" t="n">
        <v>5.48</v>
      </c>
      <c r="BD56" s="485" t="n">
        <v>4.44</v>
      </c>
      <c r="BE56" s="486" t="n">
        <v>2.31</v>
      </c>
      <c r="BF56" s="489" t="n">
        <v>2.16</v>
      </c>
      <c r="BG56" s="511" t="n">
        <v>1.3</v>
      </c>
      <c r="BH56" s="485" t="n">
        <v>2.24</v>
      </c>
      <c r="BI56" s="485" t="n">
        <v>2.48</v>
      </c>
      <c r="BJ56" s="437" t="inlineStr">
        <is>
          <t>ND</t>
        </is>
      </c>
      <c r="BK56" s="120" t="n">
        <v>0.835</v>
      </c>
      <c r="BL56" s="522" t="inlineStr">
        <is>
          <t>ND</t>
        </is>
      </c>
      <c r="BM56" s="437" t="inlineStr">
        <is>
          <t>ND</t>
        </is>
      </c>
      <c r="BN56" s="437" t="n">
        <v>0.968</v>
      </c>
      <c r="BO56" s="486" t="n">
        <v>3.32</v>
      </c>
      <c r="BP56" s="440" t="n">
        <v>0.764</v>
      </c>
      <c r="BQ56" s="443" t="inlineStr">
        <is>
          <t>ND</t>
        </is>
      </c>
      <c r="BR56" s="540" t="n">
        <v>1</v>
      </c>
      <c r="BS56" s="485" t="n">
        <v>2.11</v>
      </c>
      <c r="BT56" s="488" t="n">
        <v>2.46</v>
      </c>
      <c r="BU56" s="455" t="n"/>
      <c r="BV56" s="455" t="n"/>
      <c r="BW56" s="238" t="n"/>
      <c r="BX56" s="238" t="n"/>
      <c r="BY56" s="238" t="n"/>
      <c r="BZ56" s="238" t="n"/>
      <c r="CA56" s="238" t="n"/>
      <c r="CB56" s="238" t="n"/>
      <c r="CC56" s="238" t="n"/>
      <c r="CD56" s="238" t="n"/>
      <c r="CE56" s="238" t="n"/>
      <c r="CF56" s="238" t="n"/>
      <c r="CG56" s="238" t="n"/>
      <c r="CH56" s="238" t="n"/>
      <c r="CI56" s="238" t="n"/>
      <c r="CJ56" s="238" t="n"/>
      <c r="CK56" s="238" t="n"/>
      <c r="CL56" s="238" t="n"/>
      <c r="CM56" s="238" t="n"/>
      <c r="CN56" s="238" t="n"/>
      <c r="CO56" s="238" t="n"/>
      <c r="CP56" s="238" t="n"/>
      <c r="CQ56" s="238" t="n"/>
      <c r="CR56" s="238" t="n"/>
      <c r="CS56" s="238" t="n"/>
      <c r="CT56" s="238" t="n"/>
      <c r="CU56" s="238" t="n"/>
      <c r="CV56" s="238" t="n"/>
      <c r="CW56" s="238" t="n"/>
      <c r="CX56" s="238" t="n"/>
      <c r="CY56" s="238" t="n"/>
      <c r="CZ56" s="238" t="n"/>
      <c r="DA56" s="238" t="n"/>
      <c r="DB56" s="238" t="n"/>
      <c r="DC56" s="238" t="n"/>
      <c r="DD56" s="238" t="n"/>
      <c r="DE56" s="238" t="n"/>
      <c r="DF56" s="238" t="n"/>
      <c r="DG56" s="238" t="n"/>
      <c r="DH56" s="238" t="n"/>
      <c r="DI56" s="238" t="n"/>
      <c r="DJ56" s="238" t="n"/>
      <c r="DK56" s="238" t="n"/>
      <c r="DL56" s="238" t="n"/>
      <c r="DM56" s="238" t="n"/>
      <c r="DN56" s="238" t="n"/>
      <c r="DO56" s="238" t="n"/>
      <c r="DP56" s="238" t="n"/>
      <c r="DQ56" s="238" t="n"/>
      <c r="DR56" s="238" t="n"/>
      <c r="DS56" s="238" t="n"/>
      <c r="DT56" s="238" t="n"/>
      <c r="DU56" s="238" t="n"/>
      <c r="DV56" s="238" t="n"/>
      <c r="DW56" s="238" t="n"/>
      <c r="DX56" s="238" t="n"/>
      <c r="DY56" s="238" t="n"/>
      <c r="DZ56" s="23" t="n"/>
      <c r="FQ56" s="212" t="n"/>
      <c r="FR56" s="212" t="n"/>
      <c r="FS56" s="212" t="n"/>
      <c r="FT56" s="212" t="n"/>
      <c r="FU56" s="212" t="n"/>
      <c r="FV56" s="212" t="n"/>
      <c r="FW56" s="212" t="n"/>
      <c r="FX56" s="212" t="n"/>
      <c r="FY56" s="212" t="n"/>
      <c r="FZ56" s="212" t="n"/>
    </row>
    <row r="57" ht="39.95" customFormat="1" customHeight="1" s="5">
      <c r="A57" s="456" t="n"/>
      <c r="B57" s="8" t="n"/>
      <c r="C57" s="12" t="inlineStr">
        <is>
          <t>R</t>
        </is>
      </c>
      <c r="D57" s="547" t="n">
        <v>3.92</v>
      </c>
      <c r="E57" s="494" t="n">
        <v>2.74</v>
      </c>
      <c r="F57" s="438" t="n">
        <v>0.351</v>
      </c>
      <c r="G57" s="497" t="n">
        <v>3.59</v>
      </c>
      <c r="H57" s="498" t="n">
        <v>1.29</v>
      </c>
      <c r="I57" s="505" t="n">
        <v>2.02</v>
      </c>
      <c r="J57" s="438" t="inlineStr">
        <is>
          <t>ND</t>
        </is>
      </c>
      <c r="K57" s="438" t="inlineStr">
        <is>
          <t>ND</t>
        </is>
      </c>
      <c r="L57" s="438" t="inlineStr">
        <is>
          <t>ND</t>
        </is>
      </c>
      <c r="M57" s="441" t="inlineStr">
        <is>
          <t>ND</t>
        </is>
      </c>
      <c r="N57" s="496" t="n">
        <v>1.36</v>
      </c>
      <c r="O57" s="494" t="n">
        <v>1.43</v>
      </c>
      <c r="P57" s="494" t="inlineStr">
        <is>
          <t>ND</t>
        </is>
      </c>
      <c r="Q57" s="497" t="n">
        <v>2.37</v>
      </c>
      <c r="R57" s="498" t="n">
        <v>8.550000000000001</v>
      </c>
      <c r="S57" s="444" t="inlineStr">
        <is>
          <t>ND</t>
        </is>
      </c>
      <c r="T57" s="438" t="inlineStr">
        <is>
          <t>ND</t>
        </is>
      </c>
      <c r="U57" s="494" t="n">
        <v>4.45</v>
      </c>
      <c r="V57" s="497" t="n">
        <v>2.42</v>
      </c>
      <c r="W57" s="441" t="inlineStr">
        <is>
          <t>ND</t>
        </is>
      </c>
      <c r="X57" s="444" t="inlineStr">
        <is>
          <t>ND</t>
        </is>
      </c>
      <c r="Y57" s="438" t="inlineStr">
        <is>
          <t>ND</t>
        </is>
      </c>
      <c r="Z57" s="494" t="n">
        <v>4.75</v>
      </c>
      <c r="AA57" s="492" t="n">
        <v>1.4</v>
      </c>
      <c r="AB57" s="498" t="n">
        <v>6.23</v>
      </c>
      <c r="AC57" s="496" t="inlineStr">
        <is>
          <t>ND</t>
        </is>
      </c>
      <c r="AD57" s="438" t="inlineStr">
        <is>
          <t>ND</t>
        </is>
      </c>
      <c r="AE57" s="497" t="n">
        <v>1.07</v>
      </c>
      <c r="AF57" s="438" t="inlineStr">
        <is>
          <t>ND</t>
        </is>
      </c>
      <c r="AG57" s="441" t="inlineStr">
        <is>
          <t>ND</t>
        </is>
      </c>
      <c r="AH57" s="496" t="n">
        <v>8.44</v>
      </c>
      <c r="AI57" s="438" t="inlineStr">
        <is>
          <t>ND</t>
        </is>
      </c>
      <c r="AJ57" s="497" t="n">
        <v>3.96</v>
      </c>
      <c r="AK57" s="497" t="n">
        <v>4.42</v>
      </c>
      <c r="AL57" s="441" t="n">
        <v>0.185</v>
      </c>
      <c r="AM57" s="444" t="inlineStr">
        <is>
          <t>ND</t>
        </is>
      </c>
      <c r="AN57" s="438" t="inlineStr">
        <is>
          <t>ND</t>
        </is>
      </c>
      <c r="AO57" s="494" t="inlineStr">
        <is>
          <t>ND</t>
        </is>
      </c>
      <c r="AP57" s="125" t="n">
        <v>0.272</v>
      </c>
      <c r="AQ57" s="441" t="inlineStr">
        <is>
          <t>ND</t>
        </is>
      </c>
      <c r="AR57" s="444" t="n">
        <v>0.5620000000000001</v>
      </c>
      <c r="AS57" s="494" t="n">
        <v>3.12</v>
      </c>
      <c r="AT57" s="497" t="n">
        <v>1.77</v>
      </c>
      <c r="AU57" s="497" t="n">
        <v>2.06</v>
      </c>
      <c r="AV57" s="441" t="n">
        <v>0.613</v>
      </c>
      <c r="AW57" s="505" t="n">
        <v>2.88</v>
      </c>
      <c r="AX57" s="438" t="n">
        <v>0.358</v>
      </c>
      <c r="AY57" s="438" t="inlineStr">
        <is>
          <t>ND</t>
        </is>
      </c>
      <c r="AZ57" s="494" t="n">
        <v>3.49</v>
      </c>
      <c r="BA57" s="441" t="inlineStr">
        <is>
          <t>ND</t>
        </is>
      </c>
      <c r="BB57" s="496" t="inlineStr">
        <is>
          <t>ND</t>
        </is>
      </c>
      <c r="BC57" s="494" t="inlineStr">
        <is>
          <t>ND</t>
        </is>
      </c>
      <c r="BD57" s="438" t="inlineStr">
        <is>
          <t>ND</t>
        </is>
      </c>
      <c r="BE57" s="499" t="n">
        <v>2.4</v>
      </c>
      <c r="BF57" s="498" t="n">
        <v>2.72</v>
      </c>
      <c r="BG57" s="444" t="inlineStr">
        <is>
          <t>ND</t>
        </is>
      </c>
      <c r="BH57" s="438" t="inlineStr">
        <is>
          <t>ND</t>
        </is>
      </c>
      <c r="BI57" s="494" t="n">
        <v>1.43</v>
      </c>
      <c r="BJ57" s="125" t="n">
        <v>0.878</v>
      </c>
      <c r="BK57" s="498" t="n">
        <v>2.37</v>
      </c>
      <c r="BL57" s="496" t="inlineStr">
        <is>
          <t>ND</t>
        </is>
      </c>
      <c r="BM57" s="526" t="inlineStr">
        <is>
          <t>ND</t>
        </is>
      </c>
      <c r="BN57" s="438" t="inlineStr">
        <is>
          <t>ND</t>
        </is>
      </c>
      <c r="BO57" s="438" t="inlineStr">
        <is>
          <t>ND</t>
        </is>
      </c>
      <c r="BP57" s="498" t="n">
        <v>4.96</v>
      </c>
      <c r="BQ57" s="444" t="inlineStr">
        <is>
          <t>ND</t>
        </is>
      </c>
      <c r="BR57" s="438" t="inlineStr">
        <is>
          <t>ND</t>
        </is>
      </c>
      <c r="BS57" s="494" t="n">
        <v>1.66</v>
      </c>
      <c r="BT57" s="441" t="n">
        <v>0.39</v>
      </c>
      <c r="BU57" s="457" t="n"/>
      <c r="BV57" s="457" t="n"/>
      <c r="BW57" s="238" t="n"/>
      <c r="BX57" s="238" t="n"/>
      <c r="BY57" s="238" t="n"/>
      <c r="BZ57" s="238" t="n"/>
      <c r="CA57" s="238" t="n"/>
      <c r="CB57" s="238" t="n"/>
      <c r="CC57" s="238" t="n"/>
      <c r="CD57" s="238" t="n"/>
      <c r="CE57" s="238" t="n"/>
      <c r="CF57" s="238" t="n"/>
      <c r="CG57" s="238" t="n"/>
      <c r="CH57" s="238" t="n"/>
      <c r="CI57" s="238" t="n"/>
      <c r="CJ57" s="238" t="n"/>
      <c r="CK57" s="238" t="n"/>
      <c r="CL57" s="238" t="n"/>
      <c r="CM57" s="238" t="n"/>
      <c r="CN57" s="238" t="n"/>
      <c r="CO57" s="238" t="n"/>
      <c r="CP57" s="238" t="n"/>
      <c r="CQ57" s="238" t="n"/>
      <c r="CR57" s="238" t="n"/>
      <c r="CS57" s="238" t="n"/>
      <c r="CT57" s="238" t="n"/>
      <c r="CU57" s="238" t="n"/>
      <c r="CV57" s="238" t="n"/>
      <c r="CW57" s="238" t="n"/>
      <c r="CX57" s="238" t="n"/>
      <c r="CY57" s="238" t="n"/>
      <c r="CZ57" s="238" t="n"/>
      <c r="DA57" s="238" t="n"/>
      <c r="DB57" s="238" t="n"/>
      <c r="DC57" s="238" t="n"/>
      <c r="DD57" s="238" t="n"/>
      <c r="DE57" s="238" t="n"/>
      <c r="DF57" s="238" t="n"/>
      <c r="DG57" s="238" t="n"/>
      <c r="DH57" s="238" t="n"/>
      <c r="DI57" s="238" t="n"/>
      <c r="DJ57" s="238" t="n"/>
      <c r="DK57" s="238" t="n"/>
      <c r="DL57" s="238" t="n"/>
      <c r="DM57" s="238" t="n"/>
      <c r="DN57" s="238" t="n"/>
      <c r="DO57" s="238" t="n"/>
      <c r="DP57" s="238" t="n"/>
      <c r="DQ57" s="238" t="n"/>
      <c r="DR57" s="238" t="n"/>
      <c r="DS57" s="238" t="n"/>
      <c r="DT57" s="238" t="n"/>
      <c r="DU57" s="238" t="n"/>
      <c r="DV57" s="238" t="n"/>
      <c r="DW57" s="238" t="n"/>
      <c r="DX57" s="238" t="n"/>
      <c r="DY57" s="238" t="n"/>
      <c r="DZ57" s="23" t="n"/>
      <c r="FQ57" s="212" t="n"/>
      <c r="FR57" s="212" t="n"/>
      <c r="FS57" s="212" t="n"/>
      <c r="FT57" s="212" t="n"/>
      <c r="FU57" s="212" t="n"/>
      <c r="FV57" s="212" t="n"/>
      <c r="FW57" s="212" t="n"/>
      <c r="FX57" s="212" t="n"/>
      <c r="FY57" s="212" t="n"/>
      <c r="FZ57" s="212" t="n"/>
    </row>
    <row r="58" ht="39.95" customFormat="1" customHeight="1" s="5">
      <c r="A58" s="10" t="inlineStr">
        <is>
          <t>A</t>
        </is>
      </c>
      <c r="B58" s="6" t="n"/>
      <c r="C58" s="11" t="inlineStr">
        <is>
          <t>L</t>
        </is>
      </c>
      <c r="D58" s="551" t="n">
        <v>19</v>
      </c>
      <c r="E58" s="475" t="n">
        <v>4.75</v>
      </c>
      <c r="F58" s="478" t="n">
        <v>1.99</v>
      </c>
      <c r="G58" s="478" t="n">
        <v>8.27</v>
      </c>
      <c r="H58" s="480" t="n">
        <v>1.13</v>
      </c>
      <c r="I58" s="483" t="n">
        <v>2.26</v>
      </c>
      <c r="J58" s="475" t="n">
        <v>2.87</v>
      </c>
      <c r="K58" s="481" t="n">
        <v>1.5</v>
      </c>
      <c r="L58" s="475" t="n">
        <v>4.41</v>
      </c>
      <c r="M58" s="439" t="n">
        <v>0.293</v>
      </c>
      <c r="N58" s="483" t="n">
        <v>1.66</v>
      </c>
      <c r="O58" s="475" t="n">
        <v>1.26</v>
      </c>
      <c r="P58" s="475" t="n">
        <v>2.76</v>
      </c>
      <c r="Q58" s="475" t="n">
        <v>1.65</v>
      </c>
      <c r="R58" s="480" t="n">
        <v>3.32</v>
      </c>
      <c r="S58" s="477" t="n">
        <v>1.79</v>
      </c>
      <c r="T58" s="475" t="n">
        <v>7.24</v>
      </c>
      <c r="U58" s="475" t="n">
        <v>3.64</v>
      </c>
      <c r="V58" s="475" t="n">
        <v>3.98</v>
      </c>
      <c r="W58" s="476" t="n">
        <v>3.65</v>
      </c>
      <c r="X58" s="442" t="inlineStr">
        <is>
          <t>ND</t>
        </is>
      </c>
      <c r="Y58" s="436" t="n">
        <v>0.863</v>
      </c>
      <c r="Z58" s="478" t="n">
        <v>1.25</v>
      </c>
      <c r="AA58" s="112" t="n">
        <v>0.375</v>
      </c>
      <c r="AB58" s="480" t="n">
        <v>7.15</v>
      </c>
      <c r="AC58" s="442" t="inlineStr">
        <is>
          <t>ND</t>
        </is>
      </c>
      <c r="AD58" s="436" t="inlineStr">
        <is>
          <t>ND</t>
        </is>
      </c>
      <c r="AE58" s="112" t="n">
        <v>0.042</v>
      </c>
      <c r="AF58" s="475" t="n">
        <v>9.039999999999999</v>
      </c>
      <c r="AG58" s="480" t="n">
        <v>1.01</v>
      </c>
      <c r="AH58" s="477" t="n">
        <v>2.37</v>
      </c>
      <c r="AI58" s="475" t="n">
        <v>6.43</v>
      </c>
      <c r="AJ58" s="436" t="n">
        <v>0.979</v>
      </c>
      <c r="AK58" s="475" t="n">
        <v>1.69</v>
      </c>
      <c r="AL58" s="476" t="n">
        <v>3.13</v>
      </c>
      <c r="AM58" s="442" t="inlineStr">
        <is>
          <t>ND</t>
        </is>
      </c>
      <c r="AN58" s="478" t="n">
        <v>4.44</v>
      </c>
      <c r="AO58" s="478" t="n">
        <v>4.81</v>
      </c>
      <c r="AP58" s="478" t="n">
        <v>4.06</v>
      </c>
      <c r="AQ58" s="476" t="n">
        <v>2.79</v>
      </c>
      <c r="AR58" s="477" t="n">
        <v>2.44</v>
      </c>
      <c r="AS58" s="478" t="n">
        <v>1.44</v>
      </c>
      <c r="AT58" s="478" t="n">
        <v>2.46</v>
      </c>
      <c r="AU58" s="478" t="n">
        <v>2.33</v>
      </c>
      <c r="AV58" s="508" t="n">
        <v>3.6</v>
      </c>
      <c r="AW58" s="477" t="n">
        <v>3.09</v>
      </c>
      <c r="AX58" s="478" t="n">
        <v>3.11</v>
      </c>
      <c r="AY58" s="478" t="n">
        <v>4.19</v>
      </c>
      <c r="AZ58" s="478" t="n">
        <v>2.09</v>
      </c>
      <c r="BA58" s="476" t="n">
        <v>2.02</v>
      </c>
      <c r="BB58" s="477" t="inlineStr">
        <is>
          <t>ND</t>
        </is>
      </c>
      <c r="BC58" s="478" t="n">
        <v>2.34</v>
      </c>
      <c r="BD58" s="478" t="n">
        <v>3.29</v>
      </c>
      <c r="BE58" s="478" t="inlineStr">
        <is>
          <t>ND</t>
        </is>
      </c>
      <c r="BF58" s="439" t="n">
        <v>0.194</v>
      </c>
      <c r="BG58" s="483" t="n">
        <v>1.32</v>
      </c>
      <c r="BH58" s="475" t="n">
        <v>2.44</v>
      </c>
      <c r="BI58" s="475" t="n">
        <v>2.32</v>
      </c>
      <c r="BJ58" s="112" t="n">
        <v>0.6879999999999999</v>
      </c>
      <c r="BK58" s="480" t="n">
        <v>3.42</v>
      </c>
      <c r="BL58" s="483" t="n">
        <v>1.79</v>
      </c>
      <c r="BM58" s="436" t="inlineStr">
        <is>
          <t>ND</t>
        </is>
      </c>
      <c r="BN58" s="436" t="inlineStr">
        <is>
          <t>ND</t>
        </is>
      </c>
      <c r="BO58" s="436" t="inlineStr">
        <is>
          <t>ND</t>
        </is>
      </c>
      <c r="BP58" s="439" t="inlineStr">
        <is>
          <t>ND</t>
        </is>
      </c>
      <c r="BQ58" s="477" t="n">
        <v>1.84</v>
      </c>
      <c r="BR58" s="436" t="inlineStr">
        <is>
          <t>ND</t>
        </is>
      </c>
      <c r="BS58" s="436" t="inlineStr">
        <is>
          <t>ND</t>
        </is>
      </c>
      <c r="BT58" s="476" t="n">
        <v>1.77</v>
      </c>
      <c r="BU58" s="454">
        <f>IFERROR(AVERAGE(D58:BT60),0)</f>
        <v/>
      </c>
      <c r="BV58" s="454">
        <f>MAX(D58:BT60)</f>
        <v/>
      </c>
      <c r="BW58" s="238" t="n"/>
      <c r="BX58" s="238" t="n"/>
      <c r="BY58" s="238" t="n"/>
      <c r="BZ58" s="238" t="n"/>
      <c r="CA58" s="238" t="n"/>
      <c r="CB58" s="238" t="n"/>
      <c r="CC58" s="238" t="n"/>
      <c r="CD58" s="238" t="n"/>
      <c r="CE58" s="238" t="n"/>
      <c r="CF58" s="238" t="n"/>
      <c r="CG58" s="238" t="n"/>
      <c r="CH58" s="238" t="n"/>
      <c r="CI58" s="238" t="n"/>
      <c r="CJ58" s="238" t="n"/>
      <c r="CK58" s="238" t="n"/>
      <c r="CL58" s="238" t="n"/>
      <c r="CM58" s="238" t="n"/>
      <c r="CN58" s="238" t="n"/>
      <c r="CO58" s="238" t="n"/>
      <c r="CP58" s="238" t="n"/>
      <c r="CQ58" s="238" t="n"/>
      <c r="CR58" s="238" t="n"/>
      <c r="CS58" s="238" t="n"/>
      <c r="CT58" s="238" t="n"/>
      <c r="CU58" s="238" t="n"/>
      <c r="CV58" s="238" t="n"/>
      <c r="CW58" s="238" t="n"/>
      <c r="CX58" s="238" t="n"/>
      <c r="CY58" s="238" t="n"/>
      <c r="CZ58" s="238" t="n"/>
      <c r="DA58" s="238" t="n"/>
      <c r="DB58" s="238" t="n"/>
      <c r="DC58" s="238" t="n"/>
      <c r="DD58" s="238" t="n"/>
      <c r="DE58" s="238" t="n"/>
      <c r="DF58" s="238" t="n"/>
      <c r="DG58" s="238" t="n"/>
      <c r="DH58" s="238" t="n"/>
      <c r="DI58" s="238" t="n"/>
      <c r="DJ58" s="238" t="n"/>
      <c r="DK58" s="238" t="n"/>
      <c r="DL58" s="238" t="n"/>
      <c r="DM58" s="238" t="n"/>
      <c r="DN58" s="238" t="n"/>
      <c r="DO58" s="238" t="n"/>
      <c r="DP58" s="238" t="n"/>
      <c r="DQ58" s="238" t="n"/>
      <c r="DR58" s="238" t="n"/>
      <c r="DS58" s="238" t="n"/>
      <c r="DT58" s="238" t="n"/>
      <c r="DU58" s="238" t="n"/>
      <c r="DV58" s="238" t="n"/>
      <c r="DW58" s="238" t="n"/>
      <c r="DX58" s="238" t="n"/>
      <c r="DY58" s="238" t="n"/>
      <c r="DZ58" s="23" t="n"/>
      <c r="FQ58" s="212" t="n"/>
      <c r="FR58" s="212" t="n"/>
      <c r="FS58" s="212" t="n"/>
      <c r="FT58" s="212" t="n"/>
      <c r="FU58" s="212" t="n"/>
      <c r="FV58" s="212" t="n"/>
      <c r="FW58" s="212" t="n"/>
      <c r="FX58" s="212" t="n"/>
      <c r="FY58" s="212" t="n"/>
      <c r="FZ58" s="212" t="n"/>
    </row>
    <row r="59" ht="39.95" customFormat="1" customHeight="1" s="5">
      <c r="A59" s="182" t="inlineStr"/>
      <c r="B59" s="7" t="inlineStr">
        <is>
          <t>+1 FT 6 IN</t>
        </is>
      </c>
      <c r="C59" s="11" t="inlineStr">
        <is>
          <t>C</t>
        </is>
      </c>
      <c r="D59" s="552" t="n">
        <v>15.8</v>
      </c>
      <c r="E59" s="486" t="n">
        <v>5.79</v>
      </c>
      <c r="F59" s="485" t="n">
        <v>2.46</v>
      </c>
      <c r="G59" s="486" t="n">
        <v>1.54</v>
      </c>
      <c r="H59" s="440" t="inlineStr">
        <is>
          <t>ND</t>
        </is>
      </c>
      <c r="I59" s="443" t="inlineStr">
        <is>
          <t>ND</t>
        </is>
      </c>
      <c r="J59" s="485" t="n">
        <v>4.13</v>
      </c>
      <c r="K59" s="485" t="n">
        <v>1.36</v>
      </c>
      <c r="L59" s="437" t="inlineStr">
        <is>
          <t>ND</t>
        </is>
      </c>
      <c r="M59" s="488" t="n">
        <v>2.44</v>
      </c>
      <c r="N59" s="443" t="inlineStr">
        <is>
          <t>ND</t>
        </is>
      </c>
      <c r="O59" s="437" t="n">
        <v>0.863</v>
      </c>
      <c r="P59" s="437" t="n">
        <v>0.837</v>
      </c>
      <c r="Q59" s="437" t="inlineStr">
        <is>
          <t>ND</t>
        </is>
      </c>
      <c r="R59" s="489" t="n">
        <v>2.21</v>
      </c>
      <c r="S59" s="490" t="n">
        <v>3.26</v>
      </c>
      <c r="T59" s="485" t="n">
        <v>2.61</v>
      </c>
      <c r="U59" s="486" t="n">
        <v>3.26</v>
      </c>
      <c r="V59" s="486" t="n">
        <v>2.22</v>
      </c>
      <c r="W59" s="489" t="n">
        <v>4.54</v>
      </c>
      <c r="X59" s="487" t="n">
        <v>1.72</v>
      </c>
      <c r="Y59" s="437" t="inlineStr">
        <is>
          <t>ND</t>
        </is>
      </c>
      <c r="Z59" s="485" t="n">
        <v>5.47</v>
      </c>
      <c r="AA59" s="437" t="n">
        <v>0.275</v>
      </c>
      <c r="AB59" s="440" t="inlineStr">
        <is>
          <t>ND</t>
        </is>
      </c>
      <c r="AC59" s="490" t="inlineStr">
        <is>
          <t>ND</t>
        </is>
      </c>
      <c r="AD59" s="437" t="inlineStr">
        <is>
          <t>ND</t>
        </is>
      </c>
      <c r="AE59" s="122" t="n">
        <v>0.8149999999999999</v>
      </c>
      <c r="AF59" s="485" t="n">
        <v>9.49</v>
      </c>
      <c r="AG59" s="440" t="inlineStr">
        <is>
          <t>ND</t>
        </is>
      </c>
      <c r="AH59" s="443" t="n">
        <v>0.944</v>
      </c>
      <c r="AI59" s="485" t="n">
        <v>2.65</v>
      </c>
      <c r="AJ59" s="485" t="n">
        <v>2.29</v>
      </c>
      <c r="AK59" s="485" t="n">
        <v>4.18</v>
      </c>
      <c r="AL59" s="504" t="n">
        <v>2.5</v>
      </c>
      <c r="AM59" s="490" t="n">
        <v>5.25</v>
      </c>
      <c r="AN59" s="122" t="n">
        <v>0.78</v>
      </c>
      <c r="AO59" s="485" t="inlineStr">
        <is>
          <t>ND</t>
        </is>
      </c>
      <c r="AP59" s="485" t="n">
        <v>2.23</v>
      </c>
      <c r="AQ59" s="488" t="n">
        <v>5.01</v>
      </c>
      <c r="AR59" s="487" t="n">
        <v>8.26</v>
      </c>
      <c r="AS59" s="485" t="n">
        <v>3.61</v>
      </c>
      <c r="AT59" s="485" t="n">
        <v>4.22</v>
      </c>
      <c r="AU59" s="485" t="n">
        <v>4.46</v>
      </c>
      <c r="AV59" s="488" t="n">
        <v>4.89</v>
      </c>
      <c r="AW59" s="490" t="n">
        <v>5.04</v>
      </c>
      <c r="AX59" s="485" t="n">
        <v>4.91</v>
      </c>
      <c r="AY59" s="485" t="n">
        <v>2.04</v>
      </c>
      <c r="AZ59" s="485" t="n">
        <v>2.86</v>
      </c>
      <c r="BA59" s="440" t="n">
        <v>0.9379999999999999</v>
      </c>
      <c r="BB59" s="490" t="n">
        <v>4.14</v>
      </c>
      <c r="BC59" s="485" t="n">
        <v>2.82</v>
      </c>
      <c r="BD59" s="486" t="n">
        <v>1.76</v>
      </c>
      <c r="BE59" s="485" t="inlineStr">
        <is>
          <t>ND</t>
        </is>
      </c>
      <c r="BF59" s="488" t="n">
        <v>1.39</v>
      </c>
      <c r="BG59" s="443" t="n">
        <v>0.366</v>
      </c>
      <c r="BH59" s="540" t="n">
        <v>2</v>
      </c>
      <c r="BI59" s="437" t="n">
        <v>0.921</v>
      </c>
      <c r="BJ59" s="486" t="n">
        <v>1.57</v>
      </c>
      <c r="BK59" s="489" t="n">
        <v>3.18</v>
      </c>
      <c r="BL59" s="487" t="n">
        <v>1.88</v>
      </c>
      <c r="BM59" s="485" t="inlineStr">
        <is>
          <t>ND</t>
        </is>
      </c>
      <c r="BN59" s="437" t="inlineStr">
        <is>
          <t>ND</t>
        </is>
      </c>
      <c r="BO59" s="437" t="inlineStr">
        <is>
          <t>ND</t>
        </is>
      </c>
      <c r="BP59" s="489" t="n">
        <v>1.76</v>
      </c>
      <c r="BQ59" s="443" t="inlineStr">
        <is>
          <t>ND</t>
        </is>
      </c>
      <c r="BR59" s="437" t="inlineStr">
        <is>
          <t>ND</t>
        </is>
      </c>
      <c r="BS59" s="485" t="inlineStr">
        <is>
          <t>ND</t>
        </is>
      </c>
      <c r="BT59" s="440" t="inlineStr">
        <is>
          <t>ND</t>
        </is>
      </c>
      <c r="BU59" s="455" t="n"/>
      <c r="BV59" s="455" t="n"/>
      <c r="BW59" s="238" t="n"/>
      <c r="BX59" s="238" t="n"/>
      <c r="BY59" s="238" t="n"/>
      <c r="BZ59" s="238" t="n"/>
      <c r="CA59" s="238" t="n"/>
      <c r="CB59" s="238" t="n"/>
      <c r="CC59" s="238" t="n"/>
      <c r="CD59" s="238" t="n"/>
      <c r="CE59" s="238" t="n"/>
      <c r="CF59" s="238" t="n"/>
      <c r="CG59" s="238" t="n"/>
      <c r="CH59" s="238" t="n"/>
      <c r="CI59" s="238" t="n"/>
      <c r="CJ59" s="238" t="n"/>
      <c r="CK59" s="238" t="n"/>
      <c r="CL59" s="238" t="n"/>
      <c r="CM59" s="238" t="n"/>
      <c r="CN59" s="238" t="n"/>
      <c r="CO59" s="238" t="n"/>
      <c r="CP59" s="238" t="n"/>
      <c r="CQ59" s="238" t="n"/>
      <c r="CR59" s="238" t="n"/>
      <c r="CS59" s="238" t="n"/>
      <c r="CT59" s="238" t="n"/>
      <c r="CU59" s="238" t="n"/>
      <c r="CV59" s="238" t="n"/>
      <c r="CW59" s="238" t="n"/>
      <c r="CX59" s="238" t="n"/>
      <c r="CY59" s="238" t="n"/>
      <c r="CZ59" s="238" t="n"/>
      <c r="DA59" s="238" t="n"/>
      <c r="DB59" s="238" t="n"/>
      <c r="DC59" s="238" t="n"/>
      <c r="DD59" s="238" t="n"/>
      <c r="DE59" s="238" t="n"/>
      <c r="DF59" s="238" t="n"/>
      <c r="DG59" s="238" t="n"/>
      <c r="DH59" s="238" t="n"/>
      <c r="DI59" s="238" t="n"/>
      <c r="DJ59" s="238" t="n"/>
      <c r="DK59" s="238" t="n"/>
      <c r="DL59" s="238" t="n"/>
      <c r="DM59" s="238" t="n"/>
      <c r="DN59" s="238" t="n"/>
      <c r="DO59" s="238" t="n"/>
      <c r="DP59" s="238" t="n"/>
      <c r="DQ59" s="238" t="n"/>
      <c r="DR59" s="238" t="n"/>
      <c r="DS59" s="238" t="n"/>
      <c r="DT59" s="238" t="n"/>
      <c r="DU59" s="238" t="n"/>
      <c r="DV59" s="238" t="n"/>
      <c r="DW59" s="238" t="n"/>
      <c r="DX59" s="238" t="n"/>
      <c r="DY59" s="238" t="n"/>
      <c r="DZ59" s="23" t="n"/>
      <c r="FQ59" s="212" t="n"/>
      <c r="FR59" s="212" t="n"/>
      <c r="FS59" s="212" t="n"/>
      <c r="FT59" s="212" t="n"/>
      <c r="FU59" s="212" t="n"/>
      <c r="FV59" s="212" t="n"/>
      <c r="FW59" s="212" t="n"/>
      <c r="FX59" s="212" t="n"/>
      <c r="FY59" s="212" t="n"/>
      <c r="FZ59" s="212" t="n"/>
    </row>
    <row r="60" ht="39.95" customFormat="1" customHeight="1" s="5">
      <c r="A60" s="456" t="n"/>
      <c r="B60" s="8" t="n"/>
      <c r="C60" s="12" t="inlineStr">
        <is>
          <t>R</t>
        </is>
      </c>
      <c r="D60" s="523" t="n">
        <v>13.9</v>
      </c>
      <c r="E60" s="499" t="n">
        <v>5.6</v>
      </c>
      <c r="F60" s="494" t="n">
        <v>2.38</v>
      </c>
      <c r="G60" s="497" t="n">
        <v>3.29</v>
      </c>
      <c r="H60" s="498" t="n">
        <v>2.05</v>
      </c>
      <c r="I60" s="505" t="n">
        <v>4.37</v>
      </c>
      <c r="J60" s="497" t="n">
        <v>3.41</v>
      </c>
      <c r="K60" s="497" t="n">
        <v>1.33</v>
      </c>
      <c r="L60" s="494" t="n">
        <v>2.13</v>
      </c>
      <c r="M60" s="495" t="n">
        <v>3.23</v>
      </c>
      <c r="N60" s="444" t="inlineStr">
        <is>
          <t>ND</t>
        </is>
      </c>
      <c r="O60" s="438" t="n">
        <v>0.126</v>
      </c>
      <c r="P60" s="497" t="n">
        <v>4.92</v>
      </c>
      <c r="Q60" s="497" t="n">
        <v>2.11</v>
      </c>
      <c r="R60" s="441" t="n">
        <v>0.98</v>
      </c>
      <c r="S60" s="444" t="n">
        <v>0.502</v>
      </c>
      <c r="T60" s="497" t="n">
        <v>4.67</v>
      </c>
      <c r="U60" s="497" t="n">
        <v>3.16</v>
      </c>
      <c r="V60" s="497" t="n">
        <v>1.14</v>
      </c>
      <c r="W60" s="498" t="n">
        <v>1.28</v>
      </c>
      <c r="X60" s="505" t="n">
        <v>4.38</v>
      </c>
      <c r="Y60" s="438" t="inlineStr">
        <is>
          <t>ND</t>
        </is>
      </c>
      <c r="Z60" s="438" t="inlineStr">
        <is>
          <t>ND</t>
        </is>
      </c>
      <c r="AA60" s="497" t="n">
        <v>1.43</v>
      </c>
      <c r="AB60" s="441" t="n">
        <v>0.284</v>
      </c>
      <c r="AC60" s="505" t="n">
        <v>1.67</v>
      </c>
      <c r="AD60" s="494" t="inlineStr">
        <is>
          <t>ND</t>
        </is>
      </c>
      <c r="AE60" s="438" t="n">
        <v>0.211</v>
      </c>
      <c r="AF60" s="497" t="n">
        <v>5.39</v>
      </c>
      <c r="AG60" s="441" t="inlineStr">
        <is>
          <t>ND</t>
        </is>
      </c>
      <c r="AH60" s="496" t="n">
        <v>2.64</v>
      </c>
      <c r="AI60" s="494" t="n">
        <v>1.37</v>
      </c>
      <c r="AJ60" s="497" t="n">
        <v>6.73</v>
      </c>
      <c r="AK60" s="492" t="n">
        <v>4.8</v>
      </c>
      <c r="AL60" s="495" t="n">
        <v>2.83</v>
      </c>
      <c r="AM60" s="496" t="inlineStr">
        <is>
          <t>ND</t>
        </is>
      </c>
      <c r="AN60" s="494" t="n">
        <v>2.86</v>
      </c>
      <c r="AO60" s="438" t="inlineStr">
        <is>
          <t>ND</t>
        </is>
      </c>
      <c r="AP60" s="494" t="n">
        <v>2.33</v>
      </c>
      <c r="AQ60" s="495" t="n">
        <v>1.04</v>
      </c>
      <c r="AR60" s="505" t="n">
        <v>1.47</v>
      </c>
      <c r="AS60" s="499" t="n">
        <v>4.2</v>
      </c>
      <c r="AT60" s="494" t="n">
        <v>2.03</v>
      </c>
      <c r="AU60" s="494" t="n">
        <v>3.89</v>
      </c>
      <c r="AV60" s="495" t="n">
        <v>2.64</v>
      </c>
      <c r="AW60" s="496" t="n">
        <v>5.89</v>
      </c>
      <c r="AX60" s="494" t="n">
        <v>3.62</v>
      </c>
      <c r="AY60" s="125" t="n">
        <v>0.971</v>
      </c>
      <c r="AZ60" s="497" t="n">
        <v>8.02</v>
      </c>
      <c r="BA60" s="498" t="n">
        <v>2.52</v>
      </c>
      <c r="BB60" s="496" t="n">
        <v>4.76</v>
      </c>
      <c r="BC60" s="494" t="n">
        <v>2.72</v>
      </c>
      <c r="BD60" s="497" t="n">
        <v>3.22</v>
      </c>
      <c r="BE60" s="497" t="n">
        <v>3.18</v>
      </c>
      <c r="BF60" s="151" t="n">
        <v>0.617</v>
      </c>
      <c r="BG60" s="505" t="n">
        <v>2.45</v>
      </c>
      <c r="BH60" s="497" t="n">
        <v>1.24</v>
      </c>
      <c r="BI60" s="438" t="n">
        <v>0.836</v>
      </c>
      <c r="BJ60" s="125" t="n">
        <v>0.919</v>
      </c>
      <c r="BK60" s="441" t="n">
        <v>0.33</v>
      </c>
      <c r="BL60" s="444" t="inlineStr">
        <is>
          <t>ND</t>
        </is>
      </c>
      <c r="BM60" s="438" t="n">
        <v>0.65</v>
      </c>
      <c r="BN60" s="497" t="n">
        <v>2.89</v>
      </c>
      <c r="BO60" s="438" t="inlineStr">
        <is>
          <t>ND</t>
        </is>
      </c>
      <c r="BP60" s="441" t="n">
        <v>0.749</v>
      </c>
      <c r="BQ60" s="505" t="n">
        <v>5.71</v>
      </c>
      <c r="BR60" s="438" t="n">
        <v>0.78</v>
      </c>
      <c r="BS60" s="438" t="inlineStr">
        <is>
          <t>ND</t>
        </is>
      </c>
      <c r="BT60" s="498" t="n">
        <v>1.19</v>
      </c>
      <c r="BU60" s="457" t="n"/>
      <c r="BV60" s="457" t="n"/>
      <c r="BW60" s="238" t="n"/>
      <c r="BX60" s="238" t="n"/>
      <c r="BY60" s="238" t="n"/>
      <c r="BZ60" s="238" t="n"/>
      <c r="CA60" s="238" t="n"/>
      <c r="CB60" s="238" t="n"/>
      <c r="CC60" s="238" t="n"/>
      <c r="CD60" s="238" t="n"/>
      <c r="CE60" s="238" t="n"/>
      <c r="CF60" s="238" t="n"/>
      <c r="CG60" s="238" t="n"/>
      <c r="CH60" s="238" t="n"/>
      <c r="CI60" s="238" t="n"/>
      <c r="CJ60" s="238" t="n"/>
      <c r="CK60" s="238" t="n"/>
      <c r="CL60" s="238" t="n"/>
      <c r="CM60" s="238" t="n"/>
      <c r="CN60" s="238" t="n"/>
      <c r="CO60" s="238" t="n"/>
      <c r="CP60" s="238" t="n"/>
      <c r="CQ60" s="238" t="n"/>
      <c r="CR60" s="238" t="n"/>
      <c r="CS60" s="238" t="n"/>
      <c r="CT60" s="238" t="n"/>
      <c r="CU60" s="238" t="n"/>
      <c r="CV60" s="238" t="n"/>
      <c r="CW60" s="238" t="n"/>
      <c r="CX60" s="238" t="n"/>
      <c r="CY60" s="238" t="n"/>
      <c r="CZ60" s="238" t="n"/>
      <c r="DA60" s="238" t="n"/>
      <c r="DB60" s="238" t="n"/>
      <c r="DC60" s="238" t="n"/>
      <c r="DD60" s="238" t="n"/>
      <c r="DE60" s="238" t="n"/>
      <c r="DF60" s="238" t="n"/>
      <c r="DG60" s="238" t="n"/>
      <c r="DH60" s="238" t="n"/>
      <c r="DI60" s="238" t="n"/>
      <c r="DJ60" s="238" t="n"/>
      <c r="DK60" s="238" t="n"/>
      <c r="DL60" s="238" t="n"/>
      <c r="DM60" s="238" t="n"/>
      <c r="DN60" s="238" t="n"/>
      <c r="DO60" s="238" t="n"/>
      <c r="DP60" s="238" t="n"/>
      <c r="DQ60" s="238" t="n"/>
      <c r="DR60" s="238" t="n"/>
      <c r="DS60" s="238" t="n"/>
      <c r="DT60" s="238" t="n"/>
      <c r="DU60" s="238" t="n"/>
      <c r="DV60" s="238" t="n"/>
      <c r="DW60" s="238" t="n"/>
      <c r="DX60" s="238" t="n"/>
      <c r="DY60" s="238" t="n"/>
      <c r="DZ60" s="23" t="n"/>
      <c r="FQ60" s="212" t="n"/>
      <c r="FR60" s="212" t="n"/>
      <c r="FS60" s="212" t="n"/>
      <c r="FT60" s="212" t="n"/>
      <c r="FU60" s="212" t="n"/>
      <c r="FV60" s="212" t="n"/>
      <c r="FW60" s="212" t="n"/>
      <c r="FX60" s="212" t="n"/>
      <c r="FY60" s="212" t="n"/>
      <c r="FZ60" s="212" t="n"/>
    </row>
    <row r="61" ht="39.95" customFormat="1" customHeight="1" s="5">
      <c r="A61" s="10" t="inlineStr">
        <is>
          <t>A</t>
        </is>
      </c>
      <c r="B61" s="6" t="n"/>
      <c r="C61" s="11" t="inlineStr">
        <is>
          <t>L</t>
        </is>
      </c>
      <c r="D61" s="433" t="n">
        <v>0.096</v>
      </c>
      <c r="E61" s="436" t="inlineStr">
        <is>
          <t>ND</t>
        </is>
      </c>
      <c r="F61" s="478" t="n">
        <v>1.73</v>
      </c>
      <c r="G61" s="475" t="n">
        <v>2.44</v>
      </c>
      <c r="H61" s="439" t="n">
        <v>0.709</v>
      </c>
      <c r="I61" s="115" t="n">
        <v>0.261</v>
      </c>
      <c r="J61" s="436" t="inlineStr">
        <is>
          <t>ND</t>
        </is>
      </c>
      <c r="K61" s="112" t="n">
        <v>0.394</v>
      </c>
      <c r="L61" s="478" t="n">
        <v>1.35</v>
      </c>
      <c r="M61" s="439" t="inlineStr">
        <is>
          <t>ND</t>
        </is>
      </c>
      <c r="N61" s="477" t="inlineStr">
        <is>
          <t>ND</t>
        </is>
      </c>
      <c r="O61" s="436" t="n">
        <v>0.394</v>
      </c>
      <c r="P61" s="479" t="n">
        <v>2.6</v>
      </c>
      <c r="Q61" s="436" t="inlineStr">
        <is>
          <t>ND</t>
        </is>
      </c>
      <c r="R61" s="508" t="n">
        <v>1.1</v>
      </c>
      <c r="S61" s="500" t="n">
        <v>1.4</v>
      </c>
      <c r="T61" s="478" t="n">
        <v>1.67</v>
      </c>
      <c r="U61" s="479" t="inlineStr">
        <is>
          <t>ND</t>
        </is>
      </c>
      <c r="V61" s="478" t="inlineStr">
        <is>
          <t>ND</t>
        </is>
      </c>
      <c r="W61" s="476" t="inlineStr">
        <is>
          <t>ND</t>
        </is>
      </c>
      <c r="X61" s="442" t="inlineStr">
        <is>
          <t>ND</t>
        </is>
      </c>
      <c r="Y61" s="436" t="inlineStr">
        <is>
          <t>ND</t>
        </is>
      </c>
      <c r="Z61" s="436" t="inlineStr">
        <is>
          <t>ND</t>
        </is>
      </c>
      <c r="AA61" s="478" t="n">
        <v>1.79</v>
      </c>
      <c r="AB61" s="439" t="inlineStr">
        <is>
          <t>ND</t>
        </is>
      </c>
      <c r="AC61" s="477" t="inlineStr">
        <is>
          <t>ND</t>
        </is>
      </c>
      <c r="AD61" s="478" t="n">
        <v>2.63</v>
      </c>
      <c r="AE61" s="112" t="n">
        <v>0.034</v>
      </c>
      <c r="AF61" s="478" t="inlineStr">
        <is>
          <t>ND</t>
        </is>
      </c>
      <c r="AG61" s="476" t="inlineStr">
        <is>
          <t>ND</t>
        </is>
      </c>
      <c r="AH61" s="442" t="n">
        <v>0.6860000000000001</v>
      </c>
      <c r="AI61" s="478" t="n">
        <v>1.95</v>
      </c>
      <c r="AJ61" s="478" t="inlineStr">
        <is>
          <t>ND</t>
        </is>
      </c>
      <c r="AK61" s="436" t="inlineStr">
        <is>
          <t>ND</t>
        </is>
      </c>
      <c r="AL61" s="508" t="inlineStr">
        <is>
          <t>ND</t>
        </is>
      </c>
      <c r="AM61" s="477" t="inlineStr">
        <is>
          <t>ND</t>
        </is>
      </c>
      <c r="AN61" s="112" t="n">
        <v>0.136</v>
      </c>
      <c r="AO61" s="478" t="n">
        <v>1.28</v>
      </c>
      <c r="AP61" s="436" t="inlineStr">
        <is>
          <t>ND</t>
        </is>
      </c>
      <c r="AQ61" s="439" t="inlineStr">
        <is>
          <t>ND</t>
        </is>
      </c>
      <c r="AR61" s="442" t="inlineStr">
        <is>
          <t>ND</t>
        </is>
      </c>
      <c r="AS61" s="478" t="inlineStr">
        <is>
          <t>ND</t>
        </is>
      </c>
      <c r="AT61" s="478" t="n">
        <v>2.59</v>
      </c>
      <c r="AU61" s="478" t="inlineStr">
        <is>
          <t>ND</t>
        </is>
      </c>
      <c r="AV61" s="476" t="n">
        <v>1.83</v>
      </c>
      <c r="AW61" s="442" t="inlineStr">
        <is>
          <t>ND</t>
        </is>
      </c>
      <c r="AX61" s="478" t="n">
        <v>3.17</v>
      </c>
      <c r="AY61" s="436" t="inlineStr">
        <is>
          <t>ND</t>
        </is>
      </c>
      <c r="AZ61" s="478" t="n">
        <v>1.49</v>
      </c>
      <c r="BA61" s="439" t="inlineStr">
        <is>
          <t>ND</t>
        </is>
      </c>
      <c r="BB61" s="477" t="inlineStr">
        <is>
          <t>ND</t>
        </is>
      </c>
      <c r="BC61" s="478" t="n">
        <v>2.72</v>
      </c>
      <c r="BD61" s="436" t="n">
        <v>0.986</v>
      </c>
      <c r="BE61" s="478" t="n">
        <v>3.56</v>
      </c>
      <c r="BF61" s="476" t="n">
        <v>2.72</v>
      </c>
      <c r="BG61" s="442" t="inlineStr">
        <is>
          <t>ND</t>
        </is>
      </c>
      <c r="BH61" s="436" t="inlineStr">
        <is>
          <t>ND</t>
        </is>
      </c>
      <c r="BI61" s="436" t="inlineStr">
        <is>
          <t>ND</t>
        </is>
      </c>
      <c r="BJ61" s="436" t="inlineStr">
        <is>
          <t>ND</t>
        </is>
      </c>
      <c r="BK61" s="480" t="n">
        <v>1.77</v>
      </c>
      <c r="BL61" s="477" t="inlineStr">
        <is>
          <t>ND</t>
        </is>
      </c>
      <c r="BM61" s="479" t="inlineStr">
        <is>
          <t>ND</t>
        </is>
      </c>
      <c r="BN61" s="436" t="n">
        <v>0.956</v>
      </c>
      <c r="BO61" s="436" t="inlineStr">
        <is>
          <t>ND</t>
        </is>
      </c>
      <c r="BP61" s="439" t="n">
        <v>0.507</v>
      </c>
      <c r="BQ61" s="442" t="inlineStr">
        <is>
          <t>ND</t>
        </is>
      </c>
      <c r="BR61" s="478" t="inlineStr">
        <is>
          <t>ND</t>
        </is>
      </c>
      <c r="BS61" s="436" t="inlineStr">
        <is>
          <t>ND</t>
        </is>
      </c>
      <c r="BT61" s="439" t="inlineStr">
        <is>
          <t>ND</t>
        </is>
      </c>
      <c r="BU61" s="454">
        <f>IFERROR(AVERAGE(D61:BT63),0)</f>
        <v/>
      </c>
      <c r="BV61" s="454">
        <f>MAX(D61:BT63)</f>
        <v/>
      </c>
      <c r="BW61" s="238" t="n"/>
      <c r="BX61" s="238" t="n"/>
      <c r="BY61" s="238" t="n"/>
      <c r="BZ61" s="238" t="n"/>
      <c r="CA61" s="238" t="n"/>
      <c r="CB61" s="238" t="n"/>
      <c r="CC61" s="238" t="n"/>
      <c r="CD61" s="238" t="n"/>
      <c r="CE61" s="238" t="n"/>
      <c r="CF61" s="238" t="n"/>
      <c r="CG61" s="238" t="n"/>
      <c r="CH61" s="238" t="n"/>
      <c r="CI61" s="238" t="n"/>
      <c r="CJ61" s="238" t="n"/>
      <c r="CK61" s="238" t="n"/>
      <c r="CL61" s="238" t="n"/>
      <c r="CM61" s="238" t="n"/>
      <c r="CN61" s="238" t="n"/>
      <c r="CO61" s="238" t="n"/>
      <c r="CP61" s="238" t="n"/>
      <c r="CQ61" s="238" t="n"/>
      <c r="CR61" s="238" t="n"/>
      <c r="CS61" s="238" t="n"/>
      <c r="CT61" s="238" t="n"/>
      <c r="CU61" s="238" t="n"/>
      <c r="CV61" s="238" t="n"/>
      <c r="CW61" s="238" t="n"/>
      <c r="CX61" s="238" t="n"/>
      <c r="CY61" s="238" t="n"/>
      <c r="CZ61" s="238" t="n"/>
      <c r="DA61" s="238" t="n"/>
      <c r="DB61" s="238" t="n"/>
      <c r="DC61" s="238" t="n"/>
      <c r="DD61" s="238" t="n"/>
      <c r="DE61" s="238" t="n"/>
      <c r="DF61" s="238" t="n"/>
      <c r="DG61" s="238" t="n"/>
      <c r="DH61" s="238" t="n"/>
      <c r="DI61" s="238" t="n"/>
      <c r="DJ61" s="238" t="n"/>
      <c r="DK61" s="238" t="n"/>
      <c r="DL61" s="238" t="n"/>
      <c r="DM61" s="238" t="n"/>
      <c r="DN61" s="238" t="n"/>
      <c r="DO61" s="238" t="n"/>
      <c r="DP61" s="238" t="n"/>
      <c r="DQ61" s="238" t="n"/>
      <c r="DR61" s="238" t="n"/>
      <c r="DS61" s="238" t="n"/>
      <c r="DT61" s="238" t="n"/>
      <c r="DU61" s="238" t="n"/>
      <c r="DV61" s="238" t="n"/>
      <c r="DW61" s="238" t="n"/>
      <c r="DX61" s="238" t="n"/>
      <c r="DY61" s="238" t="n"/>
      <c r="DZ61" s="23" t="n"/>
      <c r="FQ61" s="212" t="n"/>
      <c r="FR61" s="212" t="n"/>
      <c r="FS61" s="212" t="n"/>
      <c r="FT61" s="212" t="n"/>
      <c r="FU61" s="212" t="n"/>
      <c r="FV61" s="212" t="n"/>
      <c r="FW61" s="212" t="n"/>
      <c r="FX61" s="212" t="n"/>
      <c r="FY61" s="212" t="n"/>
      <c r="FZ61" s="212" t="n"/>
    </row>
    <row r="62" ht="39.95" customFormat="1" customHeight="1" s="5">
      <c r="A62" s="182" t="inlineStr"/>
      <c r="B62" s="7" t="inlineStr">
        <is>
          <t>0 REFERENCE</t>
        </is>
      </c>
      <c r="C62" s="11" t="inlineStr">
        <is>
          <t>C</t>
        </is>
      </c>
      <c r="D62" s="510" t="inlineStr">
        <is>
          <t>ND</t>
        </is>
      </c>
      <c r="E62" s="437" t="inlineStr">
        <is>
          <t>ND</t>
        </is>
      </c>
      <c r="F62" s="485" t="inlineStr">
        <is>
          <t>ND</t>
        </is>
      </c>
      <c r="G62" s="437" t="inlineStr">
        <is>
          <t>ND</t>
        </is>
      </c>
      <c r="H62" s="489" t="n">
        <v>3.91</v>
      </c>
      <c r="I62" s="490" t="inlineStr">
        <is>
          <t>ND</t>
        </is>
      </c>
      <c r="J62" s="485" t="inlineStr">
        <is>
          <t>ND</t>
        </is>
      </c>
      <c r="K62" s="485" t="n">
        <v>4.15</v>
      </c>
      <c r="L62" s="502" t="inlineStr">
        <is>
          <t>ND</t>
        </is>
      </c>
      <c r="M62" s="440" t="inlineStr">
        <is>
          <t>ND</t>
        </is>
      </c>
      <c r="N62" s="490" t="inlineStr">
        <is>
          <t>ND</t>
        </is>
      </c>
      <c r="O62" s="437" t="inlineStr">
        <is>
          <t>ND</t>
        </is>
      </c>
      <c r="P62" s="485" t="n">
        <v>2.84</v>
      </c>
      <c r="Q62" s="485" t="inlineStr">
        <is>
          <t>ND</t>
        </is>
      </c>
      <c r="R62" s="120" t="n">
        <v>0.317</v>
      </c>
      <c r="S62" s="490" t="inlineStr">
        <is>
          <t>ND</t>
        </is>
      </c>
      <c r="T62" s="122" t="n">
        <v>0.151</v>
      </c>
      <c r="U62" s="437" t="inlineStr">
        <is>
          <t>ND</t>
        </is>
      </c>
      <c r="V62" s="502" t="inlineStr">
        <is>
          <t>ND</t>
        </is>
      </c>
      <c r="W62" s="503" t="n">
        <v>1.7</v>
      </c>
      <c r="X62" s="522" t="inlineStr">
        <is>
          <t>ND</t>
        </is>
      </c>
      <c r="Y62" s="437" t="inlineStr">
        <is>
          <t>ND</t>
        </is>
      </c>
      <c r="Z62" s="502" t="n">
        <v>1.5</v>
      </c>
      <c r="AA62" s="485" t="inlineStr">
        <is>
          <t>ND</t>
        </is>
      </c>
      <c r="AB62" s="440" t="inlineStr">
        <is>
          <t>ND</t>
        </is>
      </c>
      <c r="AC62" s="132" t="n">
        <v>0.183</v>
      </c>
      <c r="AD62" s="485" t="inlineStr">
        <is>
          <t>ND</t>
        </is>
      </c>
      <c r="AE62" s="437" t="n">
        <v>0.32</v>
      </c>
      <c r="AF62" s="502" t="inlineStr">
        <is>
          <t>ND</t>
        </is>
      </c>
      <c r="AG62" s="488" t="inlineStr">
        <is>
          <t>ND</t>
        </is>
      </c>
      <c r="AH62" s="490" t="n">
        <v>3.57</v>
      </c>
      <c r="AI62" s="122" t="n">
        <v>0.78</v>
      </c>
      <c r="AJ62" s="122" t="n">
        <v>0.642</v>
      </c>
      <c r="AK62" s="485" t="inlineStr">
        <is>
          <t>ND</t>
        </is>
      </c>
      <c r="AL62" s="488" t="n">
        <v>4.26</v>
      </c>
      <c r="AM62" s="490" t="inlineStr">
        <is>
          <t>ND</t>
        </is>
      </c>
      <c r="AN62" s="122" t="n">
        <v>0.2</v>
      </c>
      <c r="AO62" s="485" t="inlineStr">
        <is>
          <t>ND</t>
        </is>
      </c>
      <c r="AP62" s="437" t="inlineStr">
        <is>
          <t>ND</t>
        </is>
      </c>
      <c r="AQ62" s="440" t="inlineStr">
        <is>
          <t>ND</t>
        </is>
      </c>
      <c r="AR62" s="443" t="n">
        <v>0.63</v>
      </c>
      <c r="AS62" s="485" t="n">
        <v>1.74</v>
      </c>
      <c r="AT62" s="485" t="n">
        <v>1.48</v>
      </c>
      <c r="AU62" s="485" t="inlineStr">
        <is>
          <t>ND</t>
        </is>
      </c>
      <c r="AV62" s="120" t="n">
        <v>0.822</v>
      </c>
      <c r="AW62" s="490" t="inlineStr">
        <is>
          <t>ND</t>
        </is>
      </c>
      <c r="AX62" s="122" t="n">
        <v>0.829</v>
      </c>
      <c r="AY62" s="437" t="inlineStr">
        <is>
          <t>ND</t>
        </is>
      </c>
      <c r="AZ62" s="122" t="n">
        <v>0.283</v>
      </c>
      <c r="BA62" s="120" t="n">
        <v>0.259</v>
      </c>
      <c r="BB62" s="490" t="inlineStr">
        <is>
          <t>ND</t>
        </is>
      </c>
      <c r="BC62" s="485" t="n">
        <v>4.99</v>
      </c>
      <c r="BD62" s="485" t="n">
        <v>3.47</v>
      </c>
      <c r="BE62" s="485" t="n">
        <v>3.68</v>
      </c>
      <c r="BF62" s="488" t="n">
        <v>3.03</v>
      </c>
      <c r="BG62" s="443" t="inlineStr">
        <is>
          <t>ND</t>
        </is>
      </c>
      <c r="BH62" s="437" t="inlineStr">
        <is>
          <t>ND</t>
        </is>
      </c>
      <c r="BI62" s="437" t="inlineStr">
        <is>
          <t>ND</t>
        </is>
      </c>
      <c r="BJ62" s="437" t="inlineStr">
        <is>
          <t>ND</t>
        </is>
      </c>
      <c r="BK62" s="440" t="inlineStr">
        <is>
          <t>ND</t>
        </is>
      </c>
      <c r="BL62" s="443" t="inlineStr">
        <is>
          <t>ND</t>
        </is>
      </c>
      <c r="BM62" s="437" t="inlineStr">
        <is>
          <t>ND</t>
        </is>
      </c>
      <c r="BN62" s="437" t="inlineStr">
        <is>
          <t>ND</t>
        </is>
      </c>
      <c r="BO62" s="437" t="inlineStr">
        <is>
          <t>ND</t>
        </is>
      </c>
      <c r="BP62" s="440" t="inlineStr">
        <is>
          <t>ND</t>
        </is>
      </c>
      <c r="BQ62" s="443" t="n">
        <v>0.288</v>
      </c>
      <c r="BR62" s="485" t="n">
        <v>1.57</v>
      </c>
      <c r="BS62" s="437" t="inlineStr">
        <is>
          <t>ND</t>
        </is>
      </c>
      <c r="BT62" s="440" t="inlineStr">
        <is>
          <t>ND</t>
        </is>
      </c>
      <c r="BU62" s="455" t="n"/>
      <c r="BV62" s="455" t="n"/>
      <c r="BW62" s="238" t="n"/>
      <c r="BX62" s="238" t="n"/>
      <c r="BY62" s="238" t="n"/>
      <c r="BZ62" s="238" t="n"/>
      <c r="CA62" s="238" t="n"/>
      <c r="CB62" s="238" t="n"/>
      <c r="CC62" s="238" t="n"/>
      <c r="CD62" s="238" t="n"/>
      <c r="CE62" s="238" t="n"/>
      <c r="CF62" s="238" t="n"/>
      <c r="CG62" s="238" t="n"/>
      <c r="CH62" s="238" t="n"/>
      <c r="CI62" s="238" t="n"/>
      <c r="CJ62" s="238" t="n"/>
      <c r="CK62" s="238" t="n"/>
      <c r="CL62" s="238" t="n"/>
      <c r="CM62" s="238" t="n"/>
      <c r="CN62" s="238" t="n"/>
      <c r="CO62" s="238" t="n"/>
      <c r="CP62" s="238" t="n"/>
      <c r="CQ62" s="238" t="n"/>
      <c r="CR62" s="238" t="n"/>
      <c r="CS62" s="238" t="n"/>
      <c r="CT62" s="238" t="n"/>
      <c r="CU62" s="238" t="n"/>
      <c r="CV62" s="238" t="n"/>
      <c r="CW62" s="238" t="n"/>
      <c r="CX62" s="238" t="n"/>
      <c r="CY62" s="238" t="n"/>
      <c r="CZ62" s="238" t="n"/>
      <c r="DA62" s="238" t="n"/>
      <c r="DB62" s="238" t="n"/>
      <c r="DC62" s="238" t="n"/>
      <c r="DD62" s="238" t="n"/>
      <c r="DE62" s="238" t="n"/>
      <c r="DF62" s="238" t="n"/>
      <c r="DG62" s="238" t="n"/>
      <c r="DH62" s="238" t="n"/>
      <c r="DI62" s="238" t="n"/>
      <c r="DJ62" s="238" t="n"/>
      <c r="DK62" s="238" t="n"/>
      <c r="DL62" s="238" t="n"/>
      <c r="DM62" s="238" t="n"/>
      <c r="DN62" s="238" t="n"/>
      <c r="DO62" s="238" t="n"/>
      <c r="DP62" s="238" t="n"/>
      <c r="DQ62" s="238" t="n"/>
      <c r="DR62" s="238" t="n"/>
      <c r="DS62" s="238" t="n"/>
      <c r="DT62" s="238" t="n"/>
      <c r="DU62" s="238" t="n"/>
      <c r="DV62" s="238" t="n"/>
      <c r="DW62" s="238" t="n"/>
      <c r="DX62" s="238" t="n"/>
      <c r="DY62" s="238" t="n"/>
      <c r="DZ62" s="23" t="n"/>
      <c r="FQ62" s="212" t="n"/>
      <c r="FR62" s="212" t="n"/>
      <c r="FS62" s="212" t="n"/>
      <c r="FT62" s="212" t="n"/>
      <c r="FU62" s="212" t="n"/>
      <c r="FV62" s="212" t="n"/>
      <c r="FW62" s="212" t="n"/>
      <c r="FX62" s="212" t="n"/>
      <c r="FY62" s="212" t="n"/>
      <c r="FZ62" s="212" t="n"/>
    </row>
    <row r="63" ht="39.95" customFormat="1" customHeight="1" s="5">
      <c r="A63" s="456" t="n"/>
      <c r="B63" s="8" t="n"/>
      <c r="C63" s="12" t="inlineStr">
        <is>
          <t>R</t>
        </is>
      </c>
      <c r="D63" s="435" t="inlineStr">
        <is>
          <t>ND</t>
        </is>
      </c>
      <c r="E63" s="494" t="n">
        <v>2.16</v>
      </c>
      <c r="F63" s="494" t="n">
        <v>2.78</v>
      </c>
      <c r="G63" s="438" t="n">
        <v>0.779</v>
      </c>
      <c r="H63" s="498" t="n">
        <v>3.86</v>
      </c>
      <c r="I63" s="496" t="inlineStr">
        <is>
          <t>ND</t>
        </is>
      </c>
      <c r="J63" s="438" t="inlineStr">
        <is>
          <t>ND</t>
        </is>
      </c>
      <c r="K63" s="494" t="n">
        <v>1.26</v>
      </c>
      <c r="L63" s="494" t="inlineStr">
        <is>
          <t>ND</t>
        </is>
      </c>
      <c r="M63" s="441" t="inlineStr">
        <is>
          <t>ND</t>
        </is>
      </c>
      <c r="N63" s="496" t="inlineStr">
        <is>
          <t>ND</t>
        </is>
      </c>
      <c r="O63" s="438" t="inlineStr">
        <is>
          <t>ND</t>
        </is>
      </c>
      <c r="P63" s="125" t="n">
        <v>0.509</v>
      </c>
      <c r="Q63" s="494" t="inlineStr">
        <is>
          <t>ND</t>
        </is>
      </c>
      <c r="R63" s="441" t="n">
        <v>0.428</v>
      </c>
      <c r="S63" s="553" t="n">
        <v>1</v>
      </c>
      <c r="T63" s="438" t="inlineStr">
        <is>
          <t>ND</t>
        </is>
      </c>
      <c r="U63" s="494" t="inlineStr">
        <is>
          <t>ND</t>
        </is>
      </c>
      <c r="V63" s="494" t="inlineStr">
        <is>
          <t>ND</t>
        </is>
      </c>
      <c r="W63" s="495" t="inlineStr">
        <is>
          <t>ND</t>
        </is>
      </c>
      <c r="X63" s="553" t="inlineStr">
        <is>
          <t>ND</t>
        </is>
      </c>
      <c r="Y63" s="438" t="inlineStr">
        <is>
          <t>ND</t>
        </is>
      </c>
      <c r="Z63" s="494" t="n">
        <v>2.06</v>
      </c>
      <c r="AA63" s="125" t="n">
        <v>0.351</v>
      </c>
      <c r="AB63" s="441" t="inlineStr">
        <is>
          <t>ND</t>
        </is>
      </c>
      <c r="AC63" s="496" t="inlineStr">
        <is>
          <t>ND</t>
        </is>
      </c>
      <c r="AD63" s="125" t="n">
        <v>0.303</v>
      </c>
      <c r="AE63" s="438" t="inlineStr">
        <is>
          <t>ND</t>
        </is>
      </c>
      <c r="AF63" s="494" t="inlineStr">
        <is>
          <t>ND</t>
        </is>
      </c>
      <c r="AG63" s="495" t="inlineStr">
        <is>
          <t>ND</t>
        </is>
      </c>
      <c r="AH63" s="496" t="n">
        <v>1.29</v>
      </c>
      <c r="AI63" s="494" t="n">
        <v>1.74</v>
      </c>
      <c r="AJ63" s="497" t="n">
        <v>1.89</v>
      </c>
      <c r="AK63" s="494" t="n">
        <v>4.81</v>
      </c>
      <c r="AL63" s="495" t="inlineStr">
        <is>
          <t>ND</t>
        </is>
      </c>
      <c r="AM63" s="496" t="inlineStr">
        <is>
          <t>ND</t>
        </is>
      </c>
      <c r="AN63" s="494" t="n">
        <v>2.71</v>
      </c>
      <c r="AO63" s="497" t="n">
        <v>5.26</v>
      </c>
      <c r="AP63" s="438" t="inlineStr">
        <is>
          <t>ND</t>
        </is>
      </c>
      <c r="AQ63" s="441" t="inlineStr">
        <is>
          <t>ND</t>
        </is>
      </c>
      <c r="AR63" s="444" t="inlineStr">
        <is>
          <t>ND</t>
        </is>
      </c>
      <c r="AS63" s="438" t="inlineStr">
        <is>
          <t>ND</t>
        </is>
      </c>
      <c r="AT63" s="494" t="inlineStr">
        <is>
          <t>ND</t>
        </is>
      </c>
      <c r="AU63" s="494" t="inlineStr">
        <is>
          <t>ND</t>
        </is>
      </c>
      <c r="AV63" s="495" t="n">
        <v>3.37</v>
      </c>
      <c r="AW63" s="514" t="n">
        <v>3.3</v>
      </c>
      <c r="AX63" s="438" t="inlineStr">
        <is>
          <t>ND</t>
        </is>
      </c>
      <c r="AY63" s="494" t="inlineStr">
        <is>
          <t>ND</t>
        </is>
      </c>
      <c r="AZ63" s="125" t="n">
        <v>0.819</v>
      </c>
      <c r="BA63" s="151" t="n">
        <v>0.403</v>
      </c>
      <c r="BB63" s="148" t="n">
        <v>0.219</v>
      </c>
      <c r="BC63" s="492" t="n">
        <v>4.8</v>
      </c>
      <c r="BD63" s="494" t="n">
        <v>2.43</v>
      </c>
      <c r="BE63" s="494" t="n">
        <v>2.68</v>
      </c>
      <c r="BF63" s="495" t="n">
        <v>5.69</v>
      </c>
      <c r="BG63" s="444" t="inlineStr">
        <is>
          <t>ND</t>
        </is>
      </c>
      <c r="BH63" s="438" t="inlineStr">
        <is>
          <t>ND</t>
        </is>
      </c>
      <c r="BI63" s="438" t="inlineStr">
        <is>
          <t>ND</t>
        </is>
      </c>
      <c r="BJ63" s="438" t="inlineStr">
        <is>
          <t>ND</t>
        </is>
      </c>
      <c r="BK63" s="441" t="inlineStr">
        <is>
          <t>ND</t>
        </is>
      </c>
      <c r="BL63" s="444" t="inlineStr">
        <is>
          <t>ND</t>
        </is>
      </c>
      <c r="BM63" s="492" t="inlineStr">
        <is>
          <t>ND</t>
        </is>
      </c>
      <c r="BN63" s="125" t="n">
        <v>0.204</v>
      </c>
      <c r="BO63" s="438" t="inlineStr">
        <is>
          <t>ND</t>
        </is>
      </c>
      <c r="BP63" s="495" t="inlineStr">
        <is>
          <t>ND</t>
        </is>
      </c>
      <c r="BQ63" s="496" t="inlineStr">
        <is>
          <t>ND</t>
        </is>
      </c>
      <c r="BR63" s="494" t="n">
        <v>1.41</v>
      </c>
      <c r="BS63" s="438" t="inlineStr">
        <is>
          <t>ND</t>
        </is>
      </c>
      <c r="BT63" s="441" t="inlineStr">
        <is>
          <t>ND</t>
        </is>
      </c>
      <c r="BU63" s="457" t="n"/>
      <c r="BV63" s="457" t="n"/>
      <c r="BW63" s="238" t="n"/>
      <c r="BX63" s="238" t="n"/>
      <c r="BY63" s="238" t="n"/>
      <c r="BZ63" s="238" t="n"/>
      <c r="CA63" s="238" t="n"/>
      <c r="CB63" s="238" t="n"/>
      <c r="CC63" s="238" t="n"/>
      <c r="CD63" s="238" t="n"/>
      <c r="CE63" s="238" t="n"/>
      <c r="CF63" s="238" t="n"/>
      <c r="CG63" s="238" t="n"/>
      <c r="CH63" s="238" t="n"/>
      <c r="CI63" s="238" t="n"/>
      <c r="CJ63" s="238" t="n"/>
      <c r="CK63" s="238" t="n"/>
      <c r="CL63" s="238" t="n"/>
      <c r="CM63" s="238" t="n"/>
      <c r="CN63" s="238" t="n"/>
      <c r="CO63" s="238" t="n"/>
      <c r="CP63" s="238" t="n"/>
      <c r="CQ63" s="238" t="n"/>
      <c r="CR63" s="238" t="n"/>
      <c r="CS63" s="238" t="n"/>
      <c r="CT63" s="238" t="n"/>
      <c r="CU63" s="238" t="n"/>
      <c r="CV63" s="238" t="n"/>
      <c r="CW63" s="238" t="n"/>
      <c r="CX63" s="238" t="n"/>
      <c r="CY63" s="238" t="n"/>
      <c r="CZ63" s="238" t="n"/>
      <c r="DA63" s="238" t="n"/>
      <c r="DB63" s="238" t="n"/>
      <c r="DC63" s="238" t="n"/>
      <c r="DD63" s="238" t="n"/>
      <c r="DE63" s="238" t="n"/>
      <c r="DF63" s="238" t="n"/>
      <c r="DG63" s="238" t="n"/>
      <c r="DH63" s="238" t="n"/>
      <c r="DI63" s="238" t="n"/>
      <c r="DJ63" s="238" t="n"/>
      <c r="DK63" s="238" t="n"/>
      <c r="DL63" s="238" t="n"/>
      <c r="DM63" s="238" t="n"/>
      <c r="DN63" s="238" t="n"/>
      <c r="DO63" s="238" t="n"/>
      <c r="DP63" s="238" t="n"/>
      <c r="DQ63" s="238" t="n"/>
      <c r="DR63" s="238" t="n"/>
      <c r="DS63" s="238" t="n"/>
      <c r="DT63" s="238" t="n"/>
      <c r="DU63" s="238" t="n"/>
      <c r="DV63" s="238" t="n"/>
      <c r="DW63" s="238" t="n"/>
      <c r="DX63" s="238" t="n"/>
      <c r="DY63" s="238" t="n"/>
      <c r="DZ63" s="23" t="n"/>
      <c r="FQ63" s="212" t="n"/>
      <c r="FR63" s="212" t="n"/>
      <c r="FS63" s="212" t="n"/>
      <c r="FT63" s="212" t="n"/>
      <c r="FU63" s="212" t="n"/>
      <c r="FV63" s="212" t="n"/>
      <c r="FW63" s="212" t="n"/>
      <c r="FX63" s="212" t="n"/>
      <c r="FY63" s="212" t="n"/>
      <c r="FZ63" s="212" t="n"/>
    </row>
    <row r="64" ht="39.95" customFormat="1" customHeight="1" s="5">
      <c r="A64" s="10" t="inlineStr">
        <is>
          <t>A</t>
        </is>
      </c>
      <c r="B64" s="6" t="inlineStr">
        <is>
          <t>POSITION 'A'</t>
        </is>
      </c>
      <c r="C64" s="11" t="inlineStr">
        <is>
          <t>L</t>
        </is>
      </c>
      <c r="D64" s="433" t="inlineStr">
        <is>
          <t>ND</t>
        </is>
      </c>
      <c r="E64" s="112" t="n">
        <v>0.858</v>
      </c>
      <c r="F64" s="478" t="inlineStr">
        <is>
          <t>ND</t>
        </is>
      </c>
      <c r="G64" s="475" t="n">
        <v>4.41</v>
      </c>
      <c r="H64" s="476" t="n">
        <v>6.25</v>
      </c>
      <c r="I64" s="442" t="inlineStr">
        <is>
          <t>ND</t>
        </is>
      </c>
      <c r="J64" s="478" t="n">
        <v>2.26</v>
      </c>
      <c r="K64" s="436" t="inlineStr">
        <is>
          <t>ND</t>
        </is>
      </c>
      <c r="L64" s="436" t="inlineStr">
        <is>
          <t>ND</t>
        </is>
      </c>
      <c r="M64" s="439" t="inlineStr">
        <is>
          <t>ND</t>
        </is>
      </c>
      <c r="N64" s="477" t="n">
        <v>1.55</v>
      </c>
      <c r="O64" s="478" t="n">
        <v>4.18</v>
      </c>
      <c r="P64" s="436" t="inlineStr">
        <is>
          <t>ND</t>
        </is>
      </c>
      <c r="Q64" s="478" t="n">
        <v>4.69</v>
      </c>
      <c r="R64" s="476" t="n">
        <v>1.49</v>
      </c>
      <c r="S64" s="477" t="n">
        <v>2.74</v>
      </c>
      <c r="T64" s="436" t="inlineStr">
        <is>
          <t>ND</t>
        </is>
      </c>
      <c r="U64" s="436" t="inlineStr">
        <is>
          <t>ND</t>
        </is>
      </c>
      <c r="V64" s="478" t="inlineStr">
        <is>
          <t>ND</t>
        </is>
      </c>
      <c r="W64" s="476" t="n">
        <v>2.74</v>
      </c>
      <c r="X64" s="477" t="n">
        <v>3.46</v>
      </c>
      <c r="Y64" s="475" t="n">
        <v>3.02</v>
      </c>
      <c r="Z64" s="478" t="n">
        <v>2.01</v>
      </c>
      <c r="AA64" s="478" t="n">
        <v>2.77</v>
      </c>
      <c r="AB64" s="439" t="inlineStr">
        <is>
          <t>ND</t>
        </is>
      </c>
      <c r="AC64" s="442" t="inlineStr">
        <is>
          <t>ND</t>
        </is>
      </c>
      <c r="AD64" s="436" t="inlineStr">
        <is>
          <t>ND</t>
        </is>
      </c>
      <c r="AE64" s="436" t="inlineStr">
        <is>
          <t>ND</t>
        </is>
      </c>
      <c r="AF64" s="436" t="inlineStr">
        <is>
          <t>ND</t>
        </is>
      </c>
      <c r="AG64" s="439" t="inlineStr">
        <is>
          <t>ND</t>
        </is>
      </c>
      <c r="AH64" s="442" t="inlineStr">
        <is>
          <t>ND</t>
        </is>
      </c>
      <c r="AI64" s="436" t="inlineStr">
        <is>
          <t>ND</t>
        </is>
      </c>
      <c r="AJ64" s="475" t="n">
        <v>1.45</v>
      </c>
      <c r="AK64" s="478" t="n">
        <v>1.51</v>
      </c>
      <c r="AL64" s="476" t="n">
        <v>2.24</v>
      </c>
      <c r="AM64" s="442" t="inlineStr">
        <is>
          <t>ND</t>
        </is>
      </c>
      <c r="AN64" s="530" t="inlineStr">
        <is>
          <t>ND</t>
        </is>
      </c>
      <c r="AO64" s="478" t="n">
        <v>2.43</v>
      </c>
      <c r="AP64" s="478" t="n">
        <v>1.81</v>
      </c>
      <c r="AQ64" s="480" t="n">
        <v>4.16</v>
      </c>
      <c r="AR64" s="477" t="n">
        <v>2.91</v>
      </c>
      <c r="AS64" s="478" t="n">
        <v>1.95</v>
      </c>
      <c r="AT64" s="436" t="inlineStr">
        <is>
          <t>ND</t>
        </is>
      </c>
      <c r="AU64" s="436" t="inlineStr">
        <is>
          <t>ND</t>
        </is>
      </c>
      <c r="AV64" s="113" t="n">
        <v>0.297</v>
      </c>
      <c r="AW64" s="477" t="n">
        <v>4.53</v>
      </c>
      <c r="AX64" s="475" t="n">
        <v>1.48</v>
      </c>
      <c r="AY64" s="112" t="n">
        <v>0.669</v>
      </c>
      <c r="AZ64" s="478" t="n">
        <v>2.28</v>
      </c>
      <c r="BA64" s="476" t="n">
        <v>1.54</v>
      </c>
      <c r="BB64" s="442" t="inlineStr">
        <is>
          <t>ND</t>
        </is>
      </c>
      <c r="BC64" s="436" t="inlineStr">
        <is>
          <t>ND</t>
        </is>
      </c>
      <c r="BD64" s="436" t="inlineStr">
        <is>
          <t>ND</t>
        </is>
      </c>
      <c r="BE64" s="478" t="inlineStr">
        <is>
          <t>ND</t>
        </is>
      </c>
      <c r="BF64" s="476" t="inlineStr">
        <is>
          <t>ND</t>
        </is>
      </c>
      <c r="BG64" s="477" t="n">
        <v>8.08</v>
      </c>
      <c r="BH64" s="436" t="n">
        <v>0.681</v>
      </c>
      <c r="BI64" s="478" t="n">
        <v>1.63</v>
      </c>
      <c r="BJ64" s="475" t="n">
        <v>4.19</v>
      </c>
      <c r="BK64" s="439" t="inlineStr">
        <is>
          <t>ND</t>
        </is>
      </c>
      <c r="BL64" s="442" t="inlineStr">
        <is>
          <t>ND</t>
        </is>
      </c>
      <c r="BM64" s="436" t="inlineStr">
        <is>
          <t>ND</t>
        </is>
      </c>
      <c r="BN64" s="436" t="inlineStr">
        <is>
          <t>ND</t>
        </is>
      </c>
      <c r="BO64" s="436" t="inlineStr">
        <is>
          <t>ND</t>
        </is>
      </c>
      <c r="BP64" s="439" t="inlineStr">
        <is>
          <t>ND</t>
        </is>
      </c>
      <c r="BQ64" s="442" t="inlineStr">
        <is>
          <t>ND</t>
        </is>
      </c>
      <c r="BR64" s="436" t="inlineStr">
        <is>
          <t>ND</t>
        </is>
      </c>
      <c r="BS64" s="436" t="inlineStr">
        <is>
          <t>ND</t>
        </is>
      </c>
      <c r="BT64" s="439" t="inlineStr">
        <is>
          <t>ND</t>
        </is>
      </c>
      <c r="BU64" s="454">
        <f>IFERROR(AVERAGE(D64:BT66),0)</f>
        <v/>
      </c>
      <c r="BV64" s="454">
        <f>MAX(D64:BT66)</f>
        <v/>
      </c>
      <c r="BW64" s="238" t="n"/>
      <c r="BX64" s="238" t="n"/>
      <c r="BY64" s="238" t="n"/>
      <c r="BZ64" s="238" t="n"/>
      <c r="CA64" s="238" t="n"/>
      <c r="CB64" s="238" t="n"/>
      <c r="CC64" s="238" t="n"/>
      <c r="CD64" s="238" t="n"/>
      <c r="CE64" s="238" t="n"/>
      <c r="CF64" s="238" t="n"/>
      <c r="CG64" s="238" t="n"/>
      <c r="CH64" s="238" t="n"/>
      <c r="CI64" s="238" t="n"/>
      <c r="CJ64" s="238" t="n"/>
      <c r="CK64" s="238" t="n"/>
      <c r="CL64" s="238" t="n"/>
      <c r="CM64" s="238" t="n"/>
      <c r="CN64" s="238" t="n"/>
      <c r="CO64" s="238" t="n"/>
      <c r="CP64" s="238" t="n"/>
      <c r="CQ64" s="238" t="n"/>
      <c r="CR64" s="238" t="n"/>
      <c r="CS64" s="238" t="n"/>
      <c r="CT64" s="238" t="n"/>
      <c r="CU64" s="238" t="n"/>
      <c r="CV64" s="238" t="n"/>
      <c r="CW64" s="238" t="n"/>
      <c r="CX64" s="238" t="n"/>
      <c r="CY64" s="238" t="n"/>
      <c r="CZ64" s="238" t="n"/>
      <c r="DA64" s="238" t="n"/>
      <c r="DB64" s="238" t="n"/>
      <c r="DC64" s="238" t="n"/>
      <c r="DD64" s="238" t="n"/>
      <c r="DE64" s="238" t="n"/>
      <c r="DF64" s="238" t="n"/>
      <c r="DG64" s="238" t="n"/>
      <c r="DH64" s="238" t="n"/>
      <c r="DI64" s="238" t="n"/>
      <c r="DJ64" s="238" t="n"/>
      <c r="DK64" s="238" t="n"/>
      <c r="DL64" s="238" t="n"/>
      <c r="DM64" s="238" t="n"/>
      <c r="DN64" s="238" t="n"/>
      <c r="DO64" s="238" t="n"/>
      <c r="DP64" s="238" t="n"/>
      <c r="DQ64" s="238" t="n"/>
      <c r="DR64" s="238" t="n"/>
      <c r="DS64" s="238" t="n"/>
      <c r="DT64" s="238" t="n"/>
      <c r="DU64" s="238" t="n"/>
      <c r="DV64" s="238" t="n"/>
      <c r="DW64" s="238" t="n"/>
      <c r="DX64" s="238" t="n"/>
      <c r="DY64" s="238" t="n"/>
      <c r="DZ64" s="23" t="n"/>
      <c r="FQ64" s="212" t="n"/>
      <c r="FR64" s="212" t="n"/>
      <c r="FS64" s="212" t="n"/>
      <c r="FT64" s="212" t="n"/>
      <c r="FU64" s="212" t="n"/>
      <c r="FV64" s="212" t="n"/>
      <c r="FW64" s="212" t="n"/>
      <c r="FX64" s="212" t="n"/>
      <c r="FY64" s="212" t="n"/>
      <c r="FZ64" s="212" t="n"/>
    </row>
    <row r="65" ht="39.95" customFormat="1" customHeight="1" s="5">
      <c r="A65" s="182" t="inlineStr"/>
      <c r="B65" s="7" t="inlineStr">
        <is>
          <t xml:space="preserve">OF THE </t>
        </is>
      </c>
      <c r="C65" s="11" t="inlineStr">
        <is>
          <t>C</t>
        </is>
      </c>
      <c r="D65" s="434" t="inlineStr">
        <is>
          <t>ND</t>
        </is>
      </c>
      <c r="E65" s="122" t="n">
        <v>0.393</v>
      </c>
      <c r="F65" s="485" t="inlineStr">
        <is>
          <t>ND</t>
        </is>
      </c>
      <c r="G65" s="485" t="n">
        <v>4.67</v>
      </c>
      <c r="H65" s="489" t="n">
        <v>6.67</v>
      </c>
      <c r="I65" s="490" t="inlineStr">
        <is>
          <t>ND</t>
        </is>
      </c>
      <c r="J65" s="486" t="n">
        <v>1.56</v>
      </c>
      <c r="K65" s="437" t="inlineStr">
        <is>
          <t>ND</t>
        </is>
      </c>
      <c r="L65" s="437" t="inlineStr">
        <is>
          <t>ND</t>
        </is>
      </c>
      <c r="M65" s="440" t="inlineStr">
        <is>
          <t>ND</t>
        </is>
      </c>
      <c r="N65" s="490" t="n">
        <v>1.92</v>
      </c>
      <c r="O65" s="485" t="n">
        <v>3.69</v>
      </c>
      <c r="P65" s="485" t="n">
        <v>1.37</v>
      </c>
      <c r="Q65" s="122" t="n">
        <v>0.621</v>
      </c>
      <c r="R65" s="120" t="n">
        <v>0.493</v>
      </c>
      <c r="S65" s="490" t="n">
        <v>1.27</v>
      </c>
      <c r="T65" s="437" t="inlineStr">
        <is>
          <t>ND</t>
        </is>
      </c>
      <c r="U65" s="437" t="inlineStr">
        <is>
          <t>ND</t>
        </is>
      </c>
      <c r="V65" s="122" t="n">
        <v>0.555</v>
      </c>
      <c r="W65" s="488" t="n">
        <v>1.25</v>
      </c>
      <c r="X65" s="490" t="n">
        <v>4.06</v>
      </c>
      <c r="Y65" s="485" t="n">
        <v>2.39</v>
      </c>
      <c r="Z65" s="486" t="n">
        <v>5.13</v>
      </c>
      <c r="AA65" s="485" t="n">
        <v>3.68</v>
      </c>
      <c r="AB65" s="440" t="inlineStr">
        <is>
          <t>ND</t>
        </is>
      </c>
      <c r="AC65" s="443" t="inlineStr">
        <is>
          <t>ND</t>
        </is>
      </c>
      <c r="AD65" s="437" t="inlineStr">
        <is>
          <t>ND</t>
        </is>
      </c>
      <c r="AE65" s="437" t="inlineStr">
        <is>
          <t>ND</t>
        </is>
      </c>
      <c r="AF65" s="437" t="inlineStr">
        <is>
          <t>ND</t>
        </is>
      </c>
      <c r="AG65" s="440" t="inlineStr">
        <is>
          <t>ND</t>
        </is>
      </c>
      <c r="AH65" s="443" t="inlineStr">
        <is>
          <t>ND</t>
        </is>
      </c>
      <c r="AI65" s="485" t="inlineStr">
        <is>
          <t>ND</t>
        </is>
      </c>
      <c r="AJ65" s="486" t="n">
        <v>3.35</v>
      </c>
      <c r="AK65" s="485" t="inlineStr">
        <is>
          <t>ND</t>
        </is>
      </c>
      <c r="AL65" s="120" t="n">
        <v>0.569</v>
      </c>
      <c r="AM65" s="443" t="inlineStr">
        <is>
          <t>ND</t>
        </is>
      </c>
      <c r="AN65" s="485" t="n">
        <v>1.17</v>
      </c>
      <c r="AO65" s="485" t="n">
        <v>1.21</v>
      </c>
      <c r="AP65" s="486" t="n">
        <v>1.15</v>
      </c>
      <c r="AQ65" s="488" t="inlineStr">
        <is>
          <t>ND</t>
        </is>
      </c>
      <c r="AR65" s="490" t="n">
        <v>4.33</v>
      </c>
      <c r="AS65" s="485" t="n">
        <v>1.86</v>
      </c>
      <c r="AT65" s="437" t="inlineStr">
        <is>
          <t>ND</t>
        </is>
      </c>
      <c r="AU65" s="437" t="inlineStr">
        <is>
          <t>ND</t>
        </is>
      </c>
      <c r="AV65" s="488" t="n">
        <v>4.36</v>
      </c>
      <c r="AW65" s="490" t="n">
        <v>4.95</v>
      </c>
      <c r="AX65" s="485" t="n">
        <v>4.61</v>
      </c>
      <c r="AY65" s="486" t="n">
        <v>1.73</v>
      </c>
      <c r="AZ65" s="485" t="n">
        <v>1.94</v>
      </c>
      <c r="BA65" s="488" t="n">
        <v>3.38</v>
      </c>
      <c r="BB65" s="443" t="inlineStr">
        <is>
          <t>ND</t>
        </is>
      </c>
      <c r="BC65" s="437" t="inlineStr">
        <is>
          <t>ND</t>
        </is>
      </c>
      <c r="BD65" s="437" t="inlineStr">
        <is>
          <t>ND</t>
        </is>
      </c>
      <c r="BE65" s="485" t="inlineStr">
        <is>
          <t>ND</t>
        </is>
      </c>
      <c r="BF65" s="120" t="n">
        <v>0.835</v>
      </c>
      <c r="BG65" s="522" t="n">
        <v>6.3</v>
      </c>
      <c r="BH65" s="502" t="n">
        <v>3.5</v>
      </c>
      <c r="BI65" s="485" t="n">
        <v>2.25</v>
      </c>
      <c r="BJ65" s="486" t="n">
        <v>1.23</v>
      </c>
      <c r="BK65" s="440" t="inlineStr">
        <is>
          <t>ND</t>
        </is>
      </c>
      <c r="BL65" s="443" t="inlineStr">
        <is>
          <t>ND</t>
        </is>
      </c>
      <c r="BM65" s="437" t="inlineStr">
        <is>
          <t>ND</t>
        </is>
      </c>
      <c r="BN65" s="437" t="inlineStr">
        <is>
          <t>ND</t>
        </is>
      </c>
      <c r="BO65" s="437" t="inlineStr">
        <is>
          <t>ND</t>
        </is>
      </c>
      <c r="BP65" s="440" t="inlineStr">
        <is>
          <t>ND</t>
        </is>
      </c>
      <c r="BQ65" s="443" t="inlineStr">
        <is>
          <t>ND</t>
        </is>
      </c>
      <c r="BR65" s="437" t="inlineStr">
        <is>
          <t>ND</t>
        </is>
      </c>
      <c r="BS65" s="437" t="inlineStr">
        <is>
          <t>ND</t>
        </is>
      </c>
      <c r="BT65" s="440" t="inlineStr">
        <is>
          <t>ND</t>
        </is>
      </c>
      <c r="BU65" s="455" t="n"/>
      <c r="BV65" s="455" t="n"/>
      <c r="BW65" s="238" t="n"/>
      <c r="BX65" s="238" t="n"/>
      <c r="BY65" s="238" t="n"/>
      <c r="BZ65" s="238" t="n"/>
      <c r="CA65" s="238" t="n"/>
      <c r="CB65" s="238" t="n"/>
      <c r="CC65" s="238" t="n"/>
      <c r="CD65" s="238" t="n"/>
      <c r="CE65" s="238" t="n"/>
      <c r="CF65" s="238" t="n"/>
      <c r="CG65" s="238" t="n"/>
      <c r="CH65" s="238" t="n"/>
      <c r="CI65" s="238" t="n"/>
      <c r="CJ65" s="238" t="n"/>
      <c r="CK65" s="238" t="n"/>
      <c r="CL65" s="238" t="n"/>
      <c r="CM65" s="238" t="n"/>
      <c r="CN65" s="238" t="n"/>
      <c r="CO65" s="238" t="n"/>
      <c r="CP65" s="238" t="n"/>
      <c r="CQ65" s="238" t="n"/>
      <c r="CR65" s="238" t="n"/>
      <c r="CS65" s="238" t="n"/>
      <c r="CT65" s="238" t="n"/>
      <c r="CU65" s="238" t="n"/>
      <c r="CV65" s="238" t="n"/>
      <c r="CW65" s="238" t="n"/>
      <c r="CX65" s="238" t="n"/>
      <c r="CY65" s="238" t="n"/>
      <c r="CZ65" s="238" t="n"/>
      <c r="DA65" s="238" t="n"/>
      <c r="DB65" s="238" t="n"/>
      <c r="DC65" s="238" t="n"/>
      <c r="DD65" s="238" t="n"/>
      <c r="DE65" s="238" t="n"/>
      <c r="DF65" s="238" t="n"/>
      <c r="DG65" s="238" t="n"/>
      <c r="DH65" s="238" t="n"/>
      <c r="DI65" s="238" t="n"/>
      <c r="DJ65" s="238" t="n"/>
      <c r="DK65" s="238" t="n"/>
      <c r="DL65" s="238" t="n"/>
      <c r="DM65" s="238" t="n"/>
      <c r="DN65" s="238" t="n"/>
      <c r="DO65" s="238" t="n"/>
      <c r="DP65" s="238" t="n"/>
      <c r="DQ65" s="238" t="n"/>
      <c r="DR65" s="238" t="n"/>
      <c r="DS65" s="238" t="n"/>
      <c r="DT65" s="238" t="n"/>
      <c r="DU65" s="238" t="n"/>
      <c r="DV65" s="238" t="n"/>
      <c r="DW65" s="238" t="n"/>
      <c r="DX65" s="238" t="n"/>
      <c r="DY65" s="238" t="n"/>
      <c r="DZ65" s="23" t="n"/>
      <c r="FQ65" s="212" t="n"/>
      <c r="FR65" s="212" t="n"/>
      <c r="FS65" s="212" t="n"/>
      <c r="FT65" s="212" t="n"/>
      <c r="FU65" s="212" t="n"/>
      <c r="FV65" s="212" t="n"/>
      <c r="FW65" s="212" t="n"/>
      <c r="FX65" s="212" t="n"/>
      <c r="FY65" s="212" t="n"/>
      <c r="FZ65" s="212" t="n"/>
    </row>
    <row r="66" ht="39.95" customFormat="1" customHeight="1" s="5">
      <c r="A66" s="456" t="n"/>
      <c r="B66" s="8" t="inlineStr">
        <is>
          <t>SECONDARIES</t>
        </is>
      </c>
      <c r="C66" s="12" t="inlineStr">
        <is>
          <t>R</t>
        </is>
      </c>
      <c r="D66" s="435" t="inlineStr">
        <is>
          <t>ND</t>
        </is>
      </c>
      <c r="E66" s="125" t="n">
        <v>0.022</v>
      </c>
      <c r="F66" s="494" t="inlineStr">
        <is>
          <t>ND</t>
        </is>
      </c>
      <c r="G66" s="494" t="n">
        <v>4.63</v>
      </c>
      <c r="H66" s="498" t="n">
        <v>3.33</v>
      </c>
      <c r="I66" s="496" t="n">
        <v>2.49</v>
      </c>
      <c r="J66" s="494" t="n">
        <v>1.89</v>
      </c>
      <c r="K66" s="438" t="inlineStr">
        <is>
          <t>ND</t>
        </is>
      </c>
      <c r="L66" s="438" t="inlineStr">
        <is>
          <t>ND</t>
        </is>
      </c>
      <c r="M66" s="441" t="inlineStr">
        <is>
          <t>ND</t>
        </is>
      </c>
      <c r="N66" s="496" t="n">
        <v>4.04</v>
      </c>
      <c r="O66" s="497" t="n">
        <v>2.07</v>
      </c>
      <c r="P66" s="494" t="n">
        <v>4.15</v>
      </c>
      <c r="Q66" s="438" t="n">
        <v>0.105</v>
      </c>
      <c r="R66" s="495" t="n">
        <v>3.76</v>
      </c>
      <c r="S66" s="496" t="inlineStr">
        <is>
          <t>ND</t>
        </is>
      </c>
      <c r="T66" s="438" t="inlineStr">
        <is>
          <t>ND</t>
        </is>
      </c>
      <c r="U66" s="438" t="inlineStr">
        <is>
          <t>ND</t>
        </is>
      </c>
      <c r="V66" s="494" t="inlineStr">
        <is>
          <t>ND</t>
        </is>
      </c>
      <c r="W66" s="495" t="inlineStr">
        <is>
          <t>ND</t>
        </is>
      </c>
      <c r="X66" s="505" t="n">
        <v>2.72</v>
      </c>
      <c r="Y66" s="494" t="n">
        <v>1.91</v>
      </c>
      <c r="Z66" s="125" t="n">
        <v>0.728</v>
      </c>
      <c r="AA66" s="494" t="n">
        <v>3.14</v>
      </c>
      <c r="AB66" s="441" t="inlineStr">
        <is>
          <t>ND</t>
        </is>
      </c>
      <c r="AC66" s="444" t="inlineStr">
        <is>
          <t>ND</t>
        </is>
      </c>
      <c r="AD66" s="438" t="inlineStr">
        <is>
          <t>ND</t>
        </is>
      </c>
      <c r="AE66" s="438" t="inlineStr">
        <is>
          <t>ND</t>
        </is>
      </c>
      <c r="AF66" s="438" t="inlineStr">
        <is>
          <t>ND</t>
        </is>
      </c>
      <c r="AG66" s="441" t="inlineStr">
        <is>
          <t>ND</t>
        </is>
      </c>
      <c r="AH66" s="444" t="inlineStr">
        <is>
          <t>ND</t>
        </is>
      </c>
      <c r="AI66" s="438" t="n">
        <v>0.677</v>
      </c>
      <c r="AJ66" s="494" t="n">
        <v>6.78</v>
      </c>
      <c r="AK66" s="494" t="inlineStr">
        <is>
          <t>ND</t>
        </is>
      </c>
      <c r="AL66" s="495" t="inlineStr">
        <is>
          <t>ND</t>
        </is>
      </c>
      <c r="AM66" s="444" t="inlineStr">
        <is>
          <t>ND</t>
        </is>
      </c>
      <c r="AN66" s="526" t="n">
        <v>1</v>
      </c>
      <c r="AO66" s="494" t="n">
        <v>3.56</v>
      </c>
      <c r="AP66" s="497" t="n">
        <v>1.87</v>
      </c>
      <c r="AQ66" s="495" t="n">
        <v>1.84</v>
      </c>
      <c r="AR66" s="496" t="n">
        <v>3.26</v>
      </c>
      <c r="AS66" s="494" t="inlineStr">
        <is>
          <t>ND</t>
        </is>
      </c>
      <c r="AT66" s="438" t="inlineStr">
        <is>
          <t>ND</t>
        </is>
      </c>
      <c r="AU66" s="438" t="inlineStr">
        <is>
          <t>ND</t>
        </is>
      </c>
      <c r="AV66" s="495" t="n">
        <v>3.99</v>
      </c>
      <c r="AW66" s="496" t="n">
        <v>2.86</v>
      </c>
      <c r="AX66" s="494" t="n">
        <v>4.93</v>
      </c>
      <c r="AY66" s="494" t="n">
        <v>3.06</v>
      </c>
      <c r="AZ66" s="494" t="n">
        <v>1.31</v>
      </c>
      <c r="BA66" s="151" t="n">
        <v>0.784</v>
      </c>
      <c r="BB66" s="444" t="inlineStr">
        <is>
          <t>ND</t>
        </is>
      </c>
      <c r="BC66" s="438" t="inlineStr">
        <is>
          <t>ND</t>
        </is>
      </c>
      <c r="BD66" s="438" t="inlineStr">
        <is>
          <t>ND</t>
        </is>
      </c>
      <c r="BE66" s="494" t="inlineStr">
        <is>
          <t>ND</t>
        </is>
      </c>
      <c r="BF66" s="495" t="inlineStr">
        <is>
          <t>ND</t>
        </is>
      </c>
      <c r="BG66" s="496" t="n">
        <v>7.57</v>
      </c>
      <c r="BH66" s="438" t="inlineStr">
        <is>
          <t>ND</t>
        </is>
      </c>
      <c r="BI66" s="125" t="n">
        <v>0.6850000000000001</v>
      </c>
      <c r="BJ66" s="497" t="n">
        <v>3.92</v>
      </c>
      <c r="BK66" s="441" t="inlineStr">
        <is>
          <t>ND</t>
        </is>
      </c>
      <c r="BL66" s="444" t="inlineStr">
        <is>
          <t>ND</t>
        </is>
      </c>
      <c r="BM66" s="438" t="inlineStr">
        <is>
          <t>ND</t>
        </is>
      </c>
      <c r="BN66" s="438" t="inlineStr">
        <is>
          <t>ND</t>
        </is>
      </c>
      <c r="BO66" s="438" t="inlineStr">
        <is>
          <t>ND</t>
        </is>
      </c>
      <c r="BP66" s="441" t="inlineStr">
        <is>
          <t>ND</t>
        </is>
      </c>
      <c r="BQ66" s="444" t="inlineStr">
        <is>
          <t>ND</t>
        </is>
      </c>
      <c r="BR66" s="438" t="inlineStr">
        <is>
          <t>ND</t>
        </is>
      </c>
      <c r="BS66" s="438" t="inlineStr">
        <is>
          <t>ND</t>
        </is>
      </c>
      <c r="BT66" s="441" t="inlineStr">
        <is>
          <t>ND</t>
        </is>
      </c>
      <c r="BU66" s="457" t="n"/>
      <c r="BV66" s="457" t="n"/>
      <c r="BW66" s="238" t="n"/>
      <c r="BX66" s="238" t="n"/>
      <c r="BY66" s="238" t="n"/>
      <c r="BZ66" s="238" t="n"/>
      <c r="CA66" s="238" t="n"/>
      <c r="CB66" s="238" t="n"/>
      <c r="CC66" s="238" t="n"/>
      <c r="CD66" s="238" t="n"/>
      <c r="CE66" s="238" t="n"/>
      <c r="CF66" s="238" t="n"/>
      <c r="CG66" s="238" t="n"/>
      <c r="CH66" s="238" t="n"/>
      <c r="CI66" s="238" t="n"/>
      <c r="CJ66" s="238" t="n"/>
      <c r="CK66" s="238" t="n"/>
      <c r="CL66" s="238" t="n"/>
      <c r="CM66" s="238" t="n"/>
      <c r="CN66" s="238" t="n"/>
      <c r="CO66" s="238" t="n"/>
      <c r="CP66" s="238" t="n"/>
      <c r="CQ66" s="238" t="n"/>
      <c r="CR66" s="238" t="n"/>
      <c r="CS66" s="238" t="n"/>
      <c r="CT66" s="238" t="n"/>
      <c r="CU66" s="238" t="n"/>
      <c r="CV66" s="238" t="n"/>
      <c r="CW66" s="238" t="n"/>
      <c r="CX66" s="238" t="n"/>
      <c r="CY66" s="238" t="n"/>
      <c r="CZ66" s="238" t="n"/>
      <c r="DA66" s="238" t="n"/>
      <c r="DB66" s="238" t="n"/>
      <c r="DC66" s="238" t="n"/>
      <c r="DD66" s="238" t="n"/>
      <c r="DE66" s="238" t="n"/>
      <c r="DF66" s="238" t="n"/>
      <c r="DG66" s="238" t="n"/>
      <c r="DH66" s="238" t="n"/>
      <c r="DI66" s="238" t="n"/>
      <c r="DJ66" s="238" t="n"/>
      <c r="DK66" s="238" t="n"/>
      <c r="DL66" s="238" t="n"/>
      <c r="DM66" s="238" t="n"/>
      <c r="DN66" s="238" t="n"/>
      <c r="DO66" s="238" t="n"/>
      <c r="DP66" s="238" t="n"/>
      <c r="DQ66" s="238" t="n"/>
      <c r="DR66" s="238" t="n"/>
      <c r="DS66" s="238" t="n"/>
      <c r="DT66" s="238" t="n"/>
      <c r="DU66" s="238" t="n"/>
      <c r="DV66" s="238" t="n"/>
      <c r="DW66" s="238" t="n"/>
      <c r="DX66" s="238" t="n"/>
      <c r="DY66" s="238" t="n"/>
      <c r="DZ66" s="23" t="n"/>
      <c r="FQ66" s="212" t="n"/>
      <c r="FR66" s="212" t="n"/>
      <c r="FS66" s="212" t="n"/>
      <c r="FT66" s="212" t="n"/>
      <c r="FU66" s="212" t="n"/>
      <c r="FV66" s="212" t="n"/>
      <c r="FW66" s="212" t="n"/>
      <c r="FX66" s="212" t="n"/>
      <c r="FY66" s="212" t="n"/>
      <c r="FZ66" s="212" t="n"/>
    </row>
    <row r="67" ht="39.95" customFormat="1" customHeight="1" s="5">
      <c r="A67" s="10" t="inlineStr">
        <is>
          <t>A</t>
        </is>
      </c>
      <c r="B67" s="6" t="inlineStr">
        <is>
          <t>POSITION 'B'</t>
        </is>
      </c>
      <c r="C67" s="11" t="inlineStr">
        <is>
          <t>L</t>
        </is>
      </c>
      <c r="D67" s="433" t="inlineStr">
        <is>
          <t>ND</t>
        </is>
      </c>
      <c r="E67" s="478" t="inlineStr">
        <is>
          <t>ND</t>
        </is>
      </c>
      <c r="F67" s="475" t="n">
        <v>1.73</v>
      </c>
      <c r="G67" s="478" t="n">
        <v>1.86</v>
      </c>
      <c r="H67" s="480" t="n">
        <v>1.78</v>
      </c>
      <c r="I67" s="477" t="n">
        <v>2.55</v>
      </c>
      <c r="J67" s="478" t="n">
        <v>3.02</v>
      </c>
      <c r="K67" s="436" t="inlineStr">
        <is>
          <t>ND</t>
        </is>
      </c>
      <c r="L67" s="436" t="inlineStr">
        <is>
          <t>ND</t>
        </is>
      </c>
      <c r="M67" s="439" t="inlineStr">
        <is>
          <t>ND</t>
        </is>
      </c>
      <c r="N67" s="442" t="n">
        <v>0.646</v>
      </c>
      <c r="O67" s="479" t="n">
        <v>4.5</v>
      </c>
      <c r="P67" s="479" t="inlineStr">
        <is>
          <t>ND</t>
        </is>
      </c>
      <c r="Q67" s="478" t="n">
        <v>1.26</v>
      </c>
      <c r="R67" s="476" t="n">
        <v>1.15</v>
      </c>
      <c r="S67" s="477" t="n">
        <v>3.01</v>
      </c>
      <c r="T67" s="436" t="inlineStr">
        <is>
          <t>ND</t>
        </is>
      </c>
      <c r="U67" s="436" t="inlineStr">
        <is>
          <t>ND</t>
        </is>
      </c>
      <c r="V67" s="112" t="n">
        <v>0.411</v>
      </c>
      <c r="W67" s="476" t="n">
        <v>1.67</v>
      </c>
      <c r="X67" s="483" t="n">
        <v>1.02</v>
      </c>
      <c r="Y67" s="475" t="n">
        <v>1.67</v>
      </c>
      <c r="Z67" s="478" t="inlineStr">
        <is>
          <t>ND</t>
        </is>
      </c>
      <c r="AA67" s="478" t="n">
        <v>2.86</v>
      </c>
      <c r="AB67" s="439" t="inlineStr">
        <is>
          <t>ND</t>
        </is>
      </c>
      <c r="AC67" s="442" t="inlineStr">
        <is>
          <t>ND</t>
        </is>
      </c>
      <c r="AD67" s="436" t="inlineStr">
        <is>
          <t>ND</t>
        </is>
      </c>
      <c r="AE67" s="436" t="inlineStr">
        <is>
          <t>ND</t>
        </is>
      </c>
      <c r="AF67" s="436" t="inlineStr">
        <is>
          <t>ND</t>
        </is>
      </c>
      <c r="AG67" s="439" t="inlineStr">
        <is>
          <t>ND</t>
        </is>
      </c>
      <c r="AH67" s="442" t="inlineStr">
        <is>
          <t>ND</t>
        </is>
      </c>
      <c r="AI67" s="478" t="n">
        <v>1.04</v>
      </c>
      <c r="AJ67" s="478" t="n">
        <v>2.24</v>
      </c>
      <c r="AK67" s="112" t="n">
        <v>0.548</v>
      </c>
      <c r="AL67" s="476" t="n">
        <v>2.59</v>
      </c>
      <c r="AM67" s="442" t="inlineStr">
        <is>
          <t>ND</t>
        </is>
      </c>
      <c r="AN67" s="478" t="inlineStr">
        <is>
          <t>ND</t>
        </is>
      </c>
      <c r="AO67" s="479" t="n">
        <v>1.7</v>
      </c>
      <c r="AP67" s="478" t="n">
        <v>3.58</v>
      </c>
      <c r="AQ67" s="480" t="n">
        <v>3.09</v>
      </c>
      <c r="AR67" s="442" t="inlineStr">
        <is>
          <t>ND</t>
        </is>
      </c>
      <c r="AS67" s="479" t="inlineStr">
        <is>
          <t>ND</t>
        </is>
      </c>
      <c r="AT67" s="436" t="inlineStr">
        <is>
          <t>ND</t>
        </is>
      </c>
      <c r="AU67" s="436" t="inlineStr">
        <is>
          <t>ND</t>
        </is>
      </c>
      <c r="AV67" s="113" t="n">
        <v>0.959</v>
      </c>
      <c r="AW67" s="482" t="n">
        <v>1.2</v>
      </c>
      <c r="AX67" s="478" t="n">
        <v>1.04</v>
      </c>
      <c r="AY67" s="475" t="n">
        <v>3.77</v>
      </c>
      <c r="AZ67" s="478" t="n">
        <v>4.67</v>
      </c>
      <c r="BA67" s="476" t="n">
        <v>1.52</v>
      </c>
      <c r="BB67" s="442" t="inlineStr">
        <is>
          <t>ND</t>
        </is>
      </c>
      <c r="BC67" s="436" t="inlineStr">
        <is>
          <t>ND</t>
        </is>
      </c>
      <c r="BD67" s="436" t="inlineStr">
        <is>
          <t>ND</t>
        </is>
      </c>
      <c r="BE67" s="478" t="n">
        <v>2.55</v>
      </c>
      <c r="BF67" s="476" t="n">
        <v>1.18</v>
      </c>
      <c r="BG67" s="483" t="n">
        <v>4.73</v>
      </c>
      <c r="BH67" s="475" t="n">
        <v>1.69</v>
      </c>
      <c r="BI67" s="436" t="inlineStr">
        <is>
          <t>ND</t>
        </is>
      </c>
      <c r="BJ67" s="478" t="n">
        <v>4.83</v>
      </c>
      <c r="BK67" s="439" t="inlineStr">
        <is>
          <t>ND</t>
        </is>
      </c>
      <c r="BL67" s="442" t="inlineStr">
        <is>
          <t>ND</t>
        </is>
      </c>
      <c r="BM67" s="436" t="inlineStr">
        <is>
          <t>ND</t>
        </is>
      </c>
      <c r="BN67" s="436" t="inlineStr">
        <is>
          <t>ND</t>
        </is>
      </c>
      <c r="BO67" s="436" t="inlineStr">
        <is>
          <t>ND</t>
        </is>
      </c>
      <c r="BP67" s="439" t="inlineStr">
        <is>
          <t>ND</t>
        </is>
      </c>
      <c r="BQ67" s="442" t="inlineStr">
        <is>
          <t>ND</t>
        </is>
      </c>
      <c r="BR67" s="436" t="inlineStr">
        <is>
          <t>ND</t>
        </is>
      </c>
      <c r="BS67" s="436" t="inlineStr">
        <is>
          <t>ND</t>
        </is>
      </c>
      <c r="BT67" s="439" t="inlineStr">
        <is>
          <t>ND</t>
        </is>
      </c>
      <c r="BU67" s="454">
        <f>IFERROR(AVERAGE(D67:BT69),0)</f>
        <v/>
      </c>
      <c r="BV67" s="454">
        <f>MAX(D67:BT69)</f>
        <v/>
      </c>
      <c r="BW67" s="238" t="n"/>
      <c r="BX67" s="238" t="n"/>
      <c r="BY67" s="238" t="n"/>
      <c r="BZ67" s="238" t="n"/>
      <c r="CA67" s="238" t="n"/>
      <c r="CB67" s="238" t="n"/>
      <c r="CC67" s="238" t="n"/>
      <c r="CD67" s="238" t="n"/>
      <c r="CE67" s="238" t="n"/>
      <c r="CF67" s="238" t="n"/>
      <c r="CG67" s="238" t="n"/>
      <c r="CH67" s="238" t="n"/>
      <c r="CI67" s="238" t="n"/>
      <c r="CJ67" s="238" t="n"/>
      <c r="CK67" s="238" t="n"/>
      <c r="CL67" s="238" t="n"/>
      <c r="CM67" s="238" t="n"/>
      <c r="CN67" s="238" t="n"/>
      <c r="CO67" s="238" t="n"/>
      <c r="CP67" s="238" t="n"/>
      <c r="CQ67" s="238" t="n"/>
      <c r="CR67" s="238" t="n"/>
      <c r="CS67" s="238" t="n"/>
      <c r="CT67" s="238" t="n"/>
      <c r="CU67" s="238" t="n"/>
      <c r="CV67" s="238" t="n"/>
      <c r="CW67" s="238" t="n"/>
      <c r="CX67" s="238" t="n"/>
      <c r="CY67" s="238" t="n"/>
      <c r="CZ67" s="238" t="n"/>
      <c r="DA67" s="238" t="n"/>
      <c r="DB67" s="238" t="n"/>
      <c r="DC67" s="238" t="n"/>
      <c r="DD67" s="238" t="n"/>
      <c r="DE67" s="238" t="n"/>
      <c r="DF67" s="238" t="n"/>
      <c r="DG67" s="238" t="n"/>
      <c r="DH67" s="238" t="n"/>
      <c r="DI67" s="238" t="n"/>
      <c r="DJ67" s="238" t="n"/>
      <c r="DK67" s="238" t="n"/>
      <c r="DL67" s="238" t="n"/>
      <c r="DM67" s="238" t="n"/>
      <c r="DN67" s="238" t="n"/>
      <c r="DO67" s="238" t="n"/>
      <c r="DP67" s="238" t="n"/>
      <c r="DQ67" s="238" t="n"/>
      <c r="DR67" s="238" t="n"/>
      <c r="DS67" s="238" t="n"/>
      <c r="DT67" s="238" t="n"/>
      <c r="DU67" s="238" t="n"/>
      <c r="DV67" s="238" t="n"/>
      <c r="DW67" s="238" t="n"/>
      <c r="DX67" s="238" t="n"/>
      <c r="DY67" s="238" t="n"/>
      <c r="DZ67" s="23" t="n"/>
      <c r="FQ67" s="212" t="n"/>
      <c r="FR67" s="212" t="n"/>
      <c r="FS67" s="212" t="n"/>
      <c r="FT67" s="212" t="n"/>
      <c r="FU67" s="212" t="n"/>
      <c r="FV67" s="212" t="n"/>
      <c r="FW67" s="212" t="n"/>
      <c r="FX67" s="212" t="n"/>
      <c r="FY67" s="212" t="n"/>
      <c r="FZ67" s="212" t="n"/>
    </row>
    <row r="68" ht="39.95" customFormat="1" customHeight="1" s="5">
      <c r="A68" s="182" t="inlineStr"/>
      <c r="B68" s="7" t="inlineStr">
        <is>
          <t xml:space="preserve">OF THE </t>
        </is>
      </c>
      <c r="C68" s="11" t="inlineStr">
        <is>
          <t>C</t>
        </is>
      </c>
      <c r="D68" s="434" t="inlineStr">
        <is>
          <t>ND</t>
        </is>
      </c>
      <c r="E68" s="485" t="n">
        <v>2.89</v>
      </c>
      <c r="F68" s="485" t="n">
        <v>2.77</v>
      </c>
      <c r="G68" s="485" t="n">
        <v>2.12</v>
      </c>
      <c r="H68" s="488" t="n">
        <v>1.58</v>
      </c>
      <c r="I68" s="490" t="n">
        <v>4.56</v>
      </c>
      <c r="J68" s="485" t="n">
        <v>4.25</v>
      </c>
      <c r="K68" s="437" t="inlineStr">
        <is>
          <t>ND</t>
        </is>
      </c>
      <c r="L68" s="437" t="inlineStr">
        <is>
          <t>ND</t>
        </is>
      </c>
      <c r="M68" s="440" t="inlineStr">
        <is>
          <t>ND</t>
        </is>
      </c>
      <c r="N68" s="132" t="n">
        <v>0.57</v>
      </c>
      <c r="O68" s="485" t="n">
        <v>2.84</v>
      </c>
      <c r="P68" s="485" t="n">
        <v>4.03</v>
      </c>
      <c r="Q68" s="485" t="n">
        <v>3.27</v>
      </c>
      <c r="R68" s="488" t="n">
        <v>3.58</v>
      </c>
      <c r="S68" s="522" t="n">
        <v>2.1</v>
      </c>
      <c r="T68" s="437" t="inlineStr">
        <is>
          <t>ND</t>
        </is>
      </c>
      <c r="U68" s="437" t="inlineStr">
        <is>
          <t>ND</t>
        </is>
      </c>
      <c r="V68" s="502" t="n">
        <v>2.7</v>
      </c>
      <c r="W68" s="488" t="n">
        <v>1.14</v>
      </c>
      <c r="X68" s="487" t="n">
        <v>1.07</v>
      </c>
      <c r="Y68" s="485" t="n">
        <v>3.44</v>
      </c>
      <c r="Z68" s="122" t="n">
        <v>0.759</v>
      </c>
      <c r="AA68" s="485" t="n">
        <v>3.74</v>
      </c>
      <c r="AB68" s="440" t="inlineStr">
        <is>
          <t>ND</t>
        </is>
      </c>
      <c r="AC68" s="443" t="inlineStr">
        <is>
          <t>ND</t>
        </is>
      </c>
      <c r="AD68" s="437" t="inlineStr">
        <is>
          <t>ND</t>
        </is>
      </c>
      <c r="AE68" s="437" t="inlineStr">
        <is>
          <t>ND</t>
        </is>
      </c>
      <c r="AF68" s="437" t="inlineStr">
        <is>
          <t>ND</t>
        </is>
      </c>
      <c r="AG68" s="440" t="inlineStr">
        <is>
          <t>ND</t>
        </is>
      </c>
      <c r="AH68" s="443" t="inlineStr">
        <is>
          <t>ND</t>
        </is>
      </c>
      <c r="AI68" s="485" t="n">
        <v>3.94</v>
      </c>
      <c r="AJ68" s="485" t="n">
        <v>3.93</v>
      </c>
      <c r="AK68" s="485" t="inlineStr">
        <is>
          <t>ND</t>
        </is>
      </c>
      <c r="AL68" s="488" t="n">
        <v>2.37</v>
      </c>
      <c r="AM68" s="443" t="inlineStr">
        <is>
          <t>ND</t>
        </is>
      </c>
      <c r="AN68" s="485" t="inlineStr">
        <is>
          <t>ND</t>
        </is>
      </c>
      <c r="AO68" s="122" t="n">
        <v>0.917</v>
      </c>
      <c r="AP68" s="485" t="n">
        <v>3.98</v>
      </c>
      <c r="AQ68" s="489" t="n">
        <v>1.56</v>
      </c>
      <c r="AR68" s="443" t="inlineStr">
        <is>
          <t>ND</t>
        </is>
      </c>
      <c r="AS68" s="437" t="inlineStr">
        <is>
          <t>ND</t>
        </is>
      </c>
      <c r="AT68" s="437" t="inlineStr">
        <is>
          <t>ND</t>
        </is>
      </c>
      <c r="AU68" s="437" t="inlineStr">
        <is>
          <t>ND</t>
        </is>
      </c>
      <c r="AV68" s="488" t="n">
        <v>1.28</v>
      </c>
      <c r="AW68" s="522" t="n">
        <v>4.5</v>
      </c>
      <c r="AX68" s="485" t="n">
        <v>1.46</v>
      </c>
      <c r="AY68" s="485" t="n">
        <v>2.87</v>
      </c>
      <c r="AZ68" s="486" t="n">
        <v>2.89</v>
      </c>
      <c r="BA68" s="488" t="n">
        <v>7.55</v>
      </c>
      <c r="BB68" s="443" t="inlineStr">
        <is>
          <t>ND</t>
        </is>
      </c>
      <c r="BC68" s="437" t="inlineStr">
        <is>
          <t>ND</t>
        </is>
      </c>
      <c r="BD68" s="437" t="inlineStr">
        <is>
          <t>ND</t>
        </is>
      </c>
      <c r="BE68" s="485" t="inlineStr">
        <is>
          <t>ND</t>
        </is>
      </c>
      <c r="BF68" s="488" t="n">
        <v>2.84</v>
      </c>
      <c r="BG68" s="487" t="n">
        <v>1.17</v>
      </c>
      <c r="BH68" s="485" t="n">
        <v>2.96</v>
      </c>
      <c r="BI68" s="486" t="n">
        <v>2.84</v>
      </c>
      <c r="BJ68" s="485" t="n">
        <v>4.26</v>
      </c>
      <c r="BK68" s="440" t="inlineStr">
        <is>
          <t>ND</t>
        </is>
      </c>
      <c r="BL68" s="443" t="inlineStr">
        <is>
          <t>ND</t>
        </is>
      </c>
      <c r="BM68" s="437" t="inlineStr">
        <is>
          <t>ND</t>
        </is>
      </c>
      <c r="BN68" s="437" t="inlineStr">
        <is>
          <t>ND</t>
        </is>
      </c>
      <c r="BO68" s="437" t="inlineStr">
        <is>
          <t>ND</t>
        </is>
      </c>
      <c r="BP68" s="440" t="inlineStr">
        <is>
          <t>ND</t>
        </is>
      </c>
      <c r="BQ68" s="443" t="inlineStr">
        <is>
          <t>ND</t>
        </is>
      </c>
      <c r="BR68" s="437" t="inlineStr">
        <is>
          <t>ND</t>
        </is>
      </c>
      <c r="BS68" s="437" t="inlineStr">
        <is>
          <t>ND</t>
        </is>
      </c>
      <c r="BT68" s="440" t="inlineStr">
        <is>
          <t>ND</t>
        </is>
      </c>
      <c r="BU68" s="455" t="n"/>
      <c r="BV68" s="455" t="n"/>
      <c r="BW68" s="238" t="n"/>
      <c r="BX68" s="238" t="n"/>
      <c r="BY68" s="238" t="n"/>
      <c r="BZ68" s="238" t="n"/>
      <c r="CA68" s="238" t="n"/>
      <c r="CB68" s="238" t="n"/>
      <c r="CC68" s="238" t="n"/>
      <c r="CD68" s="238" t="n"/>
      <c r="CE68" s="238" t="n"/>
      <c r="CF68" s="238" t="n"/>
      <c r="CG68" s="238" t="n"/>
      <c r="CH68" s="238" t="n"/>
      <c r="CI68" s="238" t="n"/>
      <c r="CJ68" s="238" t="n"/>
      <c r="CK68" s="238" t="n"/>
      <c r="CL68" s="238" t="n"/>
      <c r="CM68" s="238" t="n"/>
      <c r="CN68" s="238" t="n"/>
      <c r="CO68" s="238" t="n"/>
      <c r="CP68" s="238" t="n"/>
      <c r="CQ68" s="238" t="n"/>
      <c r="CR68" s="238" t="n"/>
      <c r="CS68" s="238" t="n"/>
      <c r="CT68" s="238" t="n"/>
      <c r="CU68" s="238" t="n"/>
      <c r="CV68" s="238" t="n"/>
      <c r="CW68" s="238" t="n"/>
      <c r="CX68" s="238" t="n"/>
      <c r="CY68" s="238" t="n"/>
      <c r="CZ68" s="238" t="n"/>
      <c r="DA68" s="238" t="n"/>
      <c r="DB68" s="238" t="n"/>
      <c r="DC68" s="238" t="n"/>
      <c r="DD68" s="238" t="n"/>
      <c r="DE68" s="238" t="n"/>
      <c r="DF68" s="238" t="n"/>
      <c r="DG68" s="238" t="n"/>
      <c r="DH68" s="238" t="n"/>
      <c r="DI68" s="238" t="n"/>
      <c r="DJ68" s="238" t="n"/>
      <c r="DK68" s="238" t="n"/>
      <c r="DL68" s="238" t="n"/>
      <c r="DM68" s="238" t="n"/>
      <c r="DN68" s="238" t="n"/>
      <c r="DO68" s="238" t="n"/>
      <c r="DP68" s="238" t="n"/>
      <c r="DQ68" s="238" t="n"/>
      <c r="DR68" s="238" t="n"/>
      <c r="DS68" s="238" t="n"/>
      <c r="DT68" s="238" t="n"/>
      <c r="DU68" s="238" t="n"/>
      <c r="DV68" s="238" t="n"/>
      <c r="DW68" s="238" t="n"/>
      <c r="DX68" s="238" t="n"/>
      <c r="DY68" s="238" t="n"/>
      <c r="DZ68" s="23" t="n"/>
      <c r="FQ68" s="212" t="n"/>
      <c r="FR68" s="212" t="n"/>
      <c r="FS68" s="212" t="n"/>
      <c r="FT68" s="212" t="n"/>
      <c r="FU68" s="212" t="n"/>
      <c r="FV68" s="212" t="n"/>
      <c r="FW68" s="212" t="n"/>
      <c r="FX68" s="212" t="n"/>
      <c r="FY68" s="212" t="n"/>
      <c r="FZ68" s="212" t="n"/>
    </row>
    <row r="69" ht="39.95" customFormat="1" customHeight="1" s="5">
      <c r="A69" s="456" t="n"/>
      <c r="B69" s="8" t="inlineStr">
        <is>
          <t>SECONDARIES</t>
        </is>
      </c>
      <c r="C69" s="12" t="inlineStr">
        <is>
          <t>R</t>
        </is>
      </c>
      <c r="D69" s="435" t="inlineStr">
        <is>
          <t>ND</t>
        </is>
      </c>
      <c r="E69" s="494" t="n">
        <v>3.29</v>
      </c>
      <c r="F69" s="494" t="n">
        <v>2.66</v>
      </c>
      <c r="G69" s="497" t="n">
        <v>1.65</v>
      </c>
      <c r="H69" s="441" t="n">
        <v>0.037</v>
      </c>
      <c r="I69" s="505" t="n">
        <v>3.85</v>
      </c>
      <c r="J69" s="494" t="n">
        <v>1.81</v>
      </c>
      <c r="K69" s="438" t="inlineStr">
        <is>
          <t>ND</t>
        </is>
      </c>
      <c r="L69" s="438" t="inlineStr">
        <is>
          <t>ND</t>
        </is>
      </c>
      <c r="M69" s="441" t="inlineStr">
        <is>
          <t>ND</t>
        </is>
      </c>
      <c r="N69" s="496" t="n">
        <v>2.08</v>
      </c>
      <c r="O69" s="438" t="n">
        <v>0.91</v>
      </c>
      <c r="P69" s="494" t="n">
        <v>4.36</v>
      </c>
      <c r="Q69" s="492" t="n">
        <v>3.4</v>
      </c>
      <c r="R69" s="495" t="n">
        <v>2.66</v>
      </c>
      <c r="S69" s="148" t="n">
        <v>0.055</v>
      </c>
      <c r="T69" s="438" t="inlineStr">
        <is>
          <t>ND</t>
        </is>
      </c>
      <c r="U69" s="438" t="inlineStr">
        <is>
          <t>ND</t>
        </is>
      </c>
      <c r="V69" s="494" t="inlineStr">
        <is>
          <t>ND</t>
        </is>
      </c>
      <c r="W69" s="151" t="n">
        <v>0.678</v>
      </c>
      <c r="X69" s="505" t="n">
        <v>1.27</v>
      </c>
      <c r="Y69" s="497" t="n">
        <v>1.47</v>
      </c>
      <c r="Z69" s="494" t="n">
        <v>2.06</v>
      </c>
      <c r="AA69" s="494" t="n">
        <v>3.89</v>
      </c>
      <c r="AB69" s="441" t="inlineStr">
        <is>
          <t>ND</t>
        </is>
      </c>
      <c r="AC69" s="444" t="inlineStr">
        <is>
          <t>ND</t>
        </is>
      </c>
      <c r="AD69" s="438" t="inlineStr">
        <is>
          <t>ND</t>
        </is>
      </c>
      <c r="AE69" s="438" t="inlineStr">
        <is>
          <t>ND</t>
        </is>
      </c>
      <c r="AF69" s="438" t="inlineStr">
        <is>
          <t>ND</t>
        </is>
      </c>
      <c r="AG69" s="441" t="inlineStr">
        <is>
          <t>ND</t>
        </is>
      </c>
      <c r="AH69" s="444" t="inlineStr">
        <is>
          <t>ND</t>
        </is>
      </c>
      <c r="AI69" s="494" t="n">
        <v>3.33</v>
      </c>
      <c r="AJ69" s="494" t="n">
        <v>1.38</v>
      </c>
      <c r="AK69" s="125" t="n">
        <v>0.546</v>
      </c>
      <c r="AL69" s="151" t="n">
        <v>0.865</v>
      </c>
      <c r="AM69" s="444" t="inlineStr">
        <is>
          <t>ND</t>
        </is>
      </c>
      <c r="AN69" s="125" t="n">
        <v>0.754</v>
      </c>
      <c r="AO69" s="494" t="n">
        <v>1.26</v>
      </c>
      <c r="AP69" s="497" t="n">
        <v>3.11</v>
      </c>
      <c r="AQ69" s="498" t="n">
        <v>1.23</v>
      </c>
      <c r="AR69" s="505" t="n">
        <v>2.01</v>
      </c>
      <c r="AS69" s="494" t="inlineStr">
        <is>
          <t>ND</t>
        </is>
      </c>
      <c r="AT69" s="438" t="inlineStr">
        <is>
          <t>ND</t>
        </is>
      </c>
      <c r="AU69" s="438" t="inlineStr">
        <is>
          <t>ND</t>
        </is>
      </c>
      <c r="AV69" s="495" t="inlineStr">
        <is>
          <t>ND</t>
        </is>
      </c>
      <c r="AW69" s="148" t="n">
        <v>0.748</v>
      </c>
      <c r="AX69" s="494" t="n">
        <v>3.34</v>
      </c>
      <c r="AY69" s="494" t="n">
        <v>1.11</v>
      </c>
      <c r="AZ69" s="494" t="n">
        <v>2.19</v>
      </c>
      <c r="BA69" s="495" t="n">
        <v>1.99</v>
      </c>
      <c r="BB69" s="444" t="inlineStr">
        <is>
          <t>ND</t>
        </is>
      </c>
      <c r="BC69" s="438" t="inlineStr">
        <is>
          <t>ND</t>
        </is>
      </c>
      <c r="BD69" s="438" t="inlineStr">
        <is>
          <t>ND</t>
        </is>
      </c>
      <c r="BE69" s="494" t="inlineStr">
        <is>
          <t>ND</t>
        </is>
      </c>
      <c r="BF69" s="441" t="inlineStr">
        <is>
          <t>ND</t>
        </is>
      </c>
      <c r="BG69" s="505" t="n">
        <v>2.21</v>
      </c>
      <c r="BH69" s="494" t="n">
        <v>2.81</v>
      </c>
      <c r="BI69" s="494" t="n">
        <v>2.85</v>
      </c>
      <c r="BJ69" s="438" t="n">
        <v>0.979</v>
      </c>
      <c r="BK69" s="441" t="inlineStr">
        <is>
          <t>ND</t>
        </is>
      </c>
      <c r="BL69" s="444" t="inlineStr">
        <is>
          <t>ND</t>
        </is>
      </c>
      <c r="BM69" s="438" t="inlineStr">
        <is>
          <t>ND</t>
        </is>
      </c>
      <c r="BN69" s="438" t="inlineStr">
        <is>
          <t>ND</t>
        </is>
      </c>
      <c r="BO69" s="438" t="inlineStr">
        <is>
          <t>ND</t>
        </is>
      </c>
      <c r="BP69" s="441" t="inlineStr">
        <is>
          <t>ND</t>
        </is>
      </c>
      <c r="BQ69" s="444" t="inlineStr">
        <is>
          <t>ND</t>
        </is>
      </c>
      <c r="BR69" s="438" t="inlineStr">
        <is>
          <t>ND</t>
        </is>
      </c>
      <c r="BS69" s="438" t="inlineStr">
        <is>
          <t>ND</t>
        </is>
      </c>
      <c r="BT69" s="441" t="inlineStr">
        <is>
          <t>ND</t>
        </is>
      </c>
      <c r="BU69" s="457" t="n"/>
      <c r="BV69" s="457" t="n"/>
      <c r="BW69" s="238" t="n"/>
      <c r="BX69" s="238" t="n"/>
      <c r="BY69" s="238" t="n"/>
      <c r="BZ69" s="238" t="n"/>
      <c r="CA69" s="238" t="n"/>
      <c r="CB69" s="238" t="n"/>
      <c r="CC69" s="238" t="n"/>
      <c r="CD69" s="238" t="n"/>
      <c r="CE69" s="238" t="n"/>
      <c r="CF69" s="238" t="n"/>
      <c r="CG69" s="238" t="n"/>
      <c r="CH69" s="238" t="n"/>
      <c r="CI69" s="238" t="n"/>
      <c r="CJ69" s="238" t="n"/>
      <c r="CK69" s="238" t="n"/>
      <c r="CL69" s="238" t="n"/>
      <c r="CM69" s="238" t="n"/>
      <c r="CN69" s="238" t="n"/>
      <c r="CO69" s="238" t="n"/>
      <c r="CP69" s="238" t="n"/>
      <c r="CQ69" s="238" t="n"/>
      <c r="CR69" s="238" t="n"/>
      <c r="CS69" s="238" t="n"/>
      <c r="CT69" s="238" t="n"/>
      <c r="CU69" s="238" t="n"/>
      <c r="CV69" s="238" t="n"/>
      <c r="CW69" s="238" t="n"/>
      <c r="CX69" s="238" t="n"/>
      <c r="CY69" s="238" t="n"/>
      <c r="CZ69" s="238" t="n"/>
      <c r="DA69" s="238" t="n"/>
      <c r="DB69" s="238" t="n"/>
      <c r="DC69" s="238" t="n"/>
      <c r="DD69" s="238" t="n"/>
      <c r="DE69" s="238" t="n"/>
      <c r="DF69" s="238" t="n"/>
      <c r="DG69" s="238" t="n"/>
      <c r="DH69" s="238" t="n"/>
      <c r="DI69" s="238" t="n"/>
      <c r="DJ69" s="238" t="n"/>
      <c r="DK69" s="238" t="n"/>
      <c r="DL69" s="238" t="n"/>
      <c r="DM69" s="238" t="n"/>
      <c r="DN69" s="238" t="n"/>
      <c r="DO69" s="238" t="n"/>
      <c r="DP69" s="238" t="n"/>
      <c r="DQ69" s="238" t="n"/>
      <c r="DR69" s="238" t="n"/>
      <c r="DS69" s="238" t="n"/>
      <c r="DT69" s="238" t="n"/>
      <c r="DU69" s="238" t="n"/>
      <c r="DV69" s="238" t="n"/>
      <c r="DW69" s="238" t="n"/>
      <c r="DX69" s="238" t="n"/>
      <c r="DY69" s="238" t="n"/>
      <c r="DZ69" s="23" t="n"/>
      <c r="FQ69" s="212" t="n"/>
      <c r="FR69" s="212" t="n"/>
      <c r="FS69" s="212" t="n"/>
      <c r="FT69" s="212" t="n"/>
      <c r="FU69" s="212" t="n"/>
      <c r="FV69" s="212" t="n"/>
      <c r="FW69" s="212" t="n"/>
      <c r="FX69" s="212" t="n"/>
      <c r="FY69" s="212" t="n"/>
      <c r="FZ69" s="212" t="n"/>
    </row>
    <row r="70" ht="39.95" customFormat="1" customHeight="1" s="5">
      <c r="A70" s="10" t="inlineStr">
        <is>
          <t>A</t>
        </is>
      </c>
      <c r="B70" s="6" t="n"/>
      <c r="C70" s="11" t="inlineStr">
        <is>
          <t>L</t>
        </is>
      </c>
      <c r="D70" s="518" t="inlineStr">
        <is>
          <t>ND</t>
        </is>
      </c>
      <c r="E70" s="112" t="n">
        <v>0.021</v>
      </c>
      <c r="F70" s="475" t="n">
        <v>2.93</v>
      </c>
      <c r="G70" s="478" t="n">
        <v>1.91</v>
      </c>
      <c r="H70" s="476" t="n">
        <v>9.970000000000001</v>
      </c>
      <c r="I70" s="442" t="inlineStr">
        <is>
          <t>ND</t>
        </is>
      </c>
      <c r="J70" s="436" t="inlineStr">
        <is>
          <t>ND</t>
        </is>
      </c>
      <c r="K70" s="436" t="inlineStr">
        <is>
          <t>ND</t>
        </is>
      </c>
      <c r="L70" s="436" t="inlineStr">
        <is>
          <t>ND</t>
        </is>
      </c>
      <c r="M70" s="476" t="inlineStr">
        <is>
          <t>ND</t>
        </is>
      </c>
      <c r="N70" s="442" t="inlineStr">
        <is>
          <t>ND</t>
        </is>
      </c>
      <c r="O70" s="530" t="inlineStr">
        <is>
          <t>ND</t>
        </is>
      </c>
      <c r="P70" s="478" t="n">
        <v>2.45</v>
      </c>
      <c r="Q70" s="436" t="inlineStr">
        <is>
          <t>ND</t>
        </is>
      </c>
      <c r="R70" s="439" t="inlineStr">
        <is>
          <t>ND</t>
        </is>
      </c>
      <c r="S70" s="115" t="n">
        <v>0.44</v>
      </c>
      <c r="T70" s="478" t="inlineStr">
        <is>
          <t>ND</t>
        </is>
      </c>
      <c r="U70" s="436" t="inlineStr">
        <is>
          <t>ND</t>
        </is>
      </c>
      <c r="V70" s="478" t="inlineStr">
        <is>
          <t>ND</t>
        </is>
      </c>
      <c r="W70" s="476" t="inlineStr">
        <is>
          <t>ND</t>
        </is>
      </c>
      <c r="X70" s="483" t="n">
        <v>1.64</v>
      </c>
      <c r="Y70" s="478" t="n">
        <v>3.89</v>
      </c>
      <c r="Z70" s="478" t="inlineStr">
        <is>
          <t>ND</t>
        </is>
      </c>
      <c r="AA70" s="479" t="inlineStr">
        <is>
          <t>ND</t>
        </is>
      </c>
      <c r="AB70" s="439" t="inlineStr">
        <is>
          <t>ND</t>
        </is>
      </c>
      <c r="AC70" s="477" t="inlineStr">
        <is>
          <t>ND</t>
        </is>
      </c>
      <c r="AD70" s="112" t="n">
        <v>0.407</v>
      </c>
      <c r="AE70" s="478" t="n">
        <v>1.15</v>
      </c>
      <c r="AF70" s="112" t="n">
        <v>0.899</v>
      </c>
      <c r="AG70" s="439" t="inlineStr">
        <is>
          <t>ND</t>
        </is>
      </c>
      <c r="AH70" s="477" t="inlineStr">
        <is>
          <t>ND</t>
        </is>
      </c>
      <c r="AI70" s="436" t="inlineStr">
        <is>
          <t>ND</t>
        </is>
      </c>
      <c r="AJ70" s="436" t="inlineStr">
        <is>
          <t>ND</t>
        </is>
      </c>
      <c r="AK70" s="436" t="inlineStr">
        <is>
          <t>ND</t>
        </is>
      </c>
      <c r="AL70" s="476" t="inlineStr">
        <is>
          <t>ND</t>
        </is>
      </c>
      <c r="AM70" s="477" t="inlineStr">
        <is>
          <t>ND</t>
        </is>
      </c>
      <c r="AN70" s="479" t="n">
        <v>2.6</v>
      </c>
      <c r="AO70" s="475" t="n">
        <v>3.45</v>
      </c>
      <c r="AP70" s="478" t="n">
        <v>4.52</v>
      </c>
      <c r="AQ70" s="476" t="n">
        <v>5.17</v>
      </c>
      <c r="AR70" s="477" t="n">
        <v>3.05</v>
      </c>
      <c r="AS70" s="478" t="n">
        <v>2.94</v>
      </c>
      <c r="AT70" s="478" t="inlineStr">
        <is>
          <t>ND</t>
        </is>
      </c>
      <c r="AU70" s="478" t="n">
        <v>3.52</v>
      </c>
      <c r="AV70" s="113" t="n">
        <v>0.602</v>
      </c>
      <c r="AW70" s="115" t="n">
        <v>0.976</v>
      </c>
      <c r="AX70" s="478" t="inlineStr">
        <is>
          <t>ND</t>
        </is>
      </c>
      <c r="AY70" s="436" t="inlineStr">
        <is>
          <t>ND</t>
        </is>
      </c>
      <c r="AZ70" s="436" t="inlineStr">
        <is>
          <t>ND</t>
        </is>
      </c>
      <c r="BA70" s="113" t="n">
        <v>0.49</v>
      </c>
      <c r="BB70" s="477" t="n">
        <v>1.19</v>
      </c>
      <c r="BC70" s="112" t="n">
        <v>0.043</v>
      </c>
      <c r="BD70" s="478" t="n">
        <v>3.63</v>
      </c>
      <c r="BE70" s="478" t="inlineStr">
        <is>
          <t>ND</t>
        </is>
      </c>
      <c r="BF70" s="476" t="n">
        <v>2.44</v>
      </c>
      <c r="BG70" s="477" t="n">
        <v>8.34</v>
      </c>
      <c r="BH70" s="479" t="n">
        <v>2.5</v>
      </c>
      <c r="BI70" s="478" t="n">
        <v>1.36</v>
      </c>
      <c r="BJ70" s="112" t="n">
        <v>0.526</v>
      </c>
      <c r="BK70" s="476" t="inlineStr">
        <is>
          <t>ND</t>
        </is>
      </c>
      <c r="BL70" s="483" t="n">
        <v>1.07</v>
      </c>
      <c r="BM70" s="479" t="inlineStr">
        <is>
          <t>ND</t>
        </is>
      </c>
      <c r="BN70" s="475" t="n">
        <v>3.98</v>
      </c>
      <c r="BO70" s="436" t="n">
        <v>0.921</v>
      </c>
      <c r="BP70" s="439" t="n">
        <v>0.464</v>
      </c>
      <c r="BQ70" s="477" t="inlineStr">
        <is>
          <t>ND</t>
        </is>
      </c>
      <c r="BR70" s="478" t="inlineStr">
        <is>
          <t>ND</t>
        </is>
      </c>
      <c r="BS70" s="475" t="n">
        <v>3.73</v>
      </c>
      <c r="BT70" s="439" t="inlineStr">
        <is>
          <t>ND</t>
        </is>
      </c>
      <c r="BU70" s="454">
        <f>IFERROR(AVERAGE(D70:BT72),0)</f>
        <v/>
      </c>
      <c r="BV70" s="454">
        <f>MAX(D70:BT72)</f>
        <v/>
      </c>
      <c r="BW70" s="238" t="n"/>
      <c r="BX70" s="238" t="n"/>
      <c r="BY70" s="238" t="n"/>
      <c r="BZ70" s="238" t="n"/>
      <c r="CA70" s="238" t="n"/>
      <c r="CB70" s="238" t="n"/>
      <c r="CC70" s="238" t="n"/>
      <c r="CD70" s="238" t="n"/>
      <c r="CE70" s="238" t="n"/>
      <c r="CF70" s="238" t="n"/>
      <c r="CG70" s="238" t="n"/>
      <c r="CH70" s="238" t="n"/>
      <c r="CI70" s="238" t="n"/>
      <c r="CJ70" s="238" t="n"/>
      <c r="CK70" s="238" t="n"/>
      <c r="CL70" s="238" t="n"/>
      <c r="CM70" s="238" t="n"/>
      <c r="CN70" s="238" t="n"/>
      <c r="CO70" s="238" t="n"/>
      <c r="CP70" s="238" t="n"/>
      <c r="CQ70" s="238" t="n"/>
      <c r="CR70" s="238" t="n"/>
      <c r="CS70" s="238" t="n"/>
      <c r="CT70" s="238" t="n"/>
      <c r="CU70" s="238" t="n"/>
      <c r="CV70" s="238" t="n"/>
      <c r="CW70" s="238" t="n"/>
      <c r="CX70" s="238" t="n"/>
      <c r="CY70" s="238" t="n"/>
      <c r="CZ70" s="238" t="n"/>
      <c r="DA70" s="238" t="n"/>
      <c r="DB70" s="238" t="n"/>
      <c r="DC70" s="238" t="n"/>
      <c r="DD70" s="238" t="n"/>
      <c r="DE70" s="238" t="n"/>
      <c r="DF70" s="238" t="n"/>
      <c r="DG70" s="238" t="n"/>
      <c r="DH70" s="238" t="n"/>
      <c r="DI70" s="238" t="n"/>
      <c r="DJ70" s="238" t="n"/>
      <c r="DK70" s="238" t="n"/>
      <c r="DL70" s="238" t="n"/>
      <c r="DM70" s="238" t="n"/>
      <c r="DN70" s="238" t="n"/>
      <c r="DO70" s="238" t="n"/>
      <c r="DP70" s="238" t="n"/>
      <c r="DQ70" s="238" t="n"/>
      <c r="DR70" s="238" t="n"/>
      <c r="DS70" s="238" t="n"/>
      <c r="DT70" s="238" t="n"/>
      <c r="DU70" s="238" t="n"/>
      <c r="DV70" s="238" t="n"/>
      <c r="DW70" s="238" t="n"/>
      <c r="DX70" s="238" t="n"/>
      <c r="DY70" s="238" t="n"/>
      <c r="DZ70" s="23" t="n"/>
      <c r="FQ70" s="212" t="n"/>
      <c r="FR70" s="212" t="n"/>
      <c r="FS70" s="212" t="n"/>
      <c r="FT70" s="212" t="n"/>
      <c r="FU70" s="212" t="n"/>
      <c r="FV70" s="212" t="n"/>
      <c r="FW70" s="212" t="n"/>
      <c r="FX70" s="212" t="n"/>
      <c r="FY70" s="212" t="n"/>
      <c r="FZ70" s="212" t="n"/>
    </row>
    <row r="71" ht="39.95" customFormat="1" customHeight="1" s="5">
      <c r="A71" s="182" t="inlineStr"/>
      <c r="B71" s="7" t="inlineStr">
        <is>
          <t>-9 IN</t>
        </is>
      </c>
      <c r="C71" s="11" t="inlineStr">
        <is>
          <t>C</t>
        </is>
      </c>
      <c r="D71" s="170" t="n">
        <v>0.78</v>
      </c>
      <c r="E71" s="437" t="n">
        <v>0.166</v>
      </c>
      <c r="F71" s="437" t="inlineStr">
        <is>
          <t>ND</t>
        </is>
      </c>
      <c r="G71" s="485" t="inlineStr">
        <is>
          <t>ND</t>
        </is>
      </c>
      <c r="H71" s="489" t="n">
        <v>9.619999999999999</v>
      </c>
      <c r="I71" s="443" t="inlineStr">
        <is>
          <t>ND</t>
        </is>
      </c>
      <c r="J71" s="437" t="inlineStr">
        <is>
          <t>ND</t>
        </is>
      </c>
      <c r="K71" s="437" t="inlineStr">
        <is>
          <t>ND</t>
        </is>
      </c>
      <c r="L71" s="485" t="inlineStr">
        <is>
          <t>ND</t>
        </is>
      </c>
      <c r="M71" s="488" t="inlineStr">
        <is>
          <t>ND</t>
        </is>
      </c>
      <c r="N71" s="443" t="inlineStr">
        <is>
          <t>ND</t>
        </is>
      </c>
      <c r="O71" s="437" t="inlineStr">
        <is>
          <t>ND</t>
        </is>
      </c>
      <c r="P71" s="485" t="inlineStr">
        <is>
          <t>ND</t>
        </is>
      </c>
      <c r="Q71" s="437" t="inlineStr">
        <is>
          <t>ND</t>
        </is>
      </c>
      <c r="R71" s="440" t="inlineStr">
        <is>
          <t>ND</t>
        </is>
      </c>
      <c r="S71" s="443" t="inlineStr">
        <is>
          <t>ND</t>
        </is>
      </c>
      <c r="T71" s="485" t="inlineStr">
        <is>
          <t>ND</t>
        </is>
      </c>
      <c r="U71" s="502" t="inlineStr">
        <is>
          <t>ND</t>
        </is>
      </c>
      <c r="V71" s="122" t="n">
        <v>0.868</v>
      </c>
      <c r="W71" s="488" t="n">
        <v>1.75</v>
      </c>
      <c r="X71" s="487" t="n">
        <v>3.05</v>
      </c>
      <c r="Y71" s="486" t="n">
        <v>3.52</v>
      </c>
      <c r="Z71" s="437" t="inlineStr">
        <is>
          <t>ND</t>
        </is>
      </c>
      <c r="AA71" s="122" t="n">
        <v>0.174</v>
      </c>
      <c r="AB71" s="440" t="inlineStr">
        <is>
          <t>ND</t>
        </is>
      </c>
      <c r="AC71" s="132" t="n">
        <v>0.52</v>
      </c>
      <c r="AD71" s="485" t="inlineStr">
        <is>
          <t>ND</t>
        </is>
      </c>
      <c r="AE71" s="485" t="inlineStr">
        <is>
          <t>ND</t>
        </is>
      </c>
      <c r="AF71" s="485" t="inlineStr">
        <is>
          <t>ND</t>
        </is>
      </c>
      <c r="AG71" s="488" t="inlineStr">
        <is>
          <t>ND</t>
        </is>
      </c>
      <c r="AH71" s="132" t="n">
        <v>0.6860000000000001</v>
      </c>
      <c r="AI71" s="485" t="n">
        <v>2.73</v>
      </c>
      <c r="AJ71" s="122" t="n">
        <v>0.075</v>
      </c>
      <c r="AK71" s="554" t="n">
        <v>10.5</v>
      </c>
      <c r="AL71" s="488" t="inlineStr">
        <is>
          <t>ND</t>
        </is>
      </c>
      <c r="AM71" s="490" t="inlineStr">
        <is>
          <t>ND</t>
        </is>
      </c>
      <c r="AN71" s="485" t="inlineStr">
        <is>
          <t>ND</t>
        </is>
      </c>
      <c r="AO71" s="485" t="n">
        <v>4.85</v>
      </c>
      <c r="AP71" s="485" t="inlineStr">
        <is>
          <t>ND</t>
        </is>
      </c>
      <c r="AQ71" s="488" t="n">
        <v>3.48</v>
      </c>
      <c r="AR71" s="522" t="inlineStr">
        <is>
          <t>ND</t>
        </is>
      </c>
      <c r="AS71" s="486" t="n">
        <v>2.18</v>
      </c>
      <c r="AT71" s="502" t="n">
        <v>2.2</v>
      </c>
      <c r="AU71" s="485" t="n">
        <v>3.75</v>
      </c>
      <c r="AV71" s="488" t="inlineStr">
        <is>
          <t>ND</t>
        </is>
      </c>
      <c r="AW71" s="490" t="n">
        <v>1.94</v>
      </c>
      <c r="AX71" s="122" t="n">
        <v>0.08</v>
      </c>
      <c r="AY71" s="122" t="n">
        <v>0.804</v>
      </c>
      <c r="AZ71" s="437" t="n">
        <v>0.484</v>
      </c>
      <c r="BA71" s="488" t="n">
        <v>1.38</v>
      </c>
      <c r="BB71" s="490" t="inlineStr">
        <is>
          <t>ND</t>
        </is>
      </c>
      <c r="BC71" s="437" t="inlineStr">
        <is>
          <t>ND</t>
        </is>
      </c>
      <c r="BD71" s="122" t="n">
        <v>0.119</v>
      </c>
      <c r="BE71" s="485" t="n">
        <v>4.73</v>
      </c>
      <c r="BF71" s="488" t="n">
        <v>2.71</v>
      </c>
      <c r="BG71" s="522" t="n">
        <v>3.2</v>
      </c>
      <c r="BH71" s="485" t="n">
        <v>5.71</v>
      </c>
      <c r="BI71" s="437" t="inlineStr">
        <is>
          <t>ND</t>
        </is>
      </c>
      <c r="BJ71" s="437" t="n">
        <v>0.9379999999999999</v>
      </c>
      <c r="BK71" s="440" t="inlineStr">
        <is>
          <t>ND</t>
        </is>
      </c>
      <c r="BL71" s="490" t="inlineStr">
        <is>
          <t>ND</t>
        </is>
      </c>
      <c r="BM71" s="485" t="inlineStr">
        <is>
          <t>ND</t>
        </is>
      </c>
      <c r="BN71" s="437" t="n">
        <v>0.635</v>
      </c>
      <c r="BO71" s="437" t="inlineStr">
        <is>
          <t>ND</t>
        </is>
      </c>
      <c r="BP71" s="488" t="n">
        <v>6.41</v>
      </c>
      <c r="BQ71" s="132" t="n">
        <v>0.842</v>
      </c>
      <c r="BR71" s="485" t="inlineStr">
        <is>
          <t>ND</t>
        </is>
      </c>
      <c r="BS71" s="486" t="n">
        <v>4.45</v>
      </c>
      <c r="BT71" s="440" t="inlineStr">
        <is>
          <t>ND</t>
        </is>
      </c>
      <c r="BU71" s="455" t="n"/>
      <c r="BV71" s="455" t="n"/>
      <c r="BW71" s="238" t="n"/>
      <c r="BX71" s="238" t="n"/>
      <c r="BY71" s="238" t="n"/>
      <c r="BZ71" s="238" t="n"/>
      <c r="CA71" s="238" t="n"/>
      <c r="CB71" s="238" t="n"/>
      <c r="CC71" s="238" t="n"/>
      <c r="CD71" s="238" t="n"/>
      <c r="CE71" s="238" t="n"/>
      <c r="CF71" s="238" t="n"/>
      <c r="CG71" s="238" t="n"/>
      <c r="CH71" s="238" t="n"/>
      <c r="CI71" s="238" t="n"/>
      <c r="CJ71" s="238" t="n"/>
      <c r="CK71" s="238" t="n"/>
      <c r="CL71" s="238" t="n"/>
      <c r="CM71" s="238" t="n"/>
      <c r="CN71" s="238" t="n"/>
      <c r="CO71" s="238" t="n"/>
      <c r="CP71" s="238" t="n"/>
      <c r="CQ71" s="238" t="n"/>
      <c r="CR71" s="238" t="n"/>
      <c r="CS71" s="238" t="n"/>
      <c r="CT71" s="238" t="n"/>
      <c r="CU71" s="238" t="n"/>
      <c r="CV71" s="238" t="n"/>
      <c r="CW71" s="238" t="n"/>
      <c r="CX71" s="238" t="n"/>
      <c r="CY71" s="238" t="n"/>
      <c r="CZ71" s="238" t="n"/>
      <c r="DA71" s="238" t="n"/>
      <c r="DB71" s="238" t="n"/>
      <c r="DC71" s="238" t="n"/>
      <c r="DD71" s="238" t="n"/>
      <c r="DE71" s="238" t="n"/>
      <c r="DF71" s="238" t="n"/>
      <c r="DG71" s="238" t="n"/>
      <c r="DH71" s="238" t="n"/>
      <c r="DI71" s="238" t="n"/>
      <c r="DJ71" s="238" t="n"/>
      <c r="DK71" s="238" t="n"/>
      <c r="DL71" s="238" t="n"/>
      <c r="DM71" s="238" t="n"/>
      <c r="DN71" s="238" t="n"/>
      <c r="DO71" s="238" t="n"/>
      <c r="DP71" s="238" t="n"/>
      <c r="DQ71" s="238" t="n"/>
      <c r="DR71" s="238" t="n"/>
      <c r="DS71" s="238" t="n"/>
      <c r="DT71" s="238" t="n"/>
      <c r="DU71" s="238" t="n"/>
      <c r="DV71" s="238" t="n"/>
      <c r="DW71" s="238" t="n"/>
      <c r="DX71" s="238" t="n"/>
      <c r="DY71" s="238" t="n"/>
      <c r="DZ71" s="23" t="n"/>
      <c r="FQ71" s="212" t="n"/>
      <c r="FR71" s="212" t="n"/>
      <c r="FS71" s="212" t="n"/>
      <c r="FT71" s="212" t="n"/>
      <c r="FU71" s="212" t="n"/>
      <c r="FV71" s="212" t="n"/>
      <c r="FW71" s="212" t="n"/>
      <c r="FX71" s="212" t="n"/>
      <c r="FY71" s="212" t="n"/>
      <c r="FZ71" s="212" t="n"/>
    </row>
    <row r="72" ht="39.95" customFormat="1" customHeight="1" s="5">
      <c r="A72" s="456" t="n"/>
      <c r="B72" s="8" t="n"/>
      <c r="C72" s="12" t="inlineStr">
        <is>
          <t>R</t>
        </is>
      </c>
      <c r="D72" s="547" t="n">
        <v>2.91</v>
      </c>
      <c r="E72" s="438" t="n">
        <v>0.731</v>
      </c>
      <c r="F72" s="438" t="inlineStr">
        <is>
          <t>ND</t>
        </is>
      </c>
      <c r="G72" s="492" t="n">
        <v>2.8</v>
      </c>
      <c r="H72" s="498" t="n">
        <v>9.49</v>
      </c>
      <c r="I72" s="444" t="inlineStr">
        <is>
          <t>ND</t>
        </is>
      </c>
      <c r="J72" s="438" t="inlineStr">
        <is>
          <t>ND</t>
        </is>
      </c>
      <c r="K72" s="438" t="inlineStr">
        <is>
          <t>ND</t>
        </is>
      </c>
      <c r="L72" s="438" t="n">
        <v>0.5679999999999999</v>
      </c>
      <c r="M72" s="495" t="inlineStr">
        <is>
          <t>ND</t>
        </is>
      </c>
      <c r="N72" s="496" t="n">
        <v>1.58</v>
      </c>
      <c r="O72" s="494" t="inlineStr">
        <is>
          <t>ND</t>
        </is>
      </c>
      <c r="P72" s="125" t="n">
        <v>0.498</v>
      </c>
      <c r="Q72" s="438" t="inlineStr">
        <is>
          <t>ND</t>
        </is>
      </c>
      <c r="R72" s="495" t="inlineStr">
        <is>
          <t>ND</t>
        </is>
      </c>
      <c r="S72" s="553" t="inlineStr">
        <is>
          <t>ND</t>
        </is>
      </c>
      <c r="T72" s="438" t="inlineStr">
        <is>
          <t>ND</t>
        </is>
      </c>
      <c r="U72" s="494" t="inlineStr">
        <is>
          <t>ND</t>
        </is>
      </c>
      <c r="V72" s="494" t="n">
        <v>1.54</v>
      </c>
      <c r="W72" s="151" t="n">
        <v>0.608</v>
      </c>
      <c r="X72" s="505" t="n">
        <v>4.39</v>
      </c>
      <c r="Y72" s="438" t="inlineStr">
        <is>
          <t>ND</t>
        </is>
      </c>
      <c r="Z72" s="494" t="inlineStr">
        <is>
          <t>ND</t>
        </is>
      </c>
      <c r="AA72" s="494" t="inlineStr">
        <is>
          <t>ND</t>
        </is>
      </c>
      <c r="AB72" s="495" t="inlineStr">
        <is>
          <t>ND</t>
        </is>
      </c>
      <c r="AC72" s="496" t="inlineStr">
        <is>
          <t>ND</t>
        </is>
      </c>
      <c r="AD72" s="125" t="n">
        <v>0.332</v>
      </c>
      <c r="AE72" s="492" t="inlineStr">
        <is>
          <t>ND</t>
        </is>
      </c>
      <c r="AF72" s="494" t="n">
        <v>1.43</v>
      </c>
      <c r="AG72" s="495" t="inlineStr">
        <is>
          <t>ND</t>
        </is>
      </c>
      <c r="AH72" s="496" t="n">
        <v>1.33</v>
      </c>
      <c r="AI72" s="494" t="inlineStr">
        <is>
          <t>ND</t>
        </is>
      </c>
      <c r="AJ72" s="438" t="inlineStr">
        <is>
          <t>ND</t>
        </is>
      </c>
      <c r="AK72" s="438" t="inlineStr">
        <is>
          <t>ND</t>
        </is>
      </c>
      <c r="AL72" s="495" t="inlineStr">
        <is>
          <t>ND</t>
        </is>
      </c>
      <c r="AM72" s="496" t="inlineStr">
        <is>
          <t>ND</t>
        </is>
      </c>
      <c r="AN72" s="494" t="n">
        <v>2.41</v>
      </c>
      <c r="AO72" s="492" t="inlineStr">
        <is>
          <t>ND</t>
        </is>
      </c>
      <c r="AP72" s="494" t="n">
        <v>2.56</v>
      </c>
      <c r="AQ72" s="495" t="inlineStr">
        <is>
          <t>ND</t>
        </is>
      </c>
      <c r="AR72" s="496" t="inlineStr">
        <is>
          <t>ND</t>
        </is>
      </c>
      <c r="AS72" s="494" t="inlineStr">
        <is>
          <t>ND</t>
        </is>
      </c>
      <c r="AT72" s="494" t="inlineStr">
        <is>
          <t>ND</t>
        </is>
      </c>
      <c r="AU72" s="125" t="n">
        <v>0.86</v>
      </c>
      <c r="AV72" s="151" t="n">
        <v>0.284</v>
      </c>
      <c r="AW72" s="496" t="n">
        <v>1.08</v>
      </c>
      <c r="AX72" s="492" t="n">
        <v>1.1</v>
      </c>
      <c r="AY72" s="494" t="inlineStr">
        <is>
          <t>ND</t>
        </is>
      </c>
      <c r="AZ72" s="438" t="inlineStr">
        <is>
          <t>ND</t>
        </is>
      </c>
      <c r="BA72" s="495" t="inlineStr">
        <is>
          <t>ND</t>
        </is>
      </c>
      <c r="BB72" s="148" t="n">
        <v>0.134</v>
      </c>
      <c r="BC72" s="438" t="inlineStr">
        <is>
          <t>ND</t>
        </is>
      </c>
      <c r="BD72" s="125" t="n">
        <v>0.306</v>
      </c>
      <c r="BE72" s="492" t="n">
        <v>6.4</v>
      </c>
      <c r="BF72" s="495" t="n">
        <v>1.59</v>
      </c>
      <c r="BG72" s="524" t="n">
        <v>1.4</v>
      </c>
      <c r="BH72" s="494" t="n">
        <v>5.42</v>
      </c>
      <c r="BI72" s="494" t="inlineStr">
        <is>
          <t>ND</t>
        </is>
      </c>
      <c r="BJ72" s="438" t="inlineStr">
        <is>
          <t>ND</t>
        </is>
      </c>
      <c r="BK72" s="528" t="inlineStr">
        <is>
          <t>ND</t>
        </is>
      </c>
      <c r="BL72" s="496" t="inlineStr">
        <is>
          <t>ND</t>
        </is>
      </c>
      <c r="BM72" s="494" t="inlineStr">
        <is>
          <t>ND</t>
        </is>
      </c>
      <c r="BN72" s="438" t="inlineStr">
        <is>
          <t>ND</t>
        </is>
      </c>
      <c r="BO72" s="494" t="n">
        <v>5.86</v>
      </c>
      <c r="BP72" s="528" t="inlineStr">
        <is>
          <t>ND</t>
        </is>
      </c>
      <c r="BQ72" s="444" t="n">
        <v>0.47</v>
      </c>
      <c r="BR72" s="438" t="inlineStr">
        <is>
          <t>ND</t>
        </is>
      </c>
      <c r="BS72" s="493" t="n">
        <v>10.2</v>
      </c>
      <c r="BT72" s="441" t="inlineStr">
        <is>
          <t>ND</t>
        </is>
      </c>
      <c r="BU72" s="457" t="n"/>
      <c r="BV72" s="457" t="n"/>
      <c r="BW72" s="238" t="n"/>
      <c r="BX72" s="238" t="n"/>
      <c r="BY72" s="238" t="n"/>
      <c r="BZ72" s="238" t="n"/>
      <c r="CA72" s="238" t="n"/>
      <c r="CB72" s="238" t="n"/>
      <c r="CC72" s="238" t="n"/>
      <c r="CD72" s="238" t="n"/>
      <c r="CE72" s="238" t="n"/>
      <c r="CF72" s="238" t="n"/>
      <c r="CG72" s="238" t="n"/>
      <c r="CH72" s="238" t="n"/>
      <c r="CI72" s="238" t="n"/>
      <c r="CJ72" s="238" t="n"/>
      <c r="CK72" s="238" t="n"/>
      <c r="CL72" s="238" t="n"/>
      <c r="CM72" s="238" t="n"/>
      <c r="CN72" s="238" t="n"/>
      <c r="CO72" s="238" t="n"/>
      <c r="CP72" s="238" t="n"/>
      <c r="CQ72" s="238" t="n"/>
      <c r="CR72" s="238" t="n"/>
      <c r="CS72" s="238" t="n"/>
      <c r="CT72" s="238" t="n"/>
      <c r="CU72" s="238" t="n"/>
      <c r="CV72" s="238" t="n"/>
      <c r="CW72" s="238" t="n"/>
      <c r="CX72" s="238" t="n"/>
      <c r="CY72" s="238" t="n"/>
      <c r="CZ72" s="238" t="n"/>
      <c r="DA72" s="238" t="n"/>
      <c r="DB72" s="238" t="n"/>
      <c r="DC72" s="238" t="n"/>
      <c r="DD72" s="238" t="n"/>
      <c r="DE72" s="238" t="n"/>
      <c r="DF72" s="238" t="n"/>
      <c r="DG72" s="238" t="n"/>
      <c r="DH72" s="238" t="n"/>
      <c r="DI72" s="238" t="n"/>
      <c r="DJ72" s="238" t="n"/>
      <c r="DK72" s="238" t="n"/>
      <c r="DL72" s="238" t="n"/>
      <c r="DM72" s="238" t="n"/>
      <c r="DN72" s="238" t="n"/>
      <c r="DO72" s="238" t="n"/>
      <c r="DP72" s="238" t="n"/>
      <c r="DQ72" s="238" t="n"/>
      <c r="DR72" s="238" t="n"/>
      <c r="DS72" s="238" t="n"/>
      <c r="DT72" s="238" t="n"/>
      <c r="DU72" s="238" t="n"/>
      <c r="DV72" s="238" t="n"/>
      <c r="DW72" s="238" t="n"/>
      <c r="DX72" s="238" t="n"/>
      <c r="DY72" s="238" t="n"/>
      <c r="DZ72" s="23" t="n"/>
      <c r="FQ72" s="212" t="n"/>
      <c r="FR72" s="212" t="n"/>
      <c r="FS72" s="212" t="n"/>
      <c r="FT72" s="212" t="n"/>
      <c r="FU72" s="212" t="n"/>
      <c r="FV72" s="212" t="n"/>
      <c r="FW72" s="212" t="n"/>
      <c r="FX72" s="212" t="n"/>
      <c r="FY72" s="212" t="n"/>
      <c r="FZ72" s="212" t="n"/>
    </row>
    <row r="73" ht="39.95" customFormat="1" customHeight="1" s="5">
      <c r="A73" s="10" t="inlineStr">
        <is>
          <t>A</t>
        </is>
      </c>
      <c r="B73" s="6" t="inlineStr">
        <is>
          <t>POSITION 'C'</t>
        </is>
      </c>
      <c r="C73" s="11" t="inlineStr">
        <is>
          <t>L</t>
        </is>
      </c>
      <c r="D73" s="433" t="inlineStr">
        <is>
          <t>ND</t>
        </is>
      </c>
      <c r="E73" s="436" t="inlineStr">
        <is>
          <t>ND</t>
        </is>
      </c>
      <c r="F73" s="436" t="inlineStr">
        <is>
          <t>ND</t>
        </is>
      </c>
      <c r="G73" s="436" t="inlineStr">
        <is>
          <t>ND</t>
        </is>
      </c>
      <c r="H73" s="476" t="n">
        <v>6.11</v>
      </c>
      <c r="I73" s="477" t="n">
        <v>5.18</v>
      </c>
      <c r="J73" s="478" t="n">
        <v>1.53</v>
      </c>
      <c r="K73" s="436" t="inlineStr">
        <is>
          <t>ND</t>
        </is>
      </c>
      <c r="L73" s="436" t="inlineStr">
        <is>
          <t>ND</t>
        </is>
      </c>
      <c r="M73" s="439" t="inlineStr">
        <is>
          <t>ND</t>
        </is>
      </c>
      <c r="N73" s="477" t="n">
        <v>2.11</v>
      </c>
      <c r="O73" s="436" t="n">
        <v>0.202</v>
      </c>
      <c r="P73" s="436" t="inlineStr">
        <is>
          <t>ND</t>
        </is>
      </c>
      <c r="Q73" s="436" t="inlineStr">
        <is>
          <t>ND</t>
        </is>
      </c>
      <c r="R73" s="113" t="n">
        <v>0.755</v>
      </c>
      <c r="S73" s="115" t="n">
        <v>0.719</v>
      </c>
      <c r="T73" s="436" t="inlineStr">
        <is>
          <t>ND</t>
        </is>
      </c>
      <c r="U73" s="436" t="inlineStr">
        <is>
          <t>ND</t>
        </is>
      </c>
      <c r="V73" s="436" t="inlineStr">
        <is>
          <t>ND</t>
        </is>
      </c>
      <c r="W73" s="113" t="n">
        <v>0.596</v>
      </c>
      <c r="X73" s="477" t="n">
        <v>8.19</v>
      </c>
      <c r="Y73" s="478" t="n">
        <v>6.17</v>
      </c>
      <c r="Z73" s="112" t="n">
        <v>0.905</v>
      </c>
      <c r="AA73" s="478" t="n">
        <v>1.37</v>
      </c>
      <c r="AB73" s="439" t="inlineStr">
        <is>
          <t>ND</t>
        </is>
      </c>
      <c r="AC73" s="442" t="inlineStr">
        <is>
          <t>ND</t>
        </is>
      </c>
      <c r="AD73" s="436" t="inlineStr">
        <is>
          <t>ND</t>
        </is>
      </c>
      <c r="AE73" s="436" t="inlineStr">
        <is>
          <t>ND</t>
        </is>
      </c>
      <c r="AF73" s="436" t="inlineStr">
        <is>
          <t>ND</t>
        </is>
      </c>
      <c r="AG73" s="439" t="inlineStr">
        <is>
          <t>ND</t>
        </is>
      </c>
      <c r="AH73" s="442" t="inlineStr">
        <is>
          <t>ND</t>
        </is>
      </c>
      <c r="AI73" s="478" t="n">
        <v>1.48</v>
      </c>
      <c r="AJ73" s="436" t="inlineStr">
        <is>
          <t>ND</t>
        </is>
      </c>
      <c r="AK73" s="475" t="n">
        <v>1.87</v>
      </c>
      <c r="AL73" s="476" t="inlineStr">
        <is>
          <t>ND</t>
        </is>
      </c>
      <c r="AM73" s="442" t="inlineStr">
        <is>
          <t>ND</t>
        </is>
      </c>
      <c r="AN73" s="112" t="n">
        <v>0.07099999999999999</v>
      </c>
      <c r="AO73" s="478" t="inlineStr">
        <is>
          <t>ND</t>
        </is>
      </c>
      <c r="AP73" s="475" t="n">
        <v>5.57</v>
      </c>
      <c r="AQ73" s="480" t="n">
        <v>2.76</v>
      </c>
      <c r="AR73" s="477" t="n">
        <v>2.47</v>
      </c>
      <c r="AS73" s="478" t="inlineStr">
        <is>
          <t>ND</t>
        </is>
      </c>
      <c r="AT73" s="436" t="inlineStr">
        <is>
          <t>ND</t>
        </is>
      </c>
      <c r="AU73" s="436" t="inlineStr">
        <is>
          <t>ND</t>
        </is>
      </c>
      <c r="AV73" s="113" t="n">
        <v>0.027</v>
      </c>
      <c r="AW73" s="477" t="n">
        <v>3.77</v>
      </c>
      <c r="AX73" s="478" t="n">
        <v>1.62</v>
      </c>
      <c r="AY73" s="478" t="n">
        <v>3.76</v>
      </c>
      <c r="AZ73" s="478" t="n">
        <v>6.19</v>
      </c>
      <c r="BA73" s="113" t="n">
        <v>0.215</v>
      </c>
      <c r="BB73" s="442" t="inlineStr">
        <is>
          <t>ND</t>
        </is>
      </c>
      <c r="BC73" s="436" t="inlineStr">
        <is>
          <t>ND</t>
        </is>
      </c>
      <c r="BD73" s="436" t="inlineStr">
        <is>
          <t>ND</t>
        </is>
      </c>
      <c r="BE73" s="436" t="inlineStr">
        <is>
          <t>ND</t>
        </is>
      </c>
      <c r="BF73" s="555" t="inlineStr">
        <is>
          <t>ND</t>
        </is>
      </c>
      <c r="BG73" s="483" t="n">
        <v>5.94</v>
      </c>
      <c r="BH73" s="475" t="n">
        <v>2.29</v>
      </c>
      <c r="BI73" s="479" t="n">
        <v>1.1</v>
      </c>
      <c r="BJ73" s="478" t="n">
        <v>2.15</v>
      </c>
      <c r="BK73" s="439" t="inlineStr">
        <is>
          <t>ND</t>
        </is>
      </c>
      <c r="BL73" s="442" t="inlineStr">
        <is>
          <t>ND</t>
        </is>
      </c>
      <c r="BM73" s="436" t="inlineStr">
        <is>
          <t>ND</t>
        </is>
      </c>
      <c r="BN73" s="436" t="inlineStr">
        <is>
          <t>ND</t>
        </is>
      </c>
      <c r="BO73" s="436" t="inlineStr">
        <is>
          <t>ND</t>
        </is>
      </c>
      <c r="BP73" s="439" t="inlineStr">
        <is>
          <t>ND</t>
        </is>
      </c>
      <c r="BQ73" s="442" t="inlineStr">
        <is>
          <t>ND</t>
        </is>
      </c>
      <c r="BR73" s="436" t="inlineStr">
        <is>
          <t>ND</t>
        </is>
      </c>
      <c r="BS73" s="436" t="inlineStr">
        <is>
          <t>ND</t>
        </is>
      </c>
      <c r="BT73" s="439" t="inlineStr">
        <is>
          <t>ND</t>
        </is>
      </c>
      <c r="BU73" s="454">
        <f>IFERROR(AVERAGE(D73:BT75),0)</f>
        <v/>
      </c>
      <c r="BV73" s="454">
        <f>MAX(D73:BT75)</f>
        <v/>
      </c>
      <c r="BW73" s="238" t="n"/>
      <c r="BX73" s="238" t="n"/>
      <c r="BY73" s="238" t="n"/>
      <c r="BZ73" s="238" t="n"/>
      <c r="CA73" s="238" t="n"/>
      <c r="CB73" s="238" t="n"/>
      <c r="CC73" s="238" t="n"/>
      <c r="CD73" s="238" t="n"/>
      <c r="CE73" s="238" t="n"/>
      <c r="CF73" s="238" t="n"/>
      <c r="CG73" s="238" t="n"/>
      <c r="CH73" s="238" t="n"/>
      <c r="CI73" s="238" t="n"/>
      <c r="CJ73" s="238" t="n"/>
      <c r="CK73" s="238" t="n"/>
      <c r="CL73" s="238" t="n"/>
      <c r="CM73" s="238" t="n"/>
      <c r="CN73" s="238" t="n"/>
      <c r="CO73" s="238" t="n"/>
      <c r="CP73" s="238" t="n"/>
      <c r="CQ73" s="238" t="n"/>
      <c r="CR73" s="238" t="n"/>
      <c r="CS73" s="238" t="n"/>
      <c r="CT73" s="238" t="n"/>
      <c r="CU73" s="238" t="n"/>
      <c r="CV73" s="238" t="n"/>
      <c r="CW73" s="238" t="n"/>
      <c r="CX73" s="238" t="n"/>
      <c r="CY73" s="238" t="n"/>
      <c r="CZ73" s="238" t="n"/>
      <c r="DA73" s="238" t="n"/>
      <c r="DB73" s="238" t="n"/>
      <c r="DC73" s="238" t="n"/>
      <c r="DD73" s="238" t="n"/>
      <c r="DE73" s="238" t="n"/>
      <c r="DF73" s="238" t="n"/>
      <c r="DG73" s="238" t="n"/>
      <c r="DH73" s="238" t="n"/>
      <c r="DI73" s="238" t="n"/>
      <c r="DJ73" s="238" t="n"/>
      <c r="DK73" s="238" t="n"/>
      <c r="DL73" s="238" t="n"/>
      <c r="DM73" s="238" t="n"/>
      <c r="DN73" s="238" t="n"/>
      <c r="DO73" s="238" t="n"/>
      <c r="DP73" s="238" t="n"/>
      <c r="DQ73" s="238" t="n"/>
      <c r="DR73" s="238" t="n"/>
      <c r="DS73" s="238" t="n"/>
      <c r="DT73" s="238" t="n"/>
      <c r="DU73" s="238" t="n"/>
      <c r="DV73" s="238" t="n"/>
      <c r="DW73" s="238" t="n"/>
      <c r="DX73" s="238" t="n"/>
      <c r="DY73" s="238" t="n"/>
      <c r="DZ73" s="23" t="n"/>
      <c r="FQ73" s="212" t="n"/>
      <c r="FR73" s="212" t="n"/>
      <c r="FS73" s="212" t="n"/>
      <c r="FT73" s="212" t="n"/>
      <c r="FU73" s="212" t="n"/>
      <c r="FV73" s="212" t="n"/>
      <c r="FW73" s="212" t="n"/>
      <c r="FX73" s="212" t="n"/>
      <c r="FY73" s="212" t="n"/>
      <c r="FZ73" s="212" t="n"/>
    </row>
    <row r="74" ht="39.95" customFormat="1" customHeight="1" s="5">
      <c r="A74" s="182" t="inlineStr"/>
      <c r="B74" s="7" t="inlineStr">
        <is>
          <t xml:space="preserve">OF THE </t>
        </is>
      </c>
      <c r="C74" s="11" t="inlineStr">
        <is>
          <t>C</t>
        </is>
      </c>
      <c r="D74" s="434" t="inlineStr">
        <is>
          <t>ND</t>
        </is>
      </c>
      <c r="E74" s="485" t="n">
        <v>4.05</v>
      </c>
      <c r="F74" s="437" t="inlineStr">
        <is>
          <t>ND</t>
        </is>
      </c>
      <c r="G74" s="486" t="n">
        <v>1.28</v>
      </c>
      <c r="H74" s="488" t="n">
        <v>8.630000000000001</v>
      </c>
      <c r="I74" s="487" t="n">
        <v>5.07</v>
      </c>
      <c r="J74" s="485" t="n">
        <v>5.03</v>
      </c>
      <c r="K74" s="437" t="inlineStr">
        <is>
          <t>ND</t>
        </is>
      </c>
      <c r="L74" s="437" t="inlineStr">
        <is>
          <t>ND</t>
        </is>
      </c>
      <c r="M74" s="440" t="inlineStr">
        <is>
          <t>ND</t>
        </is>
      </c>
      <c r="N74" s="490" t="n">
        <v>1.78</v>
      </c>
      <c r="O74" s="486" t="n">
        <v>2.23</v>
      </c>
      <c r="P74" s="485" t="n">
        <v>2.89</v>
      </c>
      <c r="Q74" s="502" t="n">
        <v>4.1</v>
      </c>
      <c r="R74" s="488" t="n">
        <v>1.07</v>
      </c>
      <c r="S74" s="132" t="n">
        <v>0.313</v>
      </c>
      <c r="T74" s="437" t="inlineStr">
        <is>
          <t>ND</t>
        </is>
      </c>
      <c r="U74" s="437" t="inlineStr">
        <is>
          <t>ND</t>
        </is>
      </c>
      <c r="V74" s="122" t="n">
        <v>0.152</v>
      </c>
      <c r="W74" s="488" t="n">
        <v>3.68</v>
      </c>
      <c r="X74" s="487" t="n">
        <v>5.44</v>
      </c>
      <c r="Y74" s="486" t="n">
        <v>5.39</v>
      </c>
      <c r="Z74" s="485" t="inlineStr">
        <is>
          <t>ND</t>
        </is>
      </c>
      <c r="AA74" s="485" t="n">
        <v>1.75</v>
      </c>
      <c r="AB74" s="440" t="inlineStr">
        <is>
          <t>ND</t>
        </is>
      </c>
      <c r="AC74" s="443" t="inlineStr">
        <is>
          <t>ND</t>
        </is>
      </c>
      <c r="AD74" s="437" t="inlineStr">
        <is>
          <t>ND</t>
        </is>
      </c>
      <c r="AE74" s="437" t="inlineStr">
        <is>
          <t>ND</t>
        </is>
      </c>
      <c r="AF74" s="437" t="inlineStr">
        <is>
          <t>ND</t>
        </is>
      </c>
      <c r="AG74" s="440" t="inlineStr">
        <is>
          <t>ND</t>
        </is>
      </c>
      <c r="AH74" s="443" t="inlineStr">
        <is>
          <t>ND</t>
        </is>
      </c>
      <c r="AI74" s="502" t="inlineStr">
        <is>
          <t>ND</t>
        </is>
      </c>
      <c r="AJ74" s="485" t="n">
        <v>5.63</v>
      </c>
      <c r="AK74" s="485" t="n">
        <v>2.49</v>
      </c>
      <c r="AL74" s="488" t="inlineStr">
        <is>
          <t>ND</t>
        </is>
      </c>
      <c r="AM74" s="443" t="inlineStr">
        <is>
          <t>ND</t>
        </is>
      </c>
      <c r="AN74" s="485" t="inlineStr">
        <is>
          <t>ND</t>
        </is>
      </c>
      <c r="AO74" s="485" t="n">
        <v>1.38</v>
      </c>
      <c r="AP74" s="485" t="n">
        <v>3.75</v>
      </c>
      <c r="AQ74" s="512" t="n">
        <v>10.4</v>
      </c>
      <c r="AR74" s="490" t="n">
        <v>3.06</v>
      </c>
      <c r="AS74" s="485" t="n">
        <v>1.77</v>
      </c>
      <c r="AT74" s="437" t="inlineStr">
        <is>
          <t>ND</t>
        </is>
      </c>
      <c r="AU74" s="437" t="inlineStr">
        <is>
          <t>ND</t>
        </is>
      </c>
      <c r="AV74" s="504" t="n">
        <v>4.7</v>
      </c>
      <c r="AW74" s="490" t="n">
        <v>3.33</v>
      </c>
      <c r="AX74" s="485" t="n">
        <v>7.05</v>
      </c>
      <c r="AY74" s="502" t="n">
        <v>3.5</v>
      </c>
      <c r="AZ74" s="485" t="n">
        <v>3.76</v>
      </c>
      <c r="BA74" s="504" t="n">
        <v>1.5</v>
      </c>
      <c r="BB74" s="443" t="inlineStr">
        <is>
          <t>ND</t>
        </is>
      </c>
      <c r="BC74" s="437" t="inlineStr">
        <is>
          <t>ND</t>
        </is>
      </c>
      <c r="BD74" s="437" t="inlineStr">
        <is>
          <t>ND</t>
        </is>
      </c>
      <c r="BE74" s="485" t="inlineStr">
        <is>
          <t>ND</t>
        </is>
      </c>
      <c r="BF74" s="488" t="inlineStr">
        <is>
          <t>ND</t>
        </is>
      </c>
      <c r="BG74" s="490" t="n">
        <v>4.12</v>
      </c>
      <c r="BH74" s="485" t="n">
        <v>7.76</v>
      </c>
      <c r="BI74" s="485" t="n">
        <v>4.05</v>
      </c>
      <c r="BJ74" s="485" t="n">
        <v>4.47</v>
      </c>
      <c r="BK74" s="440" t="inlineStr">
        <is>
          <t>ND</t>
        </is>
      </c>
      <c r="BL74" s="443" t="inlineStr">
        <is>
          <t>ND</t>
        </is>
      </c>
      <c r="BM74" s="437" t="inlineStr">
        <is>
          <t>ND</t>
        </is>
      </c>
      <c r="BN74" s="437" t="inlineStr">
        <is>
          <t>ND</t>
        </is>
      </c>
      <c r="BO74" s="437" t="inlineStr">
        <is>
          <t>ND</t>
        </is>
      </c>
      <c r="BP74" s="440" t="inlineStr">
        <is>
          <t>ND</t>
        </is>
      </c>
      <c r="BQ74" s="443" t="inlineStr">
        <is>
          <t>ND</t>
        </is>
      </c>
      <c r="BR74" s="437" t="inlineStr">
        <is>
          <t>ND</t>
        </is>
      </c>
      <c r="BS74" s="437" t="inlineStr">
        <is>
          <t>ND</t>
        </is>
      </c>
      <c r="BT74" s="440" t="inlineStr">
        <is>
          <t>ND</t>
        </is>
      </c>
      <c r="BU74" s="455" t="n"/>
      <c r="BV74" s="455" t="n"/>
      <c r="BW74" s="238" t="n"/>
      <c r="BX74" s="238" t="n"/>
      <c r="BY74" s="238" t="n"/>
      <c r="BZ74" s="238" t="n"/>
      <c r="CA74" s="238" t="n"/>
      <c r="CB74" s="238" t="n"/>
      <c r="CC74" s="238" t="n"/>
      <c r="CD74" s="238" t="n"/>
      <c r="CE74" s="238" t="n"/>
      <c r="CF74" s="238" t="n"/>
      <c r="CG74" s="238" t="n"/>
      <c r="CH74" s="238" t="n"/>
      <c r="CI74" s="238" t="n"/>
      <c r="CJ74" s="238" t="n"/>
      <c r="CK74" s="238" t="n"/>
      <c r="CL74" s="238" t="n"/>
      <c r="CM74" s="238" t="n"/>
      <c r="CN74" s="238" t="n"/>
      <c r="CO74" s="238" t="n"/>
      <c r="CP74" s="238" t="n"/>
      <c r="CQ74" s="238" t="n"/>
      <c r="CR74" s="238" t="n"/>
      <c r="CS74" s="238" t="n"/>
      <c r="CT74" s="238" t="n"/>
      <c r="CU74" s="238" t="n"/>
      <c r="CV74" s="238" t="n"/>
      <c r="CW74" s="238" t="n"/>
      <c r="CX74" s="238" t="n"/>
      <c r="CY74" s="238" t="n"/>
      <c r="CZ74" s="238" t="n"/>
      <c r="DA74" s="238" t="n"/>
      <c r="DB74" s="238" t="n"/>
      <c r="DC74" s="238" t="n"/>
      <c r="DD74" s="238" t="n"/>
      <c r="DE74" s="238" t="n"/>
      <c r="DF74" s="238" t="n"/>
      <c r="DG74" s="238" t="n"/>
      <c r="DH74" s="238" t="n"/>
      <c r="DI74" s="238" t="n"/>
      <c r="DJ74" s="238" t="n"/>
      <c r="DK74" s="238" t="n"/>
      <c r="DL74" s="238" t="n"/>
      <c r="DM74" s="238" t="n"/>
      <c r="DN74" s="238" t="n"/>
      <c r="DO74" s="238" t="n"/>
      <c r="DP74" s="238" t="n"/>
      <c r="DQ74" s="238" t="n"/>
      <c r="DR74" s="238" t="n"/>
      <c r="DS74" s="238" t="n"/>
      <c r="DT74" s="238" t="n"/>
      <c r="DU74" s="238" t="n"/>
      <c r="DV74" s="238" t="n"/>
      <c r="DW74" s="238" t="n"/>
      <c r="DX74" s="238" t="n"/>
      <c r="DY74" s="238" t="n"/>
      <c r="DZ74" s="23" t="n"/>
      <c r="FQ74" s="212" t="n"/>
      <c r="FR74" s="212" t="n"/>
      <c r="FS74" s="212" t="n"/>
      <c r="FT74" s="212" t="n"/>
      <c r="FU74" s="212" t="n"/>
      <c r="FV74" s="212" t="n"/>
      <c r="FW74" s="212" t="n"/>
      <c r="FX74" s="212" t="n"/>
      <c r="FY74" s="212" t="n"/>
      <c r="FZ74" s="212" t="n"/>
    </row>
    <row r="75" ht="39.95" customFormat="1" customHeight="1" s="5">
      <c r="A75" s="456" t="n"/>
      <c r="B75" s="8" t="inlineStr">
        <is>
          <t>SECONDARIES</t>
        </is>
      </c>
      <c r="C75" s="12" t="inlineStr">
        <is>
          <t>R</t>
        </is>
      </c>
      <c r="D75" s="435" t="inlineStr">
        <is>
          <t>ND</t>
        </is>
      </c>
      <c r="E75" s="497" t="n">
        <v>2.52</v>
      </c>
      <c r="F75" s="494" t="inlineStr">
        <is>
          <t>ND</t>
        </is>
      </c>
      <c r="G75" s="438" t="n">
        <v>0.538</v>
      </c>
      <c r="H75" s="498" t="n">
        <v>5.47</v>
      </c>
      <c r="I75" s="496" t="n">
        <v>8.210000000000001</v>
      </c>
      <c r="J75" s="494" t="n">
        <v>2.02</v>
      </c>
      <c r="K75" s="438" t="inlineStr">
        <is>
          <t>ND</t>
        </is>
      </c>
      <c r="L75" s="438" t="inlineStr">
        <is>
          <t>ND</t>
        </is>
      </c>
      <c r="M75" s="441" t="inlineStr">
        <is>
          <t>ND</t>
        </is>
      </c>
      <c r="N75" s="496" t="inlineStr">
        <is>
          <t>ND</t>
        </is>
      </c>
      <c r="O75" s="497" t="n">
        <v>2.34</v>
      </c>
      <c r="P75" s="494" t="n">
        <v>4.22</v>
      </c>
      <c r="Q75" s="494" t="n">
        <v>6.53</v>
      </c>
      <c r="R75" s="151" t="n">
        <v>0.844</v>
      </c>
      <c r="S75" s="148" t="n">
        <v>0.292</v>
      </c>
      <c r="T75" s="438" t="inlineStr">
        <is>
          <t>ND</t>
        </is>
      </c>
      <c r="U75" s="438" t="inlineStr">
        <is>
          <t>ND</t>
        </is>
      </c>
      <c r="V75" s="494" t="inlineStr">
        <is>
          <t>ND</t>
        </is>
      </c>
      <c r="W75" s="495" t="n">
        <v>4.13</v>
      </c>
      <c r="X75" s="496" t="n">
        <v>7.79</v>
      </c>
      <c r="Y75" s="497" t="n">
        <v>4.69</v>
      </c>
      <c r="Z75" s="494" t="n">
        <v>1.27</v>
      </c>
      <c r="AA75" s="492" t="n">
        <v>4.3</v>
      </c>
      <c r="AB75" s="441" t="inlineStr">
        <is>
          <t>ND</t>
        </is>
      </c>
      <c r="AC75" s="444" t="inlineStr">
        <is>
          <t>ND</t>
        </is>
      </c>
      <c r="AD75" s="438" t="inlineStr">
        <is>
          <t>ND</t>
        </is>
      </c>
      <c r="AE75" s="438" t="inlineStr">
        <is>
          <t>ND</t>
        </is>
      </c>
      <c r="AF75" s="438" t="inlineStr">
        <is>
          <t>ND</t>
        </is>
      </c>
      <c r="AG75" s="441" t="inlineStr">
        <is>
          <t>ND</t>
        </is>
      </c>
      <c r="AH75" s="444" t="inlineStr">
        <is>
          <t>ND</t>
        </is>
      </c>
      <c r="AI75" s="125" t="n">
        <v>0.492</v>
      </c>
      <c r="AJ75" s="494" t="n">
        <v>1.73</v>
      </c>
      <c r="AK75" s="494" t="inlineStr">
        <is>
          <t>ND</t>
        </is>
      </c>
      <c r="AL75" s="151" t="n">
        <v>0.223</v>
      </c>
      <c r="AM75" s="444" t="inlineStr">
        <is>
          <t>ND</t>
        </is>
      </c>
      <c r="AN75" s="494" t="inlineStr">
        <is>
          <t>ND</t>
        </is>
      </c>
      <c r="AO75" s="494" t="n">
        <v>1.55</v>
      </c>
      <c r="AP75" s="494" t="n">
        <v>4.11</v>
      </c>
      <c r="AQ75" s="495" t="n">
        <v>2.55</v>
      </c>
      <c r="AR75" s="553" t="n">
        <v>2</v>
      </c>
      <c r="AS75" s="494" t="inlineStr">
        <is>
          <t>ND</t>
        </is>
      </c>
      <c r="AT75" s="438" t="inlineStr">
        <is>
          <t>ND</t>
        </is>
      </c>
      <c r="AU75" s="438" t="inlineStr">
        <is>
          <t>ND</t>
        </is>
      </c>
      <c r="AV75" s="495" t="n">
        <v>1.92</v>
      </c>
      <c r="AW75" s="496" t="n">
        <v>3.42</v>
      </c>
      <c r="AX75" s="494" t="n">
        <v>2.31</v>
      </c>
      <c r="AY75" s="494" t="n">
        <v>3.49</v>
      </c>
      <c r="AZ75" s="494" t="n">
        <v>4.19</v>
      </c>
      <c r="BA75" s="151" t="n">
        <v>0.478</v>
      </c>
      <c r="BB75" s="444" t="inlineStr">
        <is>
          <t>ND</t>
        </is>
      </c>
      <c r="BC75" s="438" t="inlineStr">
        <is>
          <t>ND</t>
        </is>
      </c>
      <c r="BD75" s="438" t="inlineStr">
        <is>
          <t>ND</t>
        </is>
      </c>
      <c r="BE75" s="494" t="n">
        <v>2.07</v>
      </c>
      <c r="BF75" s="498" t="n">
        <v>4.36</v>
      </c>
      <c r="BG75" s="496" t="n">
        <v>8.279999999999999</v>
      </c>
      <c r="BH75" s="493" t="n">
        <v>10.7</v>
      </c>
      <c r="BI75" s="494" t="n">
        <v>1.46</v>
      </c>
      <c r="BJ75" s="494" t="n">
        <v>4.29</v>
      </c>
      <c r="BK75" s="441" t="inlineStr">
        <is>
          <t>ND</t>
        </is>
      </c>
      <c r="BL75" s="444" t="inlineStr">
        <is>
          <t>ND</t>
        </is>
      </c>
      <c r="BM75" s="438" t="inlineStr">
        <is>
          <t>ND</t>
        </is>
      </c>
      <c r="BN75" s="438" t="inlineStr">
        <is>
          <t>ND</t>
        </is>
      </c>
      <c r="BO75" s="438" t="inlineStr">
        <is>
          <t>ND</t>
        </is>
      </c>
      <c r="BP75" s="441" t="inlineStr">
        <is>
          <t>ND</t>
        </is>
      </c>
      <c r="BQ75" s="444" t="inlineStr">
        <is>
          <t>ND</t>
        </is>
      </c>
      <c r="BR75" s="438" t="inlineStr">
        <is>
          <t>ND</t>
        </is>
      </c>
      <c r="BS75" s="438" t="inlineStr">
        <is>
          <t>ND</t>
        </is>
      </c>
      <c r="BT75" s="441" t="inlineStr">
        <is>
          <t>ND</t>
        </is>
      </c>
      <c r="BU75" s="457" t="n"/>
      <c r="BV75" s="457" t="n"/>
      <c r="BW75" s="238" t="n"/>
      <c r="BX75" s="238" t="n"/>
      <c r="BY75" s="238" t="n"/>
      <c r="BZ75" s="238" t="n"/>
      <c r="CA75" s="238" t="n"/>
      <c r="CB75" s="238" t="n"/>
      <c r="CC75" s="238" t="n"/>
      <c r="CD75" s="238" t="n"/>
      <c r="CE75" s="238" t="n"/>
      <c r="CF75" s="238" t="n"/>
      <c r="CG75" s="238" t="n"/>
      <c r="CH75" s="238" t="n"/>
      <c r="CI75" s="238" t="n"/>
      <c r="CJ75" s="238" t="n"/>
      <c r="CK75" s="238" t="n"/>
      <c r="CL75" s="238" t="n"/>
      <c r="CM75" s="238" t="n"/>
      <c r="CN75" s="238" t="n"/>
      <c r="CO75" s="238" t="n"/>
      <c r="CP75" s="238" t="n"/>
      <c r="CQ75" s="238" t="n"/>
      <c r="CR75" s="238" t="n"/>
      <c r="CS75" s="238" t="n"/>
      <c r="CT75" s="238" t="n"/>
      <c r="CU75" s="238" t="n"/>
      <c r="CV75" s="238" t="n"/>
      <c r="CW75" s="238" t="n"/>
      <c r="CX75" s="238" t="n"/>
      <c r="CY75" s="238" t="n"/>
      <c r="CZ75" s="238" t="n"/>
      <c r="DA75" s="238" t="n"/>
      <c r="DB75" s="238" t="n"/>
      <c r="DC75" s="238" t="n"/>
      <c r="DD75" s="238" t="n"/>
      <c r="DE75" s="238" t="n"/>
      <c r="DF75" s="238" t="n"/>
      <c r="DG75" s="238" t="n"/>
      <c r="DH75" s="238" t="n"/>
      <c r="DI75" s="238" t="n"/>
      <c r="DJ75" s="238" t="n"/>
      <c r="DK75" s="238" t="n"/>
      <c r="DL75" s="238" t="n"/>
      <c r="DM75" s="238" t="n"/>
      <c r="DN75" s="238" t="n"/>
      <c r="DO75" s="238" t="n"/>
      <c r="DP75" s="238" t="n"/>
      <c r="DQ75" s="238" t="n"/>
      <c r="DR75" s="238" t="n"/>
      <c r="DS75" s="238" t="n"/>
      <c r="DT75" s="238" t="n"/>
      <c r="DU75" s="238" t="n"/>
      <c r="DV75" s="238" t="n"/>
      <c r="DW75" s="238" t="n"/>
      <c r="DX75" s="238" t="n"/>
      <c r="DY75" s="238" t="n"/>
      <c r="DZ75" s="23" t="n"/>
      <c r="FQ75" s="212" t="n"/>
      <c r="FR75" s="212" t="n"/>
      <c r="FS75" s="212" t="n"/>
      <c r="FT75" s="212" t="n"/>
      <c r="FU75" s="212" t="n"/>
      <c r="FV75" s="212" t="n"/>
      <c r="FW75" s="212" t="n"/>
      <c r="FX75" s="212" t="n"/>
      <c r="FY75" s="212" t="n"/>
      <c r="FZ75" s="212" t="n"/>
    </row>
    <row r="76" ht="39.95" customFormat="1" customHeight="1" s="5">
      <c r="A76" s="10" t="inlineStr">
        <is>
          <t>A</t>
        </is>
      </c>
      <c r="B76" s="6" t="n"/>
      <c r="C76" s="11" t="inlineStr">
        <is>
          <t>L</t>
        </is>
      </c>
      <c r="D76" s="518" t="n">
        <v>1.26</v>
      </c>
      <c r="E76" s="475" t="n">
        <v>4.01</v>
      </c>
      <c r="F76" s="436" t="inlineStr">
        <is>
          <t>ND</t>
        </is>
      </c>
      <c r="G76" s="436" t="inlineStr">
        <is>
          <t>ND</t>
        </is>
      </c>
      <c r="H76" s="439" t="inlineStr">
        <is>
          <t>ND</t>
        </is>
      </c>
      <c r="I76" s="442" t="inlineStr">
        <is>
          <t>ND</t>
        </is>
      </c>
      <c r="J76" s="436" t="inlineStr">
        <is>
          <t>ND</t>
        </is>
      </c>
      <c r="K76" s="436" t="inlineStr">
        <is>
          <t>ND</t>
        </is>
      </c>
      <c r="L76" s="112" t="n">
        <v>0.717</v>
      </c>
      <c r="M76" s="480" t="n">
        <v>2.79</v>
      </c>
      <c r="N76" s="115" t="n">
        <v>0.899</v>
      </c>
      <c r="O76" s="112" t="n">
        <v>0.736</v>
      </c>
      <c r="P76" s="436" t="inlineStr">
        <is>
          <t>ND</t>
        </is>
      </c>
      <c r="Q76" s="436" t="inlineStr">
        <is>
          <t>ND</t>
        </is>
      </c>
      <c r="R76" s="439" t="inlineStr">
        <is>
          <t>ND</t>
        </is>
      </c>
      <c r="S76" s="442" t="inlineStr">
        <is>
          <t>ND</t>
        </is>
      </c>
      <c r="T76" s="478" t="inlineStr">
        <is>
          <t>ND</t>
        </is>
      </c>
      <c r="U76" s="436" t="inlineStr">
        <is>
          <t>ND</t>
        </is>
      </c>
      <c r="V76" s="436" t="inlineStr">
        <is>
          <t>ND</t>
        </is>
      </c>
      <c r="W76" s="508" t="inlineStr">
        <is>
          <t>ND</t>
        </is>
      </c>
      <c r="X76" s="477" t="inlineStr">
        <is>
          <t>ND</t>
        </is>
      </c>
      <c r="Y76" s="436" t="inlineStr">
        <is>
          <t>ND</t>
        </is>
      </c>
      <c r="Z76" s="478" t="inlineStr">
        <is>
          <t>ND</t>
        </is>
      </c>
      <c r="AA76" s="436" t="n">
        <v>0.062</v>
      </c>
      <c r="AB76" s="439" t="n">
        <v>0.397</v>
      </c>
      <c r="AC76" s="477" t="inlineStr">
        <is>
          <t>ND</t>
        </is>
      </c>
      <c r="AD76" s="530" t="n">
        <v>1</v>
      </c>
      <c r="AE76" s="112" t="n">
        <v>0.221</v>
      </c>
      <c r="AF76" s="112" t="n">
        <v>0.198</v>
      </c>
      <c r="AG76" s="476" t="inlineStr">
        <is>
          <t>ND</t>
        </is>
      </c>
      <c r="AH76" s="442" t="inlineStr">
        <is>
          <t>ND</t>
        </is>
      </c>
      <c r="AI76" s="436" t="inlineStr">
        <is>
          <t>ND</t>
        </is>
      </c>
      <c r="AJ76" s="478" t="inlineStr">
        <is>
          <t>ND</t>
        </is>
      </c>
      <c r="AK76" s="478" t="n">
        <v>1.54</v>
      </c>
      <c r="AL76" s="113" t="n">
        <v>0.242</v>
      </c>
      <c r="AM76" s="115" t="n">
        <v>0.481</v>
      </c>
      <c r="AN76" s="478" t="inlineStr">
        <is>
          <t>ND</t>
        </is>
      </c>
      <c r="AO76" s="478" t="inlineStr">
        <is>
          <t>ND</t>
        </is>
      </c>
      <c r="AP76" s="112" t="n">
        <v>0.516</v>
      </c>
      <c r="AQ76" s="476" t="inlineStr">
        <is>
          <t>ND</t>
        </is>
      </c>
      <c r="AR76" s="477" t="n">
        <v>1.18</v>
      </c>
      <c r="AS76" s="478" t="n">
        <v>1.88</v>
      </c>
      <c r="AT76" s="478" t="n">
        <v>2.31</v>
      </c>
      <c r="AU76" s="478" t="inlineStr">
        <is>
          <t>ND</t>
        </is>
      </c>
      <c r="AV76" s="113" t="n">
        <v>0.6</v>
      </c>
      <c r="AW76" s="442" t="inlineStr">
        <is>
          <t>ND</t>
        </is>
      </c>
      <c r="AX76" s="478" t="n">
        <v>1.61</v>
      </c>
      <c r="AY76" s="112" t="n">
        <v>0.724</v>
      </c>
      <c r="AZ76" s="436" t="inlineStr">
        <is>
          <t>ND</t>
        </is>
      </c>
      <c r="BA76" s="476" t="inlineStr">
        <is>
          <t>ND</t>
        </is>
      </c>
      <c r="BB76" s="477" t="inlineStr">
        <is>
          <t>ND</t>
        </is>
      </c>
      <c r="BC76" s="478" t="inlineStr">
        <is>
          <t>ND</t>
        </is>
      </c>
      <c r="BD76" s="112" t="n">
        <v>0.098</v>
      </c>
      <c r="BE76" s="436" t="inlineStr">
        <is>
          <t>ND</t>
        </is>
      </c>
      <c r="BF76" s="439" t="inlineStr">
        <is>
          <t>ND</t>
        </is>
      </c>
      <c r="BG76" s="442" t="inlineStr">
        <is>
          <t>ND</t>
        </is>
      </c>
      <c r="BH76" s="436" t="inlineStr">
        <is>
          <t>ND</t>
        </is>
      </c>
      <c r="BI76" s="478" t="inlineStr">
        <is>
          <t>ND</t>
        </is>
      </c>
      <c r="BJ76" s="436" t="n">
        <v>0.548</v>
      </c>
      <c r="BK76" s="439" t="inlineStr">
        <is>
          <t>ND</t>
        </is>
      </c>
      <c r="BL76" s="477" t="inlineStr">
        <is>
          <t>ND</t>
        </is>
      </c>
      <c r="BM76" s="478" t="inlineStr">
        <is>
          <t>ND</t>
        </is>
      </c>
      <c r="BN76" s="475" t="n">
        <v>8.01</v>
      </c>
      <c r="BO76" s="478" t="n">
        <v>2.31</v>
      </c>
      <c r="BP76" s="476" t="inlineStr">
        <is>
          <t>ND</t>
        </is>
      </c>
      <c r="BQ76" s="477" t="n">
        <v>9.619999999999999</v>
      </c>
      <c r="BR76" s="475" t="n">
        <v>2.58</v>
      </c>
      <c r="BS76" s="531" t="n">
        <v>10.9</v>
      </c>
      <c r="BT76" s="439" t="inlineStr">
        <is>
          <t>ND</t>
        </is>
      </c>
      <c r="BU76" s="454">
        <f>IFERROR(AVERAGE(D76:BT78),0)</f>
        <v/>
      </c>
      <c r="BV76" s="454">
        <f>MAX(D76:BT78)</f>
        <v/>
      </c>
      <c r="BW76" s="238" t="n"/>
      <c r="BX76" s="238" t="n"/>
      <c r="BY76" s="238" t="n"/>
      <c r="BZ76" s="238" t="n"/>
      <c r="CA76" s="238" t="n"/>
      <c r="CB76" s="238" t="n"/>
      <c r="CC76" s="238" t="n"/>
      <c r="CD76" s="238" t="n"/>
      <c r="CE76" s="238" t="n"/>
      <c r="CF76" s="238" t="n"/>
      <c r="CG76" s="238" t="n"/>
      <c r="CH76" s="238" t="n"/>
      <c r="CI76" s="238" t="n"/>
      <c r="CJ76" s="238" t="n"/>
      <c r="CK76" s="238" t="n"/>
      <c r="CL76" s="238" t="n"/>
      <c r="CM76" s="238" t="n"/>
      <c r="CN76" s="238" t="n"/>
      <c r="CO76" s="238" t="n"/>
      <c r="CP76" s="238" t="n"/>
      <c r="CQ76" s="238" t="n"/>
      <c r="CR76" s="238" t="n"/>
      <c r="CS76" s="238" t="n"/>
      <c r="CT76" s="238" t="n"/>
      <c r="CU76" s="238" t="n"/>
      <c r="CV76" s="238" t="n"/>
      <c r="CW76" s="238" t="n"/>
      <c r="CX76" s="238" t="n"/>
      <c r="CY76" s="238" t="n"/>
      <c r="CZ76" s="238" t="n"/>
      <c r="DA76" s="238" t="n"/>
      <c r="DB76" s="238" t="n"/>
      <c r="DC76" s="238" t="n"/>
      <c r="DD76" s="238" t="n"/>
      <c r="DE76" s="238" t="n"/>
      <c r="DF76" s="238" t="n"/>
      <c r="DG76" s="238" t="n"/>
      <c r="DH76" s="238" t="n"/>
      <c r="DI76" s="238" t="n"/>
      <c r="DJ76" s="238" t="n"/>
      <c r="DK76" s="238" t="n"/>
      <c r="DL76" s="238" t="n"/>
      <c r="DM76" s="238" t="n"/>
      <c r="DN76" s="238" t="n"/>
      <c r="DO76" s="238" t="n"/>
      <c r="DP76" s="238" t="n"/>
      <c r="DQ76" s="238" t="n"/>
      <c r="DR76" s="238" t="n"/>
      <c r="DS76" s="238" t="n"/>
      <c r="DT76" s="238" t="n"/>
      <c r="DU76" s="238" t="n"/>
      <c r="DV76" s="238" t="n"/>
      <c r="DW76" s="238" t="n"/>
      <c r="DX76" s="238" t="n"/>
      <c r="DY76" s="238" t="n"/>
      <c r="DZ76" s="23" t="n"/>
      <c r="FQ76" s="212" t="n"/>
      <c r="FR76" s="212" t="n"/>
      <c r="FS76" s="212" t="n"/>
      <c r="FT76" s="212" t="n"/>
      <c r="FU76" s="212" t="n"/>
      <c r="FV76" s="212" t="n"/>
      <c r="FW76" s="212" t="n"/>
      <c r="FX76" s="212" t="n"/>
      <c r="FY76" s="212" t="n"/>
      <c r="FZ76" s="212" t="n"/>
    </row>
    <row r="77" ht="39.95" customFormat="1" customHeight="1" s="5">
      <c r="A77" s="182" t="inlineStr"/>
      <c r="B77" s="7" t="inlineStr">
        <is>
          <t>-18 IN</t>
        </is>
      </c>
      <c r="C77" s="11" t="inlineStr">
        <is>
          <t>C</t>
        </is>
      </c>
      <c r="D77" s="434" t="n">
        <v>0.827</v>
      </c>
      <c r="E77" s="122" t="n">
        <v>0.471</v>
      </c>
      <c r="F77" s="486" t="n">
        <v>1.38</v>
      </c>
      <c r="G77" s="437" t="inlineStr">
        <is>
          <t>ND</t>
        </is>
      </c>
      <c r="H77" s="489" t="n">
        <v>1.32</v>
      </c>
      <c r="I77" s="443" t="inlineStr">
        <is>
          <t>ND</t>
        </is>
      </c>
      <c r="J77" s="437" t="inlineStr">
        <is>
          <t>ND</t>
        </is>
      </c>
      <c r="K77" s="437" t="inlineStr">
        <is>
          <t>ND</t>
        </is>
      </c>
      <c r="L77" s="437" t="inlineStr">
        <is>
          <t>ND</t>
        </is>
      </c>
      <c r="M77" s="120" t="n">
        <v>0.419</v>
      </c>
      <c r="N77" s="132" t="n">
        <v>0.576</v>
      </c>
      <c r="O77" s="485" t="n">
        <v>1.54</v>
      </c>
      <c r="P77" s="485" t="inlineStr">
        <is>
          <t>ND</t>
        </is>
      </c>
      <c r="Q77" s="437" t="inlineStr">
        <is>
          <t>ND</t>
        </is>
      </c>
      <c r="R77" s="440" t="inlineStr">
        <is>
          <t>ND</t>
        </is>
      </c>
      <c r="S77" s="443" t="inlineStr">
        <is>
          <t>ND</t>
        </is>
      </c>
      <c r="T77" s="437" t="inlineStr">
        <is>
          <t>ND</t>
        </is>
      </c>
      <c r="U77" s="485" t="inlineStr">
        <is>
          <t>ND</t>
        </is>
      </c>
      <c r="V77" s="485" t="inlineStr">
        <is>
          <t>ND</t>
        </is>
      </c>
      <c r="W77" s="488" t="inlineStr">
        <is>
          <t>ND</t>
        </is>
      </c>
      <c r="X77" s="490" t="inlineStr">
        <is>
          <t>ND</t>
        </is>
      </c>
      <c r="Y77" s="437" t="inlineStr">
        <is>
          <t>ND</t>
        </is>
      </c>
      <c r="Z77" s="485" t="inlineStr">
        <is>
          <t>ND</t>
        </is>
      </c>
      <c r="AA77" s="437" t="n">
        <v>0.59</v>
      </c>
      <c r="AB77" s="120" t="n">
        <v>0.217</v>
      </c>
      <c r="AC77" s="443" t="inlineStr">
        <is>
          <t>ND</t>
        </is>
      </c>
      <c r="AD77" s="485" t="inlineStr">
        <is>
          <t>ND</t>
        </is>
      </c>
      <c r="AE77" s="437" t="inlineStr">
        <is>
          <t>ND</t>
        </is>
      </c>
      <c r="AF77" s="485" t="inlineStr">
        <is>
          <t>ND</t>
        </is>
      </c>
      <c r="AG77" s="488" t="inlineStr">
        <is>
          <t>ND</t>
        </is>
      </c>
      <c r="AH77" s="443" t="n">
        <v>0.825</v>
      </c>
      <c r="AI77" s="485" t="inlineStr">
        <is>
          <t>ND</t>
        </is>
      </c>
      <c r="AJ77" s="485" t="n">
        <v>1.09</v>
      </c>
      <c r="AK77" s="122" t="n">
        <v>0.461</v>
      </c>
      <c r="AL77" s="504" t="inlineStr">
        <is>
          <t>ND</t>
        </is>
      </c>
      <c r="AM77" s="132" t="n">
        <v>0.259</v>
      </c>
      <c r="AN77" s="485" t="inlineStr">
        <is>
          <t>ND</t>
        </is>
      </c>
      <c r="AO77" s="485" t="n">
        <v>1.72</v>
      </c>
      <c r="AP77" s="485" t="inlineStr">
        <is>
          <t>ND</t>
        </is>
      </c>
      <c r="AQ77" s="120" t="n">
        <v>0.321</v>
      </c>
      <c r="AR77" s="490" t="n">
        <v>1.64</v>
      </c>
      <c r="AS77" s="485" t="n">
        <v>2.58</v>
      </c>
      <c r="AT77" s="485" t="inlineStr">
        <is>
          <t>ND</t>
        </is>
      </c>
      <c r="AU77" s="485" t="inlineStr">
        <is>
          <t>ND</t>
        </is>
      </c>
      <c r="AV77" s="488" t="inlineStr">
        <is>
          <t>ND</t>
        </is>
      </c>
      <c r="AW77" s="490" t="inlineStr">
        <is>
          <t>ND</t>
        </is>
      </c>
      <c r="AX77" s="485" t="n">
        <v>1.16</v>
      </c>
      <c r="AY77" s="502" t="inlineStr">
        <is>
          <t>ND</t>
        </is>
      </c>
      <c r="AZ77" s="485" t="inlineStr">
        <is>
          <t>ND</t>
        </is>
      </c>
      <c r="BA77" s="440" t="inlineStr">
        <is>
          <t>ND</t>
        </is>
      </c>
      <c r="BB77" s="522" t="n">
        <v>1.9</v>
      </c>
      <c r="BC77" s="437" t="inlineStr">
        <is>
          <t>ND</t>
        </is>
      </c>
      <c r="BD77" s="485" t="n">
        <v>4.05</v>
      </c>
      <c r="BE77" s="437" t="inlineStr">
        <is>
          <t>ND</t>
        </is>
      </c>
      <c r="BF77" s="440" t="inlineStr">
        <is>
          <t>ND</t>
        </is>
      </c>
      <c r="BG77" s="443" t="inlineStr">
        <is>
          <t>ND</t>
        </is>
      </c>
      <c r="BH77" s="502" t="inlineStr">
        <is>
          <t>ND</t>
        </is>
      </c>
      <c r="BI77" s="485" t="inlineStr">
        <is>
          <t>ND</t>
        </is>
      </c>
      <c r="BJ77" s="437" t="inlineStr">
        <is>
          <t>ND</t>
        </is>
      </c>
      <c r="BK77" s="440" t="inlineStr">
        <is>
          <t>ND</t>
        </is>
      </c>
      <c r="BL77" s="132" t="n">
        <v>0.287</v>
      </c>
      <c r="BM77" s="485" t="inlineStr">
        <is>
          <t>ND</t>
        </is>
      </c>
      <c r="BN77" s="437" t="inlineStr">
        <is>
          <t>ND</t>
        </is>
      </c>
      <c r="BO77" s="485" t="n">
        <v>5.05</v>
      </c>
      <c r="BP77" s="489" t="n">
        <v>1.29</v>
      </c>
      <c r="BQ77" s="490" t="inlineStr">
        <is>
          <t>ND</t>
        </is>
      </c>
      <c r="BR77" s="122" t="n">
        <v>0.489</v>
      </c>
      <c r="BS77" s="485" t="n">
        <v>2.85</v>
      </c>
      <c r="BT77" s="440" t="inlineStr">
        <is>
          <t>ND</t>
        </is>
      </c>
      <c r="BU77" s="455" t="n"/>
      <c r="BV77" s="455" t="n"/>
      <c r="BW77" s="238" t="n"/>
      <c r="BX77" s="238" t="n"/>
      <c r="BY77" s="238" t="n"/>
      <c r="BZ77" s="238" t="n"/>
      <c r="CA77" s="238" t="n"/>
      <c r="CB77" s="238" t="n"/>
      <c r="CC77" s="238" t="n"/>
      <c r="CD77" s="238" t="n"/>
      <c r="CE77" s="238" t="n"/>
      <c r="CF77" s="238" t="n"/>
      <c r="CG77" s="238" t="n"/>
      <c r="CH77" s="238" t="n"/>
      <c r="CI77" s="238" t="n"/>
      <c r="CJ77" s="238" t="n"/>
      <c r="CK77" s="238" t="n"/>
      <c r="CL77" s="238" t="n"/>
      <c r="CM77" s="238" t="n"/>
      <c r="CN77" s="238" t="n"/>
      <c r="CO77" s="238" t="n"/>
      <c r="CP77" s="238" t="n"/>
      <c r="CQ77" s="238" t="n"/>
      <c r="CR77" s="238" t="n"/>
      <c r="CS77" s="238" t="n"/>
      <c r="CT77" s="238" t="n"/>
      <c r="CU77" s="238" t="n"/>
      <c r="CV77" s="238" t="n"/>
      <c r="CW77" s="238" t="n"/>
      <c r="CX77" s="238" t="n"/>
      <c r="CY77" s="238" t="n"/>
      <c r="CZ77" s="238" t="n"/>
      <c r="DA77" s="238" t="n"/>
      <c r="DB77" s="238" t="n"/>
      <c r="DC77" s="238" t="n"/>
      <c r="DD77" s="238" t="n"/>
      <c r="DE77" s="238" t="n"/>
      <c r="DF77" s="238" t="n"/>
      <c r="DG77" s="238" t="n"/>
      <c r="DH77" s="238" t="n"/>
      <c r="DI77" s="238" t="n"/>
      <c r="DJ77" s="238" t="n"/>
      <c r="DK77" s="238" t="n"/>
      <c r="DL77" s="238" t="n"/>
      <c r="DM77" s="238" t="n"/>
      <c r="DN77" s="238" t="n"/>
      <c r="DO77" s="238" t="n"/>
      <c r="DP77" s="238" t="n"/>
      <c r="DQ77" s="238" t="n"/>
      <c r="DR77" s="238" t="n"/>
      <c r="DS77" s="238" t="n"/>
      <c r="DT77" s="238" t="n"/>
      <c r="DU77" s="238" t="n"/>
      <c r="DV77" s="238" t="n"/>
      <c r="DW77" s="238" t="n"/>
      <c r="DX77" s="238" t="n"/>
      <c r="DY77" s="238" t="n"/>
      <c r="DZ77" s="23" t="n"/>
      <c r="FQ77" s="212" t="n"/>
      <c r="FR77" s="212" t="n"/>
      <c r="FS77" s="212" t="n"/>
      <c r="FT77" s="212" t="n"/>
      <c r="FU77" s="212" t="n"/>
      <c r="FV77" s="212" t="n"/>
      <c r="FW77" s="212" t="n"/>
      <c r="FX77" s="212" t="n"/>
      <c r="FY77" s="212" t="n"/>
      <c r="FZ77" s="212" t="n"/>
    </row>
    <row r="78" ht="39.95" customFormat="1" customHeight="1" s="5">
      <c r="A78" s="456" t="n"/>
      <c r="B78" s="8" t="n"/>
      <c r="C78" s="12" t="inlineStr">
        <is>
          <t>R</t>
        </is>
      </c>
      <c r="D78" s="547" t="n">
        <v>2.68</v>
      </c>
      <c r="E78" s="438" t="inlineStr">
        <is>
          <t>ND</t>
        </is>
      </c>
      <c r="F78" s="438" t="n">
        <v>0.415</v>
      </c>
      <c r="G78" s="438" t="inlineStr">
        <is>
          <t>ND</t>
        </is>
      </c>
      <c r="H78" s="441" t="inlineStr">
        <is>
          <t>ND</t>
        </is>
      </c>
      <c r="I78" s="444" t="inlineStr">
        <is>
          <t>ND</t>
        </is>
      </c>
      <c r="J78" s="438" t="inlineStr">
        <is>
          <t>ND</t>
        </is>
      </c>
      <c r="K78" s="438" t="inlineStr">
        <is>
          <t>ND</t>
        </is>
      </c>
      <c r="L78" s="125" t="n">
        <v>0.132</v>
      </c>
      <c r="M78" s="495" t="n">
        <v>2.02</v>
      </c>
      <c r="N78" s="496" t="n">
        <v>1.75</v>
      </c>
      <c r="O78" s="494" t="inlineStr">
        <is>
          <t>ND</t>
        </is>
      </c>
      <c r="P78" s="125" t="n">
        <v>0.545</v>
      </c>
      <c r="Q78" s="494" t="inlineStr">
        <is>
          <t>ND</t>
        </is>
      </c>
      <c r="R78" s="495" t="inlineStr">
        <is>
          <t>ND</t>
        </is>
      </c>
      <c r="S78" s="444" t="n">
        <v>0.152</v>
      </c>
      <c r="T78" s="438" t="inlineStr">
        <is>
          <t>ND</t>
        </is>
      </c>
      <c r="U78" s="438" t="inlineStr">
        <is>
          <t>ND</t>
        </is>
      </c>
      <c r="V78" s="438" t="inlineStr">
        <is>
          <t>ND</t>
        </is>
      </c>
      <c r="W78" s="441" t="inlineStr">
        <is>
          <t>ND</t>
        </is>
      </c>
      <c r="X78" s="496" t="inlineStr">
        <is>
          <t>ND</t>
        </is>
      </c>
      <c r="Y78" s="438" t="inlineStr">
        <is>
          <t>ND</t>
        </is>
      </c>
      <c r="Z78" s="438" t="inlineStr">
        <is>
          <t>ND</t>
        </is>
      </c>
      <c r="AA78" s="438" t="inlineStr">
        <is>
          <t>ND</t>
        </is>
      </c>
      <c r="AB78" s="498" t="n">
        <v>1.06</v>
      </c>
      <c r="AC78" s="444" t="inlineStr">
        <is>
          <t>ND</t>
        </is>
      </c>
      <c r="AD78" s="494" t="inlineStr">
        <is>
          <t>ND</t>
        </is>
      </c>
      <c r="AE78" s="438" t="inlineStr">
        <is>
          <t>ND</t>
        </is>
      </c>
      <c r="AF78" s="494" t="inlineStr">
        <is>
          <t>ND</t>
        </is>
      </c>
      <c r="AG78" s="495" t="inlineStr">
        <is>
          <t>ND</t>
        </is>
      </c>
      <c r="AH78" s="444" t="inlineStr">
        <is>
          <t>ND</t>
        </is>
      </c>
      <c r="AI78" s="438" t="inlineStr">
        <is>
          <t>ND</t>
        </is>
      </c>
      <c r="AJ78" s="492" t="inlineStr">
        <is>
          <t>ND</t>
        </is>
      </c>
      <c r="AK78" s="438" t="inlineStr">
        <is>
          <t>ND</t>
        </is>
      </c>
      <c r="AL78" s="151" t="n">
        <v>0.543</v>
      </c>
      <c r="AM78" s="444" t="inlineStr">
        <is>
          <t>ND</t>
        </is>
      </c>
      <c r="AN78" s="494" t="inlineStr">
        <is>
          <t>ND</t>
        </is>
      </c>
      <c r="AO78" s="494" t="n">
        <v>1.39</v>
      </c>
      <c r="AP78" s="125" t="n">
        <v>0.925</v>
      </c>
      <c r="AQ78" s="495" t="n">
        <v>1.59</v>
      </c>
      <c r="AR78" s="496" t="n">
        <v>1.18</v>
      </c>
      <c r="AS78" s="494" t="inlineStr">
        <is>
          <t>ND</t>
        </is>
      </c>
      <c r="AT78" s="494" t="n">
        <v>1.92</v>
      </c>
      <c r="AU78" s="494" t="inlineStr">
        <is>
          <t>ND</t>
        </is>
      </c>
      <c r="AV78" s="495" t="n">
        <v>3.12</v>
      </c>
      <c r="AW78" s="496" t="n">
        <v>9.279999999999999</v>
      </c>
      <c r="AX78" s="494" t="n">
        <v>3.29</v>
      </c>
      <c r="AY78" s="125" t="n">
        <v>0.495</v>
      </c>
      <c r="AZ78" s="494" t="n">
        <v>1.15</v>
      </c>
      <c r="BA78" s="441" t="n">
        <v>0.522</v>
      </c>
      <c r="BB78" s="148" t="n">
        <v>0.795</v>
      </c>
      <c r="BC78" s="494" t="n">
        <v>4.63</v>
      </c>
      <c r="BD78" s="492" t="inlineStr">
        <is>
          <t>ND</t>
        </is>
      </c>
      <c r="BE78" s="438" t="inlineStr">
        <is>
          <t>ND</t>
        </is>
      </c>
      <c r="BF78" s="441" t="inlineStr">
        <is>
          <t>ND</t>
        </is>
      </c>
      <c r="BG78" s="444" t="inlineStr">
        <is>
          <t>ND</t>
        </is>
      </c>
      <c r="BH78" s="438" t="inlineStr">
        <is>
          <t>ND</t>
        </is>
      </c>
      <c r="BI78" s="438" t="inlineStr">
        <is>
          <t>ND</t>
        </is>
      </c>
      <c r="BJ78" s="438" t="inlineStr">
        <is>
          <t>ND</t>
        </is>
      </c>
      <c r="BK78" s="151" t="n">
        <v>0.533</v>
      </c>
      <c r="BL78" s="524" t="inlineStr">
        <is>
          <t>ND</t>
        </is>
      </c>
      <c r="BM78" s="494" t="inlineStr">
        <is>
          <t>ND</t>
        </is>
      </c>
      <c r="BN78" s="438" t="n">
        <v>0.798</v>
      </c>
      <c r="BO78" s="438" t="inlineStr">
        <is>
          <t>ND</t>
        </is>
      </c>
      <c r="BP78" s="441" t="inlineStr">
        <is>
          <t>ND</t>
        </is>
      </c>
      <c r="BQ78" s="496" t="inlineStr">
        <is>
          <t>ND</t>
        </is>
      </c>
      <c r="BR78" s="438" t="inlineStr">
        <is>
          <t>ND</t>
        </is>
      </c>
      <c r="BS78" s="494" t="inlineStr">
        <is>
          <t>ND</t>
        </is>
      </c>
      <c r="BT78" s="498" t="n">
        <v>1.28</v>
      </c>
      <c r="BU78" s="457" t="n"/>
      <c r="BV78" s="457" t="n"/>
      <c r="BW78" s="238" t="n"/>
      <c r="BX78" s="238" t="n"/>
      <c r="BY78" s="238" t="n"/>
      <c r="BZ78" s="238" t="n"/>
      <c r="CA78" s="238" t="n"/>
      <c r="CB78" s="238" t="n"/>
      <c r="CC78" s="238" t="n"/>
      <c r="CD78" s="238" t="n"/>
      <c r="CE78" s="238" t="n"/>
      <c r="CF78" s="238" t="n"/>
      <c r="CG78" s="238" t="n"/>
      <c r="CH78" s="238" t="n"/>
      <c r="CI78" s="238" t="n"/>
      <c r="CJ78" s="238" t="n"/>
      <c r="CK78" s="238" t="n"/>
      <c r="CL78" s="238" t="n"/>
      <c r="CM78" s="238" t="n"/>
      <c r="CN78" s="238" t="n"/>
      <c r="CO78" s="238" t="n"/>
      <c r="CP78" s="238" t="n"/>
      <c r="CQ78" s="238" t="n"/>
      <c r="CR78" s="238" t="n"/>
      <c r="CS78" s="238" t="n"/>
      <c r="CT78" s="238" t="n"/>
      <c r="CU78" s="238" t="n"/>
      <c r="CV78" s="238" t="n"/>
      <c r="CW78" s="238" t="n"/>
      <c r="CX78" s="238" t="n"/>
      <c r="CY78" s="238" t="n"/>
      <c r="CZ78" s="238" t="n"/>
      <c r="DA78" s="238" t="n"/>
      <c r="DB78" s="238" t="n"/>
      <c r="DC78" s="238" t="n"/>
      <c r="DD78" s="238" t="n"/>
      <c r="DE78" s="238" t="n"/>
      <c r="DF78" s="238" t="n"/>
      <c r="DG78" s="238" t="n"/>
      <c r="DH78" s="238" t="n"/>
      <c r="DI78" s="238" t="n"/>
      <c r="DJ78" s="238" t="n"/>
      <c r="DK78" s="238" t="n"/>
      <c r="DL78" s="238" t="n"/>
      <c r="DM78" s="238" t="n"/>
      <c r="DN78" s="238" t="n"/>
      <c r="DO78" s="238" t="n"/>
      <c r="DP78" s="238" t="n"/>
      <c r="DQ78" s="238" t="n"/>
      <c r="DR78" s="238" t="n"/>
      <c r="DS78" s="238" t="n"/>
      <c r="DT78" s="238" t="n"/>
      <c r="DU78" s="238" t="n"/>
      <c r="DV78" s="238" t="n"/>
      <c r="DW78" s="238" t="n"/>
      <c r="DX78" s="238" t="n"/>
      <c r="DY78" s="238" t="n"/>
      <c r="DZ78" s="23" t="n"/>
      <c r="FQ78" s="212" t="n"/>
      <c r="FR78" s="212" t="n"/>
      <c r="FS78" s="212" t="n"/>
      <c r="FT78" s="212" t="n"/>
      <c r="FU78" s="212" t="n"/>
      <c r="FV78" s="212" t="n"/>
      <c r="FW78" s="212" t="n"/>
      <c r="FX78" s="212" t="n"/>
      <c r="FY78" s="212" t="n"/>
      <c r="FZ78" s="212" t="n"/>
    </row>
    <row r="79" ht="39.95" customFormat="1" customHeight="1" s="5">
      <c r="A79" s="10" t="inlineStr">
        <is>
          <t>A</t>
        </is>
      </c>
      <c r="B79" s="6" t="n"/>
      <c r="C79" s="11" t="inlineStr">
        <is>
          <t>L</t>
        </is>
      </c>
      <c r="D79" s="518" t="n">
        <v>1.22</v>
      </c>
      <c r="E79" s="436" t="inlineStr">
        <is>
          <t>ND</t>
        </is>
      </c>
      <c r="F79" s="436" t="inlineStr">
        <is>
          <t>ND</t>
        </is>
      </c>
      <c r="G79" s="436" t="inlineStr">
        <is>
          <t>ND</t>
        </is>
      </c>
      <c r="H79" s="480" t="n">
        <v>1.37</v>
      </c>
      <c r="I79" s="442" t="n">
        <v>0.913</v>
      </c>
      <c r="J79" s="436" t="n">
        <v>0.049</v>
      </c>
      <c r="K79" s="475" t="n">
        <v>1.11</v>
      </c>
      <c r="L79" s="475" t="n">
        <v>1.24</v>
      </c>
      <c r="M79" s="480" t="n">
        <v>5.51</v>
      </c>
      <c r="N79" s="483" t="n">
        <v>1.11</v>
      </c>
      <c r="O79" s="475" t="n">
        <v>1.92</v>
      </c>
      <c r="P79" s="436" t="inlineStr">
        <is>
          <t>ND</t>
        </is>
      </c>
      <c r="Q79" s="478" t="inlineStr">
        <is>
          <t>ND</t>
        </is>
      </c>
      <c r="R79" s="480" t="n">
        <v>6.54</v>
      </c>
      <c r="S79" s="442" t="inlineStr">
        <is>
          <t>ND</t>
        </is>
      </c>
      <c r="T79" s="436" t="inlineStr">
        <is>
          <t>ND</t>
        </is>
      </c>
      <c r="U79" s="112" t="n">
        <v>0.6929999999999999</v>
      </c>
      <c r="V79" s="475" t="n">
        <v>1.03</v>
      </c>
      <c r="W79" s="476" t="n">
        <v>2.05</v>
      </c>
      <c r="X79" s="483" t="n">
        <v>2.56</v>
      </c>
      <c r="Y79" s="112" t="n">
        <v>0.51</v>
      </c>
      <c r="Z79" s="436" t="n">
        <v>0.056</v>
      </c>
      <c r="AA79" s="475" t="n">
        <v>1.22</v>
      </c>
      <c r="AB79" s="476" t="n">
        <v>2.16</v>
      </c>
      <c r="AC79" s="483" t="n">
        <v>9.050000000000001</v>
      </c>
      <c r="AD79" s="475" t="n">
        <v>1.15</v>
      </c>
      <c r="AE79" s="436" t="n">
        <v>0.945</v>
      </c>
      <c r="AF79" s="112" t="n">
        <v>0.161</v>
      </c>
      <c r="AG79" s="439" t="n">
        <v>0.778</v>
      </c>
      <c r="AH79" s="483" t="n">
        <v>1.79</v>
      </c>
      <c r="AI79" s="478" t="n">
        <v>2.77</v>
      </c>
      <c r="AJ79" s="475" t="n">
        <v>1.28</v>
      </c>
      <c r="AK79" s="436" t="inlineStr">
        <is>
          <t>ND</t>
        </is>
      </c>
      <c r="AL79" s="439" t="n">
        <v>0.539</v>
      </c>
      <c r="AM79" s="477" t="n">
        <v>3.63</v>
      </c>
      <c r="AN79" s="478" t="n">
        <v>2.93</v>
      </c>
      <c r="AO79" s="475" t="n">
        <v>2.42</v>
      </c>
      <c r="AP79" s="436" t="inlineStr">
        <is>
          <t>ND</t>
        </is>
      </c>
      <c r="AQ79" s="480" t="n">
        <v>1.67</v>
      </c>
      <c r="AR79" s="442" t="inlineStr">
        <is>
          <t>ND</t>
        </is>
      </c>
      <c r="AS79" s="436" t="inlineStr">
        <is>
          <t>ND</t>
        </is>
      </c>
      <c r="AT79" s="436" t="inlineStr">
        <is>
          <t>ND</t>
        </is>
      </c>
      <c r="AU79" s="436" t="n">
        <v>0.348</v>
      </c>
      <c r="AV79" s="439" t="inlineStr">
        <is>
          <t>ND</t>
        </is>
      </c>
      <c r="AW79" s="442" t="n">
        <v>0.556</v>
      </c>
      <c r="AX79" s="436" t="n">
        <v>0.884</v>
      </c>
      <c r="AY79" s="436" t="n">
        <v>0.669</v>
      </c>
      <c r="AZ79" s="436" t="inlineStr">
        <is>
          <t>ND</t>
        </is>
      </c>
      <c r="BA79" s="480" t="n">
        <v>1.75</v>
      </c>
      <c r="BB79" s="483" t="n">
        <v>1.29</v>
      </c>
      <c r="BC79" s="112" t="n">
        <v>0.804</v>
      </c>
      <c r="BD79" s="436" t="n">
        <v>0.702</v>
      </c>
      <c r="BE79" s="475" t="n">
        <v>1.89</v>
      </c>
      <c r="BF79" s="439" t="inlineStr">
        <is>
          <t>ND</t>
        </is>
      </c>
      <c r="BG79" s="442" t="inlineStr">
        <is>
          <t>ND</t>
        </is>
      </c>
      <c r="BH79" s="436" t="inlineStr">
        <is>
          <t>ND</t>
        </is>
      </c>
      <c r="BI79" s="436" t="inlineStr">
        <is>
          <t>ND</t>
        </is>
      </c>
      <c r="BJ79" s="478" t="n">
        <v>3.35</v>
      </c>
      <c r="BK79" s="476" t="inlineStr">
        <is>
          <t>ND</t>
        </is>
      </c>
      <c r="BL79" s="483" t="n">
        <v>1.81</v>
      </c>
      <c r="BM79" s="475" t="n">
        <v>3.31</v>
      </c>
      <c r="BN79" s="475" t="n">
        <v>1.22</v>
      </c>
      <c r="BO79" s="475" t="n">
        <v>2.19</v>
      </c>
      <c r="BP79" s="439" t="inlineStr">
        <is>
          <t>ND</t>
        </is>
      </c>
      <c r="BQ79" s="442" t="inlineStr">
        <is>
          <t>ND</t>
        </is>
      </c>
      <c r="BR79" s="436" t="inlineStr">
        <is>
          <t>ND</t>
        </is>
      </c>
      <c r="BS79" s="436" t="n">
        <v>0.592</v>
      </c>
      <c r="BT79" s="480" t="n">
        <v>7.08</v>
      </c>
      <c r="BU79" s="454">
        <f>IFERROR(AVERAGE(D79:BT81),0)</f>
        <v/>
      </c>
      <c r="BV79" s="454">
        <f>MAX(D79:BT81)</f>
        <v/>
      </c>
      <c r="BW79" s="238" t="n"/>
      <c r="BX79" s="238" t="n"/>
      <c r="BY79" s="238" t="n"/>
      <c r="BZ79" s="238" t="n"/>
      <c r="CA79" s="238" t="n"/>
      <c r="CB79" s="238" t="n"/>
      <c r="CC79" s="238" t="n"/>
      <c r="CD79" s="238" t="n"/>
      <c r="CE79" s="238" t="n"/>
      <c r="CF79" s="238" t="n"/>
      <c r="CG79" s="238" t="n"/>
      <c r="CH79" s="238" t="n"/>
      <c r="CI79" s="238" t="n"/>
      <c r="CJ79" s="238" t="n"/>
      <c r="CK79" s="238" t="n"/>
      <c r="CL79" s="238" t="n"/>
      <c r="CM79" s="238" t="n"/>
      <c r="CN79" s="238" t="n"/>
      <c r="CO79" s="238" t="n"/>
      <c r="CP79" s="238" t="n"/>
      <c r="CQ79" s="238" t="n"/>
      <c r="CR79" s="238" t="n"/>
      <c r="CS79" s="238" t="n"/>
      <c r="CT79" s="238" t="n"/>
      <c r="CU79" s="238" t="n"/>
      <c r="CV79" s="238" t="n"/>
      <c r="CW79" s="238" t="n"/>
      <c r="CX79" s="238" t="n"/>
      <c r="CY79" s="238" t="n"/>
      <c r="CZ79" s="238" t="n"/>
      <c r="DA79" s="238" t="n"/>
      <c r="DB79" s="238" t="n"/>
      <c r="DC79" s="238" t="n"/>
      <c r="DD79" s="238" t="n"/>
      <c r="DE79" s="238" t="n"/>
      <c r="DF79" s="238" t="n"/>
      <c r="DG79" s="238" t="n"/>
      <c r="DH79" s="238" t="n"/>
      <c r="DI79" s="238" t="n"/>
      <c r="DJ79" s="238" t="n"/>
      <c r="DK79" s="238" t="n"/>
      <c r="DL79" s="238" t="n"/>
      <c r="DM79" s="238" t="n"/>
      <c r="DN79" s="238" t="n"/>
      <c r="DO79" s="238" t="n"/>
      <c r="DP79" s="238" t="n"/>
      <c r="DQ79" s="238" t="n"/>
      <c r="DR79" s="238" t="n"/>
      <c r="DS79" s="238" t="n"/>
      <c r="DT79" s="238" t="n"/>
      <c r="DU79" s="238" t="n"/>
      <c r="DV79" s="238" t="n"/>
      <c r="DW79" s="238" t="n"/>
      <c r="DX79" s="238" t="n"/>
      <c r="DY79" s="238" t="n"/>
      <c r="DZ79" s="23" t="n"/>
      <c r="FQ79" s="212" t="n"/>
      <c r="FR79" s="212" t="n"/>
      <c r="FS79" s="212" t="n"/>
      <c r="FT79" s="212" t="n"/>
      <c r="FU79" s="212" t="n"/>
      <c r="FV79" s="212" t="n"/>
      <c r="FW79" s="212" t="n"/>
      <c r="FX79" s="212" t="n"/>
      <c r="FY79" s="212" t="n"/>
      <c r="FZ79" s="212" t="n"/>
    </row>
    <row r="80" ht="39.95" customFormat="1" customHeight="1" s="5">
      <c r="A80" s="182" t="inlineStr"/>
      <c r="B80" s="7" t="inlineStr">
        <is>
          <t>-27 IN</t>
        </is>
      </c>
      <c r="C80" s="11" t="inlineStr">
        <is>
          <t>C</t>
        </is>
      </c>
      <c r="D80" s="510" t="n">
        <v>2.91</v>
      </c>
      <c r="E80" s="486" t="n">
        <v>1.01</v>
      </c>
      <c r="F80" s="437" t="inlineStr">
        <is>
          <t>ND</t>
        </is>
      </c>
      <c r="G80" s="437" t="inlineStr">
        <is>
          <t>ND</t>
        </is>
      </c>
      <c r="H80" s="440" t="inlineStr">
        <is>
          <t>ND</t>
        </is>
      </c>
      <c r="I80" s="487" t="n">
        <v>1.79</v>
      </c>
      <c r="J80" s="437" t="inlineStr">
        <is>
          <t>ND</t>
        </is>
      </c>
      <c r="K80" s="437" t="inlineStr">
        <is>
          <t>ND</t>
        </is>
      </c>
      <c r="L80" s="437" t="inlineStr">
        <is>
          <t>ND</t>
        </is>
      </c>
      <c r="M80" s="488" t="inlineStr">
        <is>
          <t>ND</t>
        </is>
      </c>
      <c r="N80" s="490" t="n">
        <v>3.72</v>
      </c>
      <c r="O80" s="437" t="n">
        <v>0.878</v>
      </c>
      <c r="P80" s="485" t="inlineStr">
        <is>
          <t>ND</t>
        </is>
      </c>
      <c r="Q80" s="437" t="n">
        <v>0.882</v>
      </c>
      <c r="R80" s="488" t="inlineStr">
        <is>
          <t>ND</t>
        </is>
      </c>
      <c r="S80" s="443" t="n">
        <v>0.671</v>
      </c>
      <c r="T80" s="437" t="n">
        <v>0.878</v>
      </c>
      <c r="U80" s="437" t="inlineStr">
        <is>
          <t>ND</t>
        </is>
      </c>
      <c r="V80" s="437" t="inlineStr">
        <is>
          <t>ND</t>
        </is>
      </c>
      <c r="W80" s="440" t="n">
        <v>0.777</v>
      </c>
      <c r="X80" s="443" t="n">
        <v>0.788</v>
      </c>
      <c r="Y80" s="122" t="n">
        <v>0.358</v>
      </c>
      <c r="Z80" s="437" t="inlineStr">
        <is>
          <t>ND</t>
        </is>
      </c>
      <c r="AA80" s="437" t="n">
        <v>0.141</v>
      </c>
      <c r="AB80" s="440" t="n">
        <v>0.217</v>
      </c>
      <c r="AC80" s="487" t="n">
        <v>1.14</v>
      </c>
      <c r="AD80" s="485" t="n">
        <v>2.62</v>
      </c>
      <c r="AE80" s="486" t="n">
        <v>1.34</v>
      </c>
      <c r="AF80" s="485" t="n">
        <v>1.24</v>
      </c>
      <c r="AG80" s="488" t="inlineStr">
        <is>
          <t>ND</t>
        </is>
      </c>
      <c r="AH80" s="443" t="n">
        <v>0.819</v>
      </c>
      <c r="AI80" s="485" t="n">
        <v>2.11</v>
      </c>
      <c r="AJ80" s="485" t="inlineStr">
        <is>
          <t>ND</t>
        </is>
      </c>
      <c r="AK80" s="485" t="n">
        <v>1.38</v>
      </c>
      <c r="AL80" s="488" t="n">
        <v>1.18</v>
      </c>
      <c r="AM80" s="490" t="n">
        <v>1.91</v>
      </c>
      <c r="AN80" s="485" t="n">
        <v>1.46</v>
      </c>
      <c r="AO80" s="437" t="inlineStr">
        <is>
          <t>ND</t>
        </is>
      </c>
      <c r="AP80" s="437" t="inlineStr">
        <is>
          <t>ND</t>
        </is>
      </c>
      <c r="AQ80" s="440" t="inlineStr">
        <is>
          <t>ND</t>
        </is>
      </c>
      <c r="AR80" s="443" t="inlineStr">
        <is>
          <t>ND</t>
        </is>
      </c>
      <c r="AS80" s="486" t="n">
        <v>2.08</v>
      </c>
      <c r="AT80" s="437" t="inlineStr">
        <is>
          <t>ND</t>
        </is>
      </c>
      <c r="AU80" s="437" t="inlineStr">
        <is>
          <t>ND</t>
        </is>
      </c>
      <c r="AV80" s="440" t="inlineStr">
        <is>
          <t>ND</t>
        </is>
      </c>
      <c r="AW80" s="443" t="inlineStr">
        <is>
          <t>ND</t>
        </is>
      </c>
      <c r="AX80" s="554" t="n">
        <v>12.2</v>
      </c>
      <c r="AY80" s="437" t="inlineStr">
        <is>
          <t>ND</t>
        </is>
      </c>
      <c r="AZ80" s="437" t="inlineStr">
        <is>
          <t>ND</t>
        </is>
      </c>
      <c r="BA80" s="440" t="n">
        <v>0.779</v>
      </c>
      <c r="BB80" s="443" t="inlineStr">
        <is>
          <t>ND</t>
        </is>
      </c>
      <c r="BC80" s="485" t="n">
        <v>1.14</v>
      </c>
      <c r="BD80" s="437" t="n">
        <v>0.114</v>
      </c>
      <c r="BE80" s="485" t="n">
        <v>1.32</v>
      </c>
      <c r="BF80" s="440" t="inlineStr">
        <is>
          <t>ND</t>
        </is>
      </c>
      <c r="BG80" s="443" t="n">
        <v>0.466</v>
      </c>
      <c r="BH80" s="437" t="n">
        <v>0.945</v>
      </c>
      <c r="BI80" s="437" t="n">
        <v>0.267</v>
      </c>
      <c r="BJ80" s="539" t="inlineStr">
        <is>
          <t>ND</t>
        </is>
      </c>
      <c r="BK80" s="488" t="n">
        <v>1.61</v>
      </c>
      <c r="BL80" s="522" t="inlineStr">
        <is>
          <t>ND</t>
        </is>
      </c>
      <c r="BM80" s="485" t="n">
        <v>1.13</v>
      </c>
      <c r="BN80" s="486" t="n">
        <v>1.39</v>
      </c>
      <c r="BO80" s="437" t="inlineStr">
        <is>
          <t>ND</t>
        </is>
      </c>
      <c r="BP80" s="440" t="inlineStr">
        <is>
          <t>ND</t>
        </is>
      </c>
      <c r="BQ80" s="487" t="n">
        <v>3.17</v>
      </c>
      <c r="BR80" s="437" t="n">
        <v>0.366</v>
      </c>
      <c r="BS80" s="485" t="n">
        <v>1.14</v>
      </c>
      <c r="BT80" s="489" t="n">
        <v>3.59</v>
      </c>
      <c r="BU80" s="455" t="n"/>
      <c r="BV80" s="455" t="n"/>
      <c r="BW80" s="238" t="n"/>
      <c r="BX80" s="238" t="n"/>
      <c r="BY80" s="238" t="n"/>
      <c r="BZ80" s="238" t="n"/>
      <c r="CA80" s="238" t="n"/>
      <c r="CB80" s="238" t="n"/>
      <c r="CC80" s="238" t="n"/>
      <c r="CD80" s="238" t="n"/>
      <c r="CE80" s="238" t="n"/>
      <c r="CF80" s="238" t="n"/>
      <c r="CG80" s="238" t="n"/>
      <c r="CH80" s="238" t="n"/>
      <c r="CI80" s="238" t="n"/>
      <c r="CJ80" s="238" t="n"/>
      <c r="CK80" s="238" t="n"/>
      <c r="CL80" s="238" t="n"/>
      <c r="CM80" s="238" t="n"/>
      <c r="CN80" s="238" t="n"/>
      <c r="CO80" s="238" t="n"/>
      <c r="CP80" s="238" t="n"/>
      <c r="CQ80" s="238" t="n"/>
      <c r="CR80" s="238" t="n"/>
      <c r="CS80" s="238" t="n"/>
      <c r="CT80" s="238" t="n"/>
      <c r="CU80" s="238" t="n"/>
      <c r="CV80" s="238" t="n"/>
      <c r="CW80" s="238" t="n"/>
      <c r="CX80" s="238" t="n"/>
      <c r="CY80" s="238" t="n"/>
      <c r="CZ80" s="238" t="n"/>
      <c r="DA80" s="238" t="n"/>
      <c r="DB80" s="238" t="n"/>
      <c r="DC80" s="238" t="n"/>
      <c r="DD80" s="238" t="n"/>
      <c r="DE80" s="238" t="n"/>
      <c r="DF80" s="238" t="n"/>
      <c r="DG80" s="238" t="n"/>
      <c r="DH80" s="238" t="n"/>
      <c r="DI80" s="238" t="n"/>
      <c r="DJ80" s="238" t="n"/>
      <c r="DK80" s="238" t="n"/>
      <c r="DL80" s="238" t="n"/>
      <c r="DM80" s="238" t="n"/>
      <c r="DN80" s="238" t="n"/>
      <c r="DO80" s="238" t="n"/>
      <c r="DP80" s="238" t="n"/>
      <c r="DQ80" s="238" t="n"/>
      <c r="DR80" s="238" t="n"/>
      <c r="DS80" s="238" t="n"/>
      <c r="DT80" s="238" t="n"/>
      <c r="DU80" s="238" t="n"/>
      <c r="DV80" s="238" t="n"/>
      <c r="DW80" s="238" t="n"/>
      <c r="DX80" s="238" t="n"/>
      <c r="DY80" s="238" t="n"/>
      <c r="DZ80" s="23" t="n"/>
      <c r="FQ80" s="212" t="n"/>
      <c r="FR80" s="212" t="n"/>
      <c r="FS80" s="212" t="n"/>
      <c r="FT80" s="212" t="n"/>
      <c r="FU80" s="212" t="n"/>
      <c r="FV80" s="212" t="n"/>
      <c r="FW80" s="212" t="n"/>
      <c r="FX80" s="212" t="n"/>
      <c r="FY80" s="212" t="n"/>
      <c r="FZ80" s="212" t="n"/>
    </row>
    <row r="81" ht="39.95" customFormat="1" customHeight="1" s="5">
      <c r="A81" s="456" t="n"/>
      <c r="B81" s="8" t="n"/>
      <c r="C81" s="12" t="inlineStr">
        <is>
          <t>R</t>
        </is>
      </c>
      <c r="D81" s="435" t="inlineStr">
        <is>
          <t>ND</t>
        </is>
      </c>
      <c r="E81" s="438" t="n">
        <v>0.339</v>
      </c>
      <c r="F81" s="438" t="inlineStr">
        <is>
          <t>ND</t>
        </is>
      </c>
      <c r="G81" s="125" t="n">
        <v>0.422</v>
      </c>
      <c r="H81" s="441" t="inlineStr">
        <is>
          <t>ND</t>
        </is>
      </c>
      <c r="I81" s="496" t="n">
        <v>1.46</v>
      </c>
      <c r="J81" s="497" t="n">
        <v>1.03</v>
      </c>
      <c r="K81" s="497" t="n">
        <v>1.53</v>
      </c>
      <c r="L81" s="497" t="n">
        <v>1.31</v>
      </c>
      <c r="M81" s="441" t="inlineStr">
        <is>
          <t>ND</t>
        </is>
      </c>
      <c r="N81" s="505" t="n">
        <v>2.27</v>
      </c>
      <c r="O81" s="494" t="inlineStr">
        <is>
          <t>ND</t>
        </is>
      </c>
      <c r="P81" s="438" t="inlineStr">
        <is>
          <t>ND</t>
        </is>
      </c>
      <c r="Q81" s="438" t="inlineStr">
        <is>
          <t>ND</t>
        </is>
      </c>
      <c r="R81" s="495" t="n">
        <v>1.83</v>
      </c>
      <c r="S81" s="444" t="inlineStr">
        <is>
          <t>ND</t>
        </is>
      </c>
      <c r="T81" s="438" t="n">
        <v>0.364</v>
      </c>
      <c r="U81" s="497" t="n">
        <v>1.22</v>
      </c>
      <c r="V81" s="438" t="n">
        <v>0.713</v>
      </c>
      <c r="W81" s="441" t="inlineStr">
        <is>
          <t>ND</t>
        </is>
      </c>
      <c r="X81" s="444" t="inlineStr">
        <is>
          <t>ND</t>
        </is>
      </c>
      <c r="Y81" s="497" t="n">
        <v>3.01</v>
      </c>
      <c r="Z81" s="497" t="n">
        <v>3.68</v>
      </c>
      <c r="AA81" s="497" t="n">
        <v>1.25</v>
      </c>
      <c r="AB81" s="105" t="inlineStr">
        <is>
          <t>ND</t>
        </is>
      </c>
      <c r="AC81" s="444" t="n">
        <v>0.08400000000000001</v>
      </c>
      <c r="AD81" s="497" t="n">
        <v>2.42</v>
      </c>
      <c r="AE81" s="494" t="n">
        <v>1.86</v>
      </c>
      <c r="AF81" s="492" t="n">
        <v>2.5</v>
      </c>
      <c r="AG81" s="441" t="inlineStr">
        <is>
          <t>ND</t>
        </is>
      </c>
      <c r="AH81" s="505" t="n">
        <v>1.43</v>
      </c>
      <c r="AI81" s="497" t="n">
        <v>1.71</v>
      </c>
      <c r="AJ81" s="497" t="n">
        <v>1.51</v>
      </c>
      <c r="AK81" s="438" t="inlineStr">
        <is>
          <t>ND</t>
        </is>
      </c>
      <c r="AL81" s="441" t="inlineStr">
        <is>
          <t>ND</t>
        </is>
      </c>
      <c r="AM81" s="444" t="inlineStr">
        <is>
          <t>ND</t>
        </is>
      </c>
      <c r="AN81" s="494" t="n">
        <v>1.67</v>
      </c>
      <c r="AO81" s="438" t="n">
        <v>0.08599999999999999</v>
      </c>
      <c r="AP81" s="438" t="inlineStr">
        <is>
          <t>ND</t>
        </is>
      </c>
      <c r="AQ81" s="498" t="n">
        <v>1.51</v>
      </c>
      <c r="AR81" s="505" t="n">
        <v>1.74</v>
      </c>
      <c r="AS81" s="438" t="inlineStr">
        <is>
          <t>ND</t>
        </is>
      </c>
      <c r="AT81" s="438" t="inlineStr">
        <is>
          <t>ND</t>
        </is>
      </c>
      <c r="AU81" s="492" t="inlineStr">
        <is>
          <t>ND</t>
        </is>
      </c>
      <c r="AV81" s="441" t="inlineStr">
        <is>
          <t>ND</t>
        </is>
      </c>
      <c r="AW81" s="444" t="inlineStr">
        <is>
          <t>ND</t>
        </is>
      </c>
      <c r="AX81" s="438" t="inlineStr">
        <is>
          <t>ND</t>
        </is>
      </c>
      <c r="AY81" s="438" t="inlineStr">
        <is>
          <t>ND</t>
        </is>
      </c>
      <c r="AZ81" s="497" t="n">
        <v>2.25</v>
      </c>
      <c r="BA81" s="537" t="n">
        <v>2.1</v>
      </c>
      <c r="BB81" s="444" t="n">
        <v>0.533</v>
      </c>
      <c r="BC81" s="125" t="n">
        <v>0.6919999999999999</v>
      </c>
      <c r="BD81" s="438" t="n">
        <v>0.1</v>
      </c>
      <c r="BE81" s="438" t="n">
        <v>0.184</v>
      </c>
      <c r="BF81" s="441" t="inlineStr">
        <is>
          <t>ND</t>
        </is>
      </c>
      <c r="BG81" s="444" t="inlineStr">
        <is>
          <t>ND</t>
        </is>
      </c>
      <c r="BH81" s="497" t="n">
        <v>1.83</v>
      </c>
      <c r="BI81" s="497" t="n">
        <v>1.75</v>
      </c>
      <c r="BJ81" s="497" t="n">
        <v>1.12</v>
      </c>
      <c r="BK81" s="441" t="inlineStr">
        <is>
          <t>ND</t>
        </is>
      </c>
      <c r="BL81" s="496" t="n">
        <v>1.29</v>
      </c>
      <c r="BM81" s="438" t="n">
        <v>0.502</v>
      </c>
      <c r="BN81" s="526" t="inlineStr">
        <is>
          <t>ND</t>
        </is>
      </c>
      <c r="BO81" s="438" t="inlineStr">
        <is>
          <t>ND</t>
        </is>
      </c>
      <c r="BP81" s="441" t="inlineStr">
        <is>
          <t>ND</t>
        </is>
      </c>
      <c r="BQ81" s="444" t="inlineStr">
        <is>
          <t>ND</t>
        </is>
      </c>
      <c r="BR81" s="497" t="n">
        <v>4.21</v>
      </c>
      <c r="BS81" s="438" t="inlineStr">
        <is>
          <t>ND</t>
        </is>
      </c>
      <c r="BT81" s="441" t="inlineStr">
        <is>
          <t>ND</t>
        </is>
      </c>
      <c r="BU81" s="457" t="n"/>
      <c r="BV81" s="457" t="n"/>
      <c r="BW81" s="238" t="n"/>
      <c r="BX81" s="238" t="n"/>
      <c r="BY81" s="238" t="n"/>
      <c r="BZ81" s="238" t="n"/>
      <c r="CA81" s="238" t="n"/>
      <c r="CB81" s="238" t="n"/>
      <c r="CC81" s="238" t="n"/>
      <c r="CD81" s="238" t="n"/>
      <c r="CE81" s="238" t="n"/>
      <c r="CF81" s="238" t="n"/>
      <c r="CG81" s="238" t="n"/>
      <c r="CH81" s="238" t="n"/>
      <c r="CI81" s="238" t="n"/>
      <c r="CJ81" s="238" t="n"/>
      <c r="CK81" s="238" t="n"/>
      <c r="CL81" s="238" t="n"/>
      <c r="CM81" s="238" t="n"/>
      <c r="CN81" s="238" t="n"/>
      <c r="CO81" s="238" t="n"/>
      <c r="CP81" s="238" t="n"/>
      <c r="CQ81" s="238" t="n"/>
      <c r="CR81" s="238" t="n"/>
      <c r="CS81" s="238" t="n"/>
      <c r="CT81" s="238" t="n"/>
      <c r="CU81" s="238" t="n"/>
      <c r="CV81" s="238" t="n"/>
      <c r="CW81" s="238" t="n"/>
      <c r="CX81" s="238" t="n"/>
      <c r="CY81" s="238" t="n"/>
      <c r="CZ81" s="238" t="n"/>
      <c r="DA81" s="238" t="n"/>
      <c r="DB81" s="238" t="n"/>
      <c r="DC81" s="238" t="n"/>
      <c r="DD81" s="238" t="n"/>
      <c r="DE81" s="238" t="n"/>
      <c r="DF81" s="238" t="n"/>
      <c r="DG81" s="238" t="n"/>
      <c r="DH81" s="238" t="n"/>
      <c r="DI81" s="238" t="n"/>
      <c r="DJ81" s="238" t="n"/>
      <c r="DK81" s="238" t="n"/>
      <c r="DL81" s="238" t="n"/>
      <c r="DM81" s="238" t="n"/>
      <c r="DN81" s="238" t="n"/>
      <c r="DO81" s="238" t="n"/>
      <c r="DP81" s="238" t="n"/>
      <c r="DQ81" s="238" t="n"/>
      <c r="DR81" s="238" t="n"/>
      <c r="DS81" s="238" t="n"/>
      <c r="DT81" s="238" t="n"/>
      <c r="DU81" s="238" t="n"/>
      <c r="DV81" s="238" t="n"/>
      <c r="DW81" s="238" t="n"/>
      <c r="DX81" s="238" t="n"/>
      <c r="DY81" s="238" t="n"/>
      <c r="DZ81" s="23" t="n"/>
      <c r="FQ81" s="212" t="n"/>
      <c r="FR81" s="212" t="n"/>
      <c r="FS81" s="212" t="n"/>
      <c r="FT81" s="212" t="n"/>
      <c r="FU81" s="212" t="n"/>
      <c r="FV81" s="212" t="n"/>
      <c r="FW81" s="212" t="n"/>
      <c r="FX81" s="212" t="n"/>
      <c r="FY81" s="212" t="n"/>
      <c r="FZ81" s="212" t="n"/>
    </row>
    <row r="82" ht="39.95" customFormat="1" customHeight="1" s="5">
      <c r="A82" s="10" t="inlineStr">
        <is>
          <t>A</t>
        </is>
      </c>
      <c r="B82" s="6" t="n"/>
      <c r="C82" s="11" t="inlineStr">
        <is>
          <t>L</t>
        </is>
      </c>
      <c r="D82" s="433" t="inlineStr">
        <is>
          <t>ND</t>
        </is>
      </c>
      <c r="E82" s="479" t="n">
        <v>4.7</v>
      </c>
      <c r="F82" s="475" t="n">
        <v>7.18</v>
      </c>
      <c r="G82" s="436" t="inlineStr">
        <is>
          <t>ND</t>
        </is>
      </c>
      <c r="H82" s="480" t="n">
        <v>1.33</v>
      </c>
      <c r="I82" s="483" t="n">
        <v>2.05</v>
      </c>
      <c r="J82" s="436" t="n">
        <v>0.228</v>
      </c>
      <c r="K82" s="436" t="inlineStr">
        <is>
          <t>ND</t>
        </is>
      </c>
      <c r="L82" s="436" t="n">
        <v>0.14</v>
      </c>
      <c r="M82" s="439" t="inlineStr">
        <is>
          <t>ND</t>
        </is>
      </c>
      <c r="N82" s="442" t="n">
        <v>0.058</v>
      </c>
      <c r="O82" s="436" t="inlineStr">
        <is>
          <t>ND</t>
        </is>
      </c>
      <c r="P82" s="479" t="inlineStr">
        <is>
          <t>ND</t>
        </is>
      </c>
      <c r="Q82" s="436" t="inlineStr">
        <is>
          <t>ND</t>
        </is>
      </c>
      <c r="R82" s="480" t="n">
        <v>1.46</v>
      </c>
      <c r="S82" s="477" t="inlineStr">
        <is>
          <t>ND</t>
        </is>
      </c>
      <c r="T82" s="478" t="inlineStr">
        <is>
          <t>ND</t>
        </is>
      </c>
      <c r="U82" s="475" t="n">
        <v>1.84</v>
      </c>
      <c r="V82" s="436" t="n">
        <v>0.536</v>
      </c>
      <c r="W82" s="113" t="n">
        <v>0.576</v>
      </c>
      <c r="X82" s="500" t="n">
        <v>3.2</v>
      </c>
      <c r="Y82" s="112" t="n">
        <v>0.871</v>
      </c>
      <c r="Z82" s="436" t="n">
        <v>0.597</v>
      </c>
      <c r="AA82" s="436" t="inlineStr">
        <is>
          <t>ND</t>
        </is>
      </c>
      <c r="AB82" s="113" t="n">
        <v>0.652</v>
      </c>
      <c r="AC82" s="483" t="n">
        <v>1.98</v>
      </c>
      <c r="AD82" s="436" t="inlineStr">
        <is>
          <t>ND</t>
        </is>
      </c>
      <c r="AE82" s="436" t="inlineStr">
        <is>
          <t>ND</t>
        </is>
      </c>
      <c r="AF82" s="475" t="n">
        <v>1.27</v>
      </c>
      <c r="AG82" s="476" t="n">
        <v>1.71</v>
      </c>
      <c r="AH82" s="483" t="n">
        <v>3.52</v>
      </c>
      <c r="AI82" s="475" t="n">
        <v>1.57</v>
      </c>
      <c r="AJ82" s="478" t="n">
        <v>2.09</v>
      </c>
      <c r="AK82" s="436" t="inlineStr">
        <is>
          <t>ND</t>
        </is>
      </c>
      <c r="AL82" s="439" t="inlineStr">
        <is>
          <t>ND</t>
        </is>
      </c>
      <c r="AM82" s="477" t="n">
        <v>1.99</v>
      </c>
      <c r="AN82" s="478" t="n">
        <v>1.55</v>
      </c>
      <c r="AO82" s="436" t="n">
        <v>0.862</v>
      </c>
      <c r="AP82" s="475" t="n">
        <v>1.73</v>
      </c>
      <c r="AQ82" s="439" t="n">
        <v>0.679</v>
      </c>
      <c r="AR82" s="442" t="inlineStr">
        <is>
          <t>ND</t>
        </is>
      </c>
      <c r="AS82" s="436" t="inlineStr">
        <is>
          <t>ND</t>
        </is>
      </c>
      <c r="AT82" s="436" t="inlineStr">
        <is>
          <t>ND</t>
        </is>
      </c>
      <c r="AU82" s="436" t="inlineStr">
        <is>
          <t>ND</t>
        </is>
      </c>
      <c r="AV82" s="439" t="inlineStr">
        <is>
          <t>ND</t>
        </is>
      </c>
      <c r="AW82" s="442" t="inlineStr">
        <is>
          <t>ND</t>
        </is>
      </c>
      <c r="AX82" s="436" t="n">
        <v>0.6889999999999999</v>
      </c>
      <c r="AY82" s="436" t="inlineStr">
        <is>
          <t>ND</t>
        </is>
      </c>
      <c r="AZ82" s="436" t="n">
        <v>0.319</v>
      </c>
      <c r="BA82" s="476" t="n">
        <v>7.89</v>
      </c>
      <c r="BB82" s="442" t="n">
        <v>0.354</v>
      </c>
      <c r="BC82" s="436" t="inlineStr">
        <is>
          <t>ND</t>
        </is>
      </c>
      <c r="BD82" s="436" t="inlineStr">
        <is>
          <t>ND</t>
        </is>
      </c>
      <c r="BE82" s="112" t="n">
        <v>0.394</v>
      </c>
      <c r="BF82" s="439" t="n">
        <v>0.8179999999999999</v>
      </c>
      <c r="BG82" s="477" t="n">
        <v>2.43</v>
      </c>
      <c r="BH82" s="436" t="n">
        <v>0.223</v>
      </c>
      <c r="BI82" s="436" t="n">
        <v>0.115</v>
      </c>
      <c r="BJ82" s="112" t="n">
        <v>0.054</v>
      </c>
      <c r="BK82" s="439" t="inlineStr">
        <is>
          <t>ND</t>
        </is>
      </c>
      <c r="BL82" s="442" t="n">
        <v>0.081</v>
      </c>
      <c r="BM82" s="475" t="n">
        <v>2.58</v>
      </c>
      <c r="BN82" s="481" t="n">
        <v>1.8</v>
      </c>
      <c r="BO82" s="436" t="n">
        <v>0.369</v>
      </c>
      <c r="BP82" s="439" t="inlineStr">
        <is>
          <t>ND</t>
        </is>
      </c>
      <c r="BQ82" s="442" t="n">
        <v>0.407</v>
      </c>
      <c r="BR82" s="436" t="inlineStr">
        <is>
          <t>ND</t>
        </is>
      </c>
      <c r="BS82" s="436" t="inlineStr">
        <is>
          <t>ND</t>
        </is>
      </c>
      <c r="BT82" s="439" t="inlineStr">
        <is>
          <t>ND</t>
        </is>
      </c>
      <c r="BU82" s="454">
        <f>IFERROR(AVERAGE(D82:BT84),0)</f>
        <v/>
      </c>
      <c r="BV82" s="454">
        <f>MAX(D82:BT84)</f>
        <v/>
      </c>
      <c r="BW82" s="437" t="n"/>
      <c r="BX82" s="437" t="n"/>
      <c r="BY82" s="437" t="n"/>
      <c r="BZ82" s="437" t="n"/>
      <c r="CA82" s="437" t="n"/>
      <c r="CB82" s="437" t="n"/>
      <c r="CC82" s="437" t="n"/>
      <c r="CD82" s="437" t="n"/>
      <c r="CE82" s="437" t="n"/>
      <c r="CF82" s="437" t="n"/>
      <c r="CG82" s="437" t="n"/>
      <c r="CH82" s="437" t="n"/>
      <c r="CI82" s="437" t="n"/>
      <c r="CJ82" s="437" t="n"/>
      <c r="CK82" s="437" t="n"/>
      <c r="CL82" s="437" t="n"/>
      <c r="CM82" s="437" t="n"/>
      <c r="CN82" s="437" t="n"/>
      <c r="CO82" s="437" t="n"/>
      <c r="CP82" s="437" t="n"/>
      <c r="CQ82" s="437" t="n"/>
      <c r="CR82" s="437" t="n"/>
      <c r="CS82" s="437" t="n"/>
      <c r="CT82" s="437" t="n"/>
      <c r="CU82" s="437" t="n"/>
      <c r="CV82" s="437" t="n"/>
      <c r="CW82" s="437" t="n"/>
      <c r="CX82" s="437" t="n"/>
      <c r="CY82" s="437" t="n"/>
      <c r="CZ82" s="437" t="n"/>
      <c r="DA82" s="437" t="n"/>
      <c r="DB82" s="437" t="n"/>
      <c r="DC82" s="437" t="n"/>
      <c r="DD82" s="437" t="n"/>
      <c r="DE82" s="437" t="n"/>
      <c r="DF82" s="437" t="n"/>
      <c r="DG82" s="437" t="n"/>
      <c r="DH82" s="437" t="n"/>
      <c r="DI82" s="437" t="n"/>
      <c r="DJ82" s="437" t="n"/>
      <c r="DK82" s="437" t="n"/>
      <c r="DL82" s="437" t="n"/>
      <c r="DM82" s="437" t="n"/>
      <c r="DN82" s="437" t="n"/>
      <c r="DO82" s="437" t="n"/>
      <c r="DP82" s="437" t="n"/>
      <c r="DQ82" s="437" t="n"/>
      <c r="DR82" s="437" t="n"/>
      <c r="DS82" s="437" t="n"/>
      <c r="DT82" s="437" t="n"/>
      <c r="DU82" s="437" t="n"/>
      <c r="DV82" s="437" t="n"/>
      <c r="DW82" s="437" t="n"/>
      <c r="DX82" s="437" t="n"/>
      <c r="DY82" s="238" t="n"/>
      <c r="DZ82" s="23" t="n"/>
      <c r="FQ82" s="212" t="n"/>
      <c r="FR82" s="212" t="n"/>
      <c r="FS82" s="212" t="n"/>
      <c r="FT82" s="212" t="n"/>
      <c r="FU82" s="212" t="n"/>
      <c r="FV82" s="212" t="n"/>
      <c r="FW82" s="212" t="n"/>
      <c r="FX82" s="212" t="n"/>
      <c r="FY82" s="212" t="n"/>
      <c r="FZ82" s="212" t="n"/>
    </row>
    <row r="83" ht="39.95" customFormat="1" customHeight="1" s="5">
      <c r="A83" s="182" t="inlineStr"/>
      <c r="B83" s="7" t="inlineStr">
        <is>
          <t>-36 IN</t>
        </is>
      </c>
      <c r="C83" s="11" t="inlineStr">
        <is>
          <t>C</t>
        </is>
      </c>
      <c r="D83" s="510" t="n">
        <v>3.96</v>
      </c>
      <c r="E83" s="485" t="n">
        <v>6.26</v>
      </c>
      <c r="F83" s="437" t="inlineStr">
        <is>
          <t>ND</t>
        </is>
      </c>
      <c r="G83" s="437" t="inlineStr">
        <is>
          <t>ND</t>
        </is>
      </c>
      <c r="H83" s="440" t="n">
        <v>0.8169999999999999</v>
      </c>
      <c r="I83" s="443" t="n">
        <v>0.9429999999999999</v>
      </c>
      <c r="J83" s="437" t="inlineStr">
        <is>
          <t>ND</t>
        </is>
      </c>
      <c r="K83" s="486" t="n">
        <v>1.37</v>
      </c>
      <c r="L83" s="437" t="n">
        <v>0.241</v>
      </c>
      <c r="M83" s="488" t="n">
        <v>1.26</v>
      </c>
      <c r="N83" s="490" t="inlineStr">
        <is>
          <t>ND</t>
        </is>
      </c>
      <c r="O83" s="437" t="inlineStr">
        <is>
          <t>ND</t>
        </is>
      </c>
      <c r="P83" s="485" t="inlineStr">
        <is>
          <t>ND</t>
        </is>
      </c>
      <c r="Q83" s="486" t="n">
        <v>1.15</v>
      </c>
      <c r="R83" s="489" t="n">
        <v>1.33</v>
      </c>
      <c r="S83" s="443" t="inlineStr">
        <is>
          <t>ND</t>
        </is>
      </c>
      <c r="T83" s="485" t="inlineStr">
        <is>
          <t>ND</t>
        </is>
      </c>
      <c r="U83" s="437" t="n">
        <v>0.234</v>
      </c>
      <c r="V83" s="437" t="inlineStr">
        <is>
          <t>ND</t>
        </is>
      </c>
      <c r="W83" s="489" t="n">
        <v>1.68</v>
      </c>
      <c r="X83" s="443" t="inlineStr">
        <is>
          <t>ND</t>
        </is>
      </c>
      <c r="Y83" s="437" t="inlineStr">
        <is>
          <t>ND</t>
        </is>
      </c>
      <c r="Z83" s="485" t="inlineStr">
        <is>
          <t>ND</t>
        </is>
      </c>
      <c r="AA83" s="437" t="inlineStr">
        <is>
          <t>ND</t>
        </is>
      </c>
      <c r="AB83" s="120" t="n">
        <v>0.16</v>
      </c>
      <c r="AC83" s="132" t="n">
        <v>0.767</v>
      </c>
      <c r="AD83" s="437" t="inlineStr">
        <is>
          <t>ND</t>
        </is>
      </c>
      <c r="AE83" s="437" t="inlineStr">
        <is>
          <t>ND</t>
        </is>
      </c>
      <c r="AF83" s="437" t="inlineStr">
        <is>
          <t>ND</t>
        </is>
      </c>
      <c r="AG83" s="488" t="n">
        <v>1.44</v>
      </c>
      <c r="AH83" s="546" t="n">
        <v>2</v>
      </c>
      <c r="AI83" s="486" t="n">
        <v>2.05</v>
      </c>
      <c r="AJ83" s="437" t="inlineStr">
        <is>
          <t>ND</t>
        </is>
      </c>
      <c r="AK83" s="437" t="inlineStr">
        <is>
          <t>ND</t>
        </is>
      </c>
      <c r="AL83" s="488" t="n">
        <v>1.15</v>
      </c>
      <c r="AM83" s="490" t="inlineStr">
        <is>
          <t>ND</t>
        </is>
      </c>
      <c r="AN83" s="437" t="inlineStr">
        <is>
          <t>ND</t>
        </is>
      </c>
      <c r="AO83" s="437" t="inlineStr">
        <is>
          <t>ND</t>
        </is>
      </c>
      <c r="AP83" s="437" t="inlineStr">
        <is>
          <t>ND</t>
        </is>
      </c>
      <c r="AQ83" s="440" t="inlineStr">
        <is>
          <t>ND</t>
        </is>
      </c>
      <c r="AR83" s="487" t="n">
        <v>1.67</v>
      </c>
      <c r="AS83" s="486" t="n">
        <v>1.52</v>
      </c>
      <c r="AT83" s="437" t="inlineStr">
        <is>
          <t>ND</t>
        </is>
      </c>
      <c r="AU83" s="485" t="inlineStr">
        <is>
          <t>ND</t>
        </is>
      </c>
      <c r="AV83" s="440" t="inlineStr">
        <is>
          <t>ND</t>
        </is>
      </c>
      <c r="AW83" s="443" t="inlineStr">
        <is>
          <t>ND</t>
        </is>
      </c>
      <c r="AX83" s="437" t="n">
        <v>0.443</v>
      </c>
      <c r="AY83" s="437" t="inlineStr">
        <is>
          <t>ND</t>
        </is>
      </c>
      <c r="AZ83" s="437" t="inlineStr">
        <is>
          <t>ND</t>
        </is>
      </c>
      <c r="BA83" s="488" t="inlineStr">
        <is>
          <t>ND</t>
        </is>
      </c>
      <c r="BB83" s="443" t="inlineStr">
        <is>
          <t>ND</t>
        </is>
      </c>
      <c r="BC83" s="437" t="inlineStr">
        <is>
          <t>ND</t>
        </is>
      </c>
      <c r="BD83" s="122" t="n">
        <v>0.44</v>
      </c>
      <c r="BE83" s="486" t="n">
        <v>1.67</v>
      </c>
      <c r="BF83" s="488" t="inlineStr">
        <is>
          <t>ND</t>
        </is>
      </c>
      <c r="BG83" s="490" t="n">
        <v>2.47</v>
      </c>
      <c r="BH83" s="437" t="inlineStr">
        <is>
          <t>ND</t>
        </is>
      </c>
      <c r="BI83" s="485" t="inlineStr">
        <is>
          <t>ND</t>
        </is>
      </c>
      <c r="BJ83" s="485" t="inlineStr">
        <is>
          <t>ND</t>
        </is>
      </c>
      <c r="BK83" s="440" t="inlineStr">
        <is>
          <t>ND</t>
        </is>
      </c>
      <c r="BL83" s="490" t="inlineStr">
        <is>
          <t>ND</t>
        </is>
      </c>
      <c r="BM83" s="486" t="n">
        <v>1.19</v>
      </c>
      <c r="BN83" s="437" t="n">
        <v>0.737</v>
      </c>
      <c r="BO83" s="437" t="inlineStr">
        <is>
          <t>ND</t>
        </is>
      </c>
      <c r="BP83" s="440" t="n">
        <v>0.329</v>
      </c>
      <c r="BQ83" s="443" t="n">
        <v>0.271</v>
      </c>
      <c r="BR83" s="437" t="inlineStr">
        <is>
          <t>ND</t>
        </is>
      </c>
      <c r="BS83" s="485" t="n">
        <v>4.79</v>
      </c>
      <c r="BT83" s="440" t="n">
        <v>0.55</v>
      </c>
      <c r="BU83" s="455" t="n"/>
      <c r="BV83" s="455" t="n"/>
      <c r="BW83" s="437" t="n"/>
      <c r="BX83" s="437" t="n"/>
      <c r="BY83" s="437" t="n"/>
      <c r="BZ83" s="437" t="n"/>
      <c r="CA83" s="437" t="n"/>
      <c r="CB83" s="437" t="n"/>
      <c r="CC83" s="437" t="n"/>
      <c r="CD83" s="437" t="n"/>
      <c r="CE83" s="437" t="n"/>
      <c r="CF83" s="437" t="n"/>
      <c r="CG83" s="437" t="n"/>
      <c r="CH83" s="437" t="n"/>
      <c r="CI83" s="437" t="n"/>
      <c r="CJ83" s="437" t="n"/>
      <c r="CK83" s="437" t="n"/>
      <c r="CL83" s="437" t="n"/>
      <c r="CM83" s="437" t="n"/>
      <c r="CN83" s="437" t="n"/>
      <c r="CO83" s="437" t="n"/>
      <c r="CP83" s="437" t="n"/>
      <c r="CQ83" s="437" t="n"/>
      <c r="CR83" s="437" t="n"/>
      <c r="CS83" s="437" t="n"/>
      <c r="CT83" s="437" t="n"/>
      <c r="CU83" s="437" t="n"/>
      <c r="CV83" s="437" t="n"/>
      <c r="CW83" s="437" t="n"/>
      <c r="CX83" s="437" t="n"/>
      <c r="CY83" s="437" t="n"/>
      <c r="CZ83" s="437" t="n"/>
      <c r="DA83" s="437" t="n"/>
      <c r="DB83" s="437" t="n"/>
      <c r="DC83" s="437" t="n"/>
      <c r="DD83" s="437" t="n"/>
      <c r="DE83" s="437" t="n"/>
      <c r="DF83" s="437" t="n"/>
      <c r="DG83" s="437" t="n"/>
      <c r="DH83" s="437" t="n"/>
      <c r="DI83" s="437" t="n"/>
      <c r="DJ83" s="437" t="n"/>
      <c r="DK83" s="437" t="n"/>
      <c r="DL83" s="437" t="n"/>
      <c r="DM83" s="437" t="n"/>
      <c r="DN83" s="437" t="n"/>
      <c r="DO83" s="437" t="n"/>
      <c r="DP83" s="437" t="n"/>
      <c r="DQ83" s="437" t="n"/>
      <c r="DR83" s="437" t="n"/>
      <c r="DS83" s="437" t="n"/>
      <c r="DT83" s="437" t="n"/>
      <c r="DU83" s="437" t="n"/>
      <c r="DV83" s="437" t="n"/>
      <c r="DW83" s="437" t="n"/>
      <c r="DX83" s="437" t="n"/>
      <c r="DY83" s="238" t="n"/>
      <c r="DZ83" s="23" t="n"/>
      <c r="FQ83" s="212" t="n"/>
      <c r="FR83" s="212" t="n"/>
      <c r="FS83" s="212" t="n"/>
      <c r="FT83" s="212" t="n"/>
      <c r="FU83" s="212" t="n"/>
      <c r="FV83" s="212" t="n"/>
      <c r="FW83" s="212" t="n"/>
      <c r="FX83" s="212" t="n"/>
      <c r="FY83" s="212" t="n"/>
      <c r="FZ83" s="212" t="n"/>
    </row>
    <row r="84" ht="39.95" customFormat="1" customHeight="1" s="5">
      <c r="A84" s="456" t="n"/>
      <c r="B84" s="8" t="n"/>
      <c r="C84" s="12" t="inlineStr">
        <is>
          <t>R</t>
        </is>
      </c>
      <c r="D84" s="435" t="inlineStr">
        <is>
          <t>ND</t>
        </is>
      </c>
      <c r="E84" s="494" t="n">
        <v>1.62</v>
      </c>
      <c r="F84" s="438" t="n">
        <v>0.067</v>
      </c>
      <c r="G84" s="497" t="n">
        <v>1.72</v>
      </c>
      <c r="H84" s="498" t="n">
        <v>1.59</v>
      </c>
      <c r="I84" s="444" t="inlineStr">
        <is>
          <t>ND</t>
        </is>
      </c>
      <c r="J84" s="125" t="n">
        <v>0.846</v>
      </c>
      <c r="K84" s="438" t="n">
        <v>0.967</v>
      </c>
      <c r="L84" s="438" t="n">
        <v>0.365</v>
      </c>
      <c r="M84" s="151" t="n">
        <v>0.521</v>
      </c>
      <c r="N84" s="148" t="n">
        <v>0.523</v>
      </c>
      <c r="O84" s="438" t="inlineStr">
        <is>
          <t>ND</t>
        </is>
      </c>
      <c r="P84" s="438" t="inlineStr">
        <is>
          <t>ND</t>
        </is>
      </c>
      <c r="Q84" s="497" t="n">
        <v>1.95</v>
      </c>
      <c r="R84" s="441" t="inlineStr">
        <is>
          <t>ND</t>
        </is>
      </c>
      <c r="S84" s="505" t="n">
        <v>1.15</v>
      </c>
      <c r="T84" s="125" t="n">
        <v>0.978</v>
      </c>
      <c r="U84" s="497" t="n">
        <v>1.62</v>
      </c>
      <c r="V84" s="438" t="inlineStr">
        <is>
          <t>ND</t>
        </is>
      </c>
      <c r="W84" s="151" t="n">
        <v>0.309</v>
      </c>
      <c r="X84" s="496" t="inlineStr">
        <is>
          <t>ND</t>
        </is>
      </c>
      <c r="Y84" s="494" t="n">
        <v>3.66</v>
      </c>
      <c r="Z84" s="438" t="inlineStr">
        <is>
          <t>ND</t>
        </is>
      </c>
      <c r="AA84" s="438" t="n">
        <v>0.449</v>
      </c>
      <c r="AB84" s="495" t="n">
        <v>1.76</v>
      </c>
      <c r="AC84" s="444" t="n">
        <v>0.97</v>
      </c>
      <c r="AD84" s="499" t="n">
        <v>1.3</v>
      </c>
      <c r="AE84" s="438" t="n">
        <v>0.148</v>
      </c>
      <c r="AF84" s="438" t="inlineStr">
        <is>
          <t>ND</t>
        </is>
      </c>
      <c r="AG84" s="495" t="n">
        <v>2.58</v>
      </c>
      <c r="AH84" s="444" t="n">
        <v>0.5610000000000001</v>
      </c>
      <c r="AI84" s="497" t="n">
        <v>1.25</v>
      </c>
      <c r="AJ84" s="438" t="inlineStr">
        <is>
          <t>ND</t>
        </is>
      </c>
      <c r="AK84" s="497" t="n">
        <v>1.16</v>
      </c>
      <c r="AL84" s="495" t="inlineStr">
        <is>
          <t>ND</t>
        </is>
      </c>
      <c r="AM84" s="496" t="n">
        <v>1.52</v>
      </c>
      <c r="AN84" s="438" t="inlineStr">
        <is>
          <t>ND</t>
        </is>
      </c>
      <c r="AO84" s="438" t="inlineStr">
        <is>
          <t>ND</t>
        </is>
      </c>
      <c r="AP84" s="497" t="n">
        <v>1.86</v>
      </c>
      <c r="AQ84" s="441" t="n">
        <v>0.606</v>
      </c>
      <c r="AR84" s="505" t="n">
        <v>1.49</v>
      </c>
      <c r="AS84" s="438" t="inlineStr">
        <is>
          <t>ND</t>
        </is>
      </c>
      <c r="AT84" s="438" t="n">
        <v>0.955</v>
      </c>
      <c r="AU84" s="494" t="inlineStr">
        <is>
          <t>ND</t>
        </is>
      </c>
      <c r="AV84" s="495" t="inlineStr">
        <is>
          <t>ND</t>
        </is>
      </c>
      <c r="AW84" s="444" t="inlineStr">
        <is>
          <t>ND</t>
        </is>
      </c>
      <c r="AX84" s="438" t="n">
        <v>0.313</v>
      </c>
      <c r="AY84" s="438" t="n">
        <v>0.165</v>
      </c>
      <c r="AZ84" s="438" t="inlineStr">
        <is>
          <t>ND</t>
        </is>
      </c>
      <c r="BA84" s="495" t="n">
        <v>1.61</v>
      </c>
      <c r="BB84" s="496" t="n">
        <v>1.33</v>
      </c>
      <c r="BC84" s="497" t="n">
        <v>1.44</v>
      </c>
      <c r="BD84" s="494" t="n">
        <v>1.54</v>
      </c>
      <c r="BE84" s="556" t="n">
        <v>5</v>
      </c>
      <c r="BF84" s="498" t="n">
        <v>2.14</v>
      </c>
      <c r="BG84" s="505" t="n">
        <v>4.33</v>
      </c>
      <c r="BH84" s="492" t="n">
        <v>1.3</v>
      </c>
      <c r="BI84" s="438" t="inlineStr">
        <is>
          <t>ND</t>
        </is>
      </c>
      <c r="BJ84" s="125" t="n">
        <v>0.653</v>
      </c>
      <c r="BK84" s="495" t="inlineStr">
        <is>
          <t>ND</t>
        </is>
      </c>
      <c r="BL84" s="444" t="inlineStr">
        <is>
          <t>ND</t>
        </is>
      </c>
      <c r="BM84" s="438" t="inlineStr">
        <is>
          <t>ND</t>
        </is>
      </c>
      <c r="BN84" s="497" t="n">
        <v>1.58</v>
      </c>
      <c r="BO84" s="438" t="inlineStr">
        <is>
          <t>ND</t>
        </is>
      </c>
      <c r="BP84" s="441" t="n">
        <v>0.107</v>
      </c>
      <c r="BQ84" s="505" t="n">
        <v>4.46</v>
      </c>
      <c r="BR84" s="497" t="n">
        <v>1.46</v>
      </c>
      <c r="BS84" s="438" t="inlineStr">
        <is>
          <t>ND</t>
        </is>
      </c>
      <c r="BT84" s="495" t="n">
        <v>6.91</v>
      </c>
      <c r="BU84" s="457" t="n"/>
      <c r="BV84" s="457" t="n"/>
      <c r="BW84" s="437" t="n"/>
      <c r="BX84" s="437" t="n"/>
      <c r="BY84" s="437" t="n"/>
      <c r="BZ84" s="437" t="n"/>
      <c r="CA84" s="437" t="n"/>
      <c r="CB84" s="437" t="n"/>
      <c r="CC84" s="437" t="n"/>
      <c r="CD84" s="437" t="n"/>
      <c r="CE84" s="437" t="n"/>
      <c r="CF84" s="437" t="n"/>
      <c r="CG84" s="437" t="n"/>
      <c r="CH84" s="437" t="n"/>
      <c r="CI84" s="437" t="n"/>
      <c r="CJ84" s="437" t="n"/>
      <c r="CK84" s="437" t="n"/>
      <c r="CL84" s="437" t="n"/>
      <c r="CM84" s="437" t="n"/>
      <c r="CN84" s="437" t="n"/>
      <c r="CO84" s="437" t="n"/>
      <c r="CP84" s="437" t="n"/>
      <c r="CQ84" s="437" t="n"/>
      <c r="CR84" s="437" t="n"/>
      <c r="CS84" s="437" t="n"/>
      <c r="CT84" s="437" t="n"/>
      <c r="CU84" s="437" t="n"/>
      <c r="CV84" s="437" t="n"/>
      <c r="CW84" s="437" t="n"/>
      <c r="CX84" s="437" t="n"/>
      <c r="CY84" s="437" t="n"/>
      <c r="CZ84" s="437" t="n"/>
      <c r="DA84" s="437" t="n"/>
      <c r="DB84" s="437" t="n"/>
      <c r="DC84" s="437" t="n"/>
      <c r="DD84" s="437" t="n"/>
      <c r="DE84" s="437" t="n"/>
      <c r="DF84" s="437" t="n"/>
      <c r="DG84" s="437" t="n"/>
      <c r="DH84" s="437" t="n"/>
      <c r="DI84" s="437" t="n"/>
      <c r="DJ84" s="437" t="n"/>
      <c r="DK84" s="437" t="n"/>
      <c r="DL84" s="437" t="n"/>
      <c r="DM84" s="437" t="n"/>
      <c r="DN84" s="437" t="n"/>
      <c r="DO84" s="437" t="n"/>
      <c r="DP84" s="437" t="n"/>
      <c r="DQ84" s="437" t="n"/>
      <c r="DR84" s="437" t="n"/>
      <c r="DS84" s="437" t="n"/>
      <c r="DT84" s="437" t="n"/>
      <c r="DU84" s="437" t="n"/>
      <c r="DV84" s="437" t="n"/>
      <c r="DW84" s="437" t="n"/>
      <c r="DX84" s="437" t="n"/>
      <c r="DY84" s="238" t="n"/>
      <c r="DZ84" s="23" t="n"/>
      <c r="FQ84" s="212" t="n"/>
      <c r="FR84" s="212" t="n"/>
      <c r="FS84" s="212" t="n"/>
      <c r="FT84" s="212" t="n"/>
      <c r="FU84" s="212" t="n"/>
      <c r="FV84" s="212" t="n"/>
      <c r="FW84" s="212" t="n"/>
      <c r="FX84" s="212" t="n"/>
      <c r="FY84" s="212" t="n"/>
      <c r="FZ84" s="212" t="n"/>
    </row>
    <row r="85" ht="39.95" customFormat="1" customHeight="1" s="5">
      <c r="A85" s="10" t="inlineStr">
        <is>
          <t>A</t>
        </is>
      </c>
      <c r="B85" s="6" t="n"/>
      <c r="C85" s="11" t="inlineStr">
        <is>
          <t>L</t>
        </is>
      </c>
      <c r="D85" s="518" t="n">
        <v>1.95</v>
      </c>
      <c r="E85" s="436" t="inlineStr">
        <is>
          <t>ND</t>
        </is>
      </c>
      <c r="F85" s="436" t="inlineStr">
        <is>
          <t>ND</t>
        </is>
      </c>
      <c r="G85" s="436" t="inlineStr">
        <is>
          <t>ND</t>
        </is>
      </c>
      <c r="H85" s="439" t="inlineStr">
        <is>
          <t>ND</t>
        </is>
      </c>
      <c r="I85" s="483" t="n">
        <v>2.95</v>
      </c>
      <c r="J85" s="436" t="inlineStr">
        <is>
          <t>ND</t>
        </is>
      </c>
      <c r="K85" s="475" t="n">
        <v>4.51</v>
      </c>
      <c r="L85" s="436" t="inlineStr">
        <is>
          <t>ND</t>
        </is>
      </c>
      <c r="M85" s="439" t="n">
        <v>0.615</v>
      </c>
      <c r="N85" s="477" t="n">
        <v>1.51</v>
      </c>
      <c r="O85" s="436" t="inlineStr">
        <is>
          <t>ND</t>
        </is>
      </c>
      <c r="P85" s="436" t="n">
        <v>0.425</v>
      </c>
      <c r="Q85" s="436" t="n">
        <v>0.223</v>
      </c>
      <c r="R85" s="480" t="n">
        <v>2.33</v>
      </c>
      <c r="S85" s="477" t="n">
        <v>1.54</v>
      </c>
      <c r="T85" s="436" t="n">
        <v>0.642</v>
      </c>
      <c r="U85" s="475" t="n">
        <v>2.56</v>
      </c>
      <c r="V85" s="478" t="n">
        <v>4.18</v>
      </c>
      <c r="W85" s="113" t="n">
        <v>0.835</v>
      </c>
      <c r="X85" s="115" t="n">
        <v>0.83</v>
      </c>
      <c r="Y85" s="436" t="inlineStr">
        <is>
          <t>ND</t>
        </is>
      </c>
      <c r="Z85" s="436" t="inlineStr">
        <is>
          <t>ND</t>
        </is>
      </c>
      <c r="AA85" s="436" t="inlineStr">
        <is>
          <t>ND</t>
        </is>
      </c>
      <c r="AB85" s="439" t="n">
        <v>0.618</v>
      </c>
      <c r="AC85" s="115" t="n">
        <v>0.865</v>
      </c>
      <c r="AD85" s="112" t="n">
        <v>0.967</v>
      </c>
      <c r="AE85" s="436" t="inlineStr">
        <is>
          <t>ND</t>
        </is>
      </c>
      <c r="AF85" s="112" t="n">
        <v>0.352</v>
      </c>
      <c r="AG85" s="439" t="inlineStr">
        <is>
          <t>ND</t>
        </is>
      </c>
      <c r="AH85" s="483" t="n">
        <v>1.97</v>
      </c>
      <c r="AI85" s="112" t="n">
        <v>0.168</v>
      </c>
      <c r="AJ85" s="479" t="n">
        <v>5.4</v>
      </c>
      <c r="AK85" s="475" t="n">
        <v>2.11</v>
      </c>
      <c r="AL85" s="439" t="inlineStr">
        <is>
          <t>ND</t>
        </is>
      </c>
      <c r="AM85" s="442" t="n">
        <v>0.02</v>
      </c>
      <c r="AN85" s="475" t="n">
        <v>1.79</v>
      </c>
      <c r="AO85" s="436" t="n">
        <v>0.851</v>
      </c>
      <c r="AP85" s="475" t="n">
        <v>2.03</v>
      </c>
      <c r="AQ85" s="439" t="inlineStr">
        <is>
          <t>ND</t>
        </is>
      </c>
      <c r="AR85" s="483" t="n">
        <v>3.06</v>
      </c>
      <c r="AS85" s="112" t="n">
        <v>0.144</v>
      </c>
      <c r="AT85" s="436" t="inlineStr">
        <is>
          <t>ND</t>
        </is>
      </c>
      <c r="AU85" s="436" t="inlineStr">
        <is>
          <t>ND</t>
        </is>
      </c>
      <c r="AV85" s="113" t="n">
        <v>0.359</v>
      </c>
      <c r="AW85" s="442" t="inlineStr">
        <is>
          <t>ND</t>
        </is>
      </c>
      <c r="AX85" s="475" t="n">
        <v>1.65</v>
      </c>
      <c r="AY85" s="436" t="inlineStr">
        <is>
          <t>ND</t>
        </is>
      </c>
      <c r="AZ85" s="475" t="n">
        <v>1.57</v>
      </c>
      <c r="BA85" s="476" t="inlineStr">
        <is>
          <t>ND</t>
        </is>
      </c>
      <c r="BB85" s="477" t="inlineStr">
        <is>
          <t>ND</t>
        </is>
      </c>
      <c r="BC85" s="436" t="inlineStr">
        <is>
          <t>ND</t>
        </is>
      </c>
      <c r="BD85" s="478" t="n">
        <v>1.63</v>
      </c>
      <c r="BE85" s="475" t="n">
        <v>1.01</v>
      </c>
      <c r="BF85" s="439" t="inlineStr">
        <is>
          <t>ND</t>
        </is>
      </c>
      <c r="BG85" s="483" t="n">
        <v>2.05</v>
      </c>
      <c r="BH85" s="436" t="inlineStr">
        <is>
          <t>ND</t>
        </is>
      </c>
      <c r="BI85" s="436" t="n">
        <v>0.019</v>
      </c>
      <c r="BJ85" s="478" t="n">
        <v>2.66</v>
      </c>
      <c r="BK85" s="439" t="inlineStr">
        <is>
          <t>ND</t>
        </is>
      </c>
      <c r="BL85" s="483" t="n">
        <v>1.81</v>
      </c>
      <c r="BM85" s="436" t="inlineStr">
        <is>
          <t>ND</t>
        </is>
      </c>
      <c r="BN85" s="475" t="n">
        <v>2.96</v>
      </c>
      <c r="BO85" s="436" t="inlineStr">
        <is>
          <t>ND</t>
        </is>
      </c>
      <c r="BP85" s="476" t="inlineStr">
        <is>
          <t>ND</t>
        </is>
      </c>
      <c r="BQ85" s="483" t="n">
        <v>1.06</v>
      </c>
      <c r="BR85" s="436" t="n">
        <v>0.839</v>
      </c>
      <c r="BS85" s="436" t="inlineStr">
        <is>
          <t>ND</t>
        </is>
      </c>
      <c r="BT85" s="476" t="inlineStr">
        <is>
          <t>ND</t>
        </is>
      </c>
      <c r="BU85" s="454">
        <f>IFERROR(AVERAGE(D85:BT87),0)</f>
        <v/>
      </c>
      <c r="BV85" s="454">
        <f>MAX(D85:BT87)</f>
        <v/>
      </c>
      <c r="BW85" s="437" t="n"/>
      <c r="BX85" s="437" t="n"/>
      <c r="BY85" s="437" t="n"/>
      <c r="BZ85" s="437" t="n"/>
      <c r="CA85" s="437" t="n"/>
      <c r="CB85" s="437" t="n"/>
      <c r="CC85" s="437" t="n"/>
      <c r="CD85" s="437" t="n"/>
      <c r="CE85" s="437" t="n"/>
      <c r="CF85" s="437" t="n"/>
      <c r="CG85" s="437" t="n"/>
      <c r="CH85" s="437" t="n"/>
      <c r="CI85" s="437" t="n"/>
      <c r="CJ85" s="437" t="n"/>
      <c r="CK85" s="437" t="n"/>
      <c r="CL85" s="437" t="n"/>
      <c r="CM85" s="437" t="n"/>
      <c r="CN85" s="437" t="n"/>
      <c r="CO85" s="437" t="n"/>
      <c r="CP85" s="437" t="n"/>
      <c r="CQ85" s="437" t="n"/>
      <c r="CR85" s="437" t="n"/>
      <c r="CS85" s="437" t="n"/>
      <c r="CT85" s="437" t="n"/>
      <c r="CU85" s="437" t="n"/>
      <c r="CV85" s="437" t="n"/>
      <c r="CW85" s="437" t="n"/>
      <c r="CX85" s="437" t="n"/>
      <c r="CY85" s="437" t="n"/>
      <c r="CZ85" s="437" t="n"/>
      <c r="DA85" s="437" t="n"/>
      <c r="DB85" s="437" t="n"/>
      <c r="DC85" s="437" t="n"/>
      <c r="DD85" s="437" t="n"/>
      <c r="DE85" s="437" t="n"/>
      <c r="DF85" s="437" t="n"/>
      <c r="DG85" s="437" t="n"/>
      <c r="DH85" s="437" t="n"/>
      <c r="DI85" s="437" t="n"/>
      <c r="DJ85" s="437" t="n"/>
      <c r="DK85" s="437" t="n"/>
      <c r="DL85" s="437" t="n"/>
      <c r="DM85" s="437" t="n"/>
      <c r="DN85" s="437" t="n"/>
      <c r="DO85" s="437" t="n"/>
      <c r="DP85" s="437" t="n"/>
      <c r="DQ85" s="437" t="n"/>
      <c r="DR85" s="437" t="n"/>
      <c r="DS85" s="437" t="n"/>
      <c r="DT85" s="437" t="n"/>
      <c r="DU85" s="437" t="n"/>
      <c r="DV85" s="437" t="n"/>
      <c r="DW85" s="437" t="n"/>
      <c r="DX85" s="437" t="n"/>
      <c r="DY85" s="238" t="n"/>
      <c r="DZ85" s="23" t="n"/>
      <c r="FQ85" s="212" t="n"/>
      <c r="FR85" s="212" t="n"/>
      <c r="FS85" s="212" t="n"/>
      <c r="FT85" s="212" t="n"/>
      <c r="FU85" s="212" t="n"/>
      <c r="FV85" s="212" t="n"/>
      <c r="FW85" s="212" t="n"/>
      <c r="FX85" s="212" t="n"/>
      <c r="FY85" s="212" t="n"/>
      <c r="FZ85" s="212" t="n"/>
    </row>
    <row r="86" ht="39.95" customFormat="1" customHeight="1" s="5">
      <c r="A86" s="182" t="inlineStr"/>
      <c r="B86" s="7" t="inlineStr">
        <is>
          <t>-45 IN</t>
        </is>
      </c>
      <c r="C86" s="11" t="inlineStr">
        <is>
          <t>C</t>
        </is>
      </c>
      <c r="D86" s="557" t="n">
        <v>13</v>
      </c>
      <c r="E86" s="437" t="n">
        <v>0.101</v>
      </c>
      <c r="F86" s="501" t="n">
        <v>6.2</v>
      </c>
      <c r="G86" s="437" t="inlineStr">
        <is>
          <t>ND</t>
        </is>
      </c>
      <c r="H86" s="488" t="inlineStr">
        <is>
          <t>ND</t>
        </is>
      </c>
      <c r="I86" s="443" t="inlineStr">
        <is>
          <t>ND</t>
        </is>
      </c>
      <c r="J86" s="437" t="inlineStr">
        <is>
          <t>ND</t>
        </is>
      </c>
      <c r="K86" s="437" t="inlineStr">
        <is>
          <t>ND</t>
        </is>
      </c>
      <c r="L86" s="486" t="n">
        <v>4.29</v>
      </c>
      <c r="M86" s="440" t="inlineStr">
        <is>
          <t>ND</t>
        </is>
      </c>
      <c r="N86" s="132" t="n">
        <v>0.262</v>
      </c>
      <c r="O86" s="437" t="n">
        <v>0.201</v>
      </c>
      <c r="P86" s="486" t="n">
        <v>1.12</v>
      </c>
      <c r="Q86" s="486" t="n">
        <v>1.42</v>
      </c>
      <c r="R86" s="440" t="inlineStr">
        <is>
          <t>ND</t>
        </is>
      </c>
      <c r="S86" s="132" t="n">
        <v>0.6820000000000001</v>
      </c>
      <c r="T86" s="122" t="n">
        <v>0.819</v>
      </c>
      <c r="U86" s="437" t="inlineStr">
        <is>
          <t>ND</t>
        </is>
      </c>
      <c r="V86" s="437" t="inlineStr">
        <is>
          <t>ND</t>
        </is>
      </c>
      <c r="W86" s="440" t="inlineStr">
        <is>
          <t>ND</t>
        </is>
      </c>
      <c r="X86" s="443" t="n">
        <v>0.778</v>
      </c>
      <c r="Y86" s="437" t="inlineStr">
        <is>
          <t>ND</t>
        </is>
      </c>
      <c r="Z86" s="486" t="n">
        <v>2.95</v>
      </c>
      <c r="AA86" s="486" t="n">
        <v>2.33</v>
      </c>
      <c r="AB86" s="440" t="inlineStr">
        <is>
          <t>ND</t>
        </is>
      </c>
      <c r="AC86" s="132" t="n">
        <v>0.042</v>
      </c>
      <c r="AD86" s="437" t="inlineStr">
        <is>
          <t>ND</t>
        </is>
      </c>
      <c r="AE86" s="502" t="inlineStr">
        <is>
          <t>ND</t>
        </is>
      </c>
      <c r="AF86" s="437" t="n">
        <v>0.036</v>
      </c>
      <c r="AG86" s="440" t="n">
        <v>0.68</v>
      </c>
      <c r="AH86" s="487" t="n">
        <v>3.08</v>
      </c>
      <c r="AI86" s="486" t="n">
        <v>1.51</v>
      </c>
      <c r="AJ86" s="437" t="inlineStr">
        <is>
          <t>ND</t>
        </is>
      </c>
      <c r="AK86" s="437" t="n">
        <v>0.885</v>
      </c>
      <c r="AL86" s="440" t="n">
        <v>0.5659999999999999</v>
      </c>
      <c r="AM86" s="443" t="n">
        <v>0.411</v>
      </c>
      <c r="AN86" s="437" t="n">
        <v>0.105</v>
      </c>
      <c r="AO86" s="486" t="n">
        <v>1.22</v>
      </c>
      <c r="AP86" s="437" t="inlineStr">
        <is>
          <t>ND</t>
        </is>
      </c>
      <c r="AQ86" s="440" t="inlineStr">
        <is>
          <t>ND</t>
        </is>
      </c>
      <c r="AR86" s="443" t="n">
        <v>0.255</v>
      </c>
      <c r="AS86" s="437" t="inlineStr">
        <is>
          <t>ND</t>
        </is>
      </c>
      <c r="AT86" s="437" t="inlineStr">
        <is>
          <t>ND</t>
        </is>
      </c>
      <c r="AU86" s="437" t="inlineStr">
        <is>
          <t>ND</t>
        </is>
      </c>
      <c r="AV86" s="488" t="n">
        <v>3.16</v>
      </c>
      <c r="AW86" s="443" t="inlineStr">
        <is>
          <t>ND</t>
        </is>
      </c>
      <c r="AX86" s="437" t="inlineStr">
        <is>
          <t>ND</t>
        </is>
      </c>
      <c r="AY86" s="437" t="inlineStr">
        <is>
          <t>ND</t>
        </is>
      </c>
      <c r="AZ86" s="486" t="n">
        <v>1.95</v>
      </c>
      <c r="BA86" s="440" t="inlineStr">
        <is>
          <t>ND</t>
        </is>
      </c>
      <c r="BB86" s="443" t="inlineStr">
        <is>
          <t>ND</t>
        </is>
      </c>
      <c r="BC86" s="437" t="n">
        <v>0.35</v>
      </c>
      <c r="BD86" s="485" t="n">
        <v>1.24</v>
      </c>
      <c r="BE86" s="486" t="n">
        <v>1.34</v>
      </c>
      <c r="BF86" s="489" t="n">
        <v>2.01</v>
      </c>
      <c r="BG86" s="443" t="n">
        <v>0.583</v>
      </c>
      <c r="BH86" s="437" t="n">
        <v>0.119</v>
      </c>
      <c r="BI86" s="437" t="inlineStr">
        <is>
          <t>ND</t>
        </is>
      </c>
      <c r="BJ86" s="437" t="inlineStr">
        <is>
          <t>ND</t>
        </is>
      </c>
      <c r="BK86" s="440" t="n">
        <v>0.463</v>
      </c>
      <c r="BL86" s="443" t="inlineStr">
        <is>
          <t>ND</t>
        </is>
      </c>
      <c r="BM86" s="437" t="inlineStr">
        <is>
          <t>ND</t>
        </is>
      </c>
      <c r="BN86" s="501" t="n">
        <v>1.1</v>
      </c>
      <c r="BO86" s="437" t="inlineStr">
        <is>
          <t>ND</t>
        </is>
      </c>
      <c r="BP86" s="504" t="n">
        <v>2.6</v>
      </c>
      <c r="BQ86" s="487" t="n">
        <v>4.73</v>
      </c>
      <c r="BR86" s="437" t="inlineStr">
        <is>
          <t>ND</t>
        </is>
      </c>
      <c r="BS86" s="437" t="n">
        <v>0.709</v>
      </c>
      <c r="BT86" s="488" t="n">
        <v>1.55</v>
      </c>
      <c r="BU86" s="455" t="n"/>
      <c r="BV86" s="455" t="n"/>
      <c r="BW86" s="437" t="n"/>
      <c r="BX86" s="437" t="n"/>
      <c r="BY86" s="437" t="n"/>
      <c r="BZ86" s="437" t="n"/>
      <c r="CA86" s="437" t="n"/>
      <c r="CB86" s="437" t="n"/>
      <c r="CC86" s="437" t="n"/>
      <c r="CD86" s="437" t="n"/>
      <c r="CE86" s="437" t="n"/>
      <c r="CF86" s="437" t="n"/>
      <c r="CG86" s="437" t="n"/>
      <c r="CH86" s="437" t="n"/>
      <c r="CI86" s="437" t="n"/>
      <c r="CJ86" s="437" t="n"/>
      <c r="CK86" s="437" t="n"/>
      <c r="CL86" s="437" t="n"/>
      <c r="CM86" s="437" t="n"/>
      <c r="CN86" s="437" t="n"/>
      <c r="CO86" s="437" t="n"/>
      <c r="CP86" s="437" t="n"/>
      <c r="CQ86" s="437" t="n"/>
      <c r="CR86" s="437" t="n"/>
      <c r="CS86" s="437" t="n"/>
      <c r="CT86" s="437" t="n"/>
      <c r="CU86" s="437" t="n"/>
      <c r="CV86" s="437" t="n"/>
      <c r="CW86" s="437" t="n"/>
      <c r="CX86" s="437" t="n"/>
      <c r="CY86" s="437" t="n"/>
      <c r="CZ86" s="437" t="n"/>
      <c r="DA86" s="437" t="n"/>
      <c r="DB86" s="437" t="n"/>
      <c r="DC86" s="437" t="n"/>
      <c r="DD86" s="437" t="n"/>
      <c r="DE86" s="437" t="n"/>
      <c r="DF86" s="437" t="n"/>
      <c r="DG86" s="437" t="n"/>
      <c r="DH86" s="437" t="n"/>
      <c r="DI86" s="437" t="n"/>
      <c r="DJ86" s="437" t="n"/>
      <c r="DK86" s="437" t="n"/>
      <c r="DL86" s="437" t="n"/>
      <c r="DM86" s="437" t="n"/>
      <c r="DN86" s="437" t="n"/>
      <c r="DO86" s="437" t="n"/>
      <c r="DP86" s="437" t="n"/>
      <c r="DQ86" s="437" t="n"/>
      <c r="DR86" s="437" t="n"/>
      <c r="DS86" s="437" t="n"/>
      <c r="DT86" s="437" t="n"/>
      <c r="DU86" s="437" t="n"/>
      <c r="DV86" s="437" t="n"/>
      <c r="DW86" s="437" t="n"/>
      <c r="DX86" s="437" t="n"/>
      <c r="DY86" s="238" t="n"/>
      <c r="DZ86" s="23" t="n"/>
      <c r="FQ86" s="212" t="n"/>
      <c r="FR86" s="212" t="n"/>
      <c r="FS86" s="212" t="n"/>
      <c r="FT86" s="212" t="n"/>
      <c r="FU86" s="212" t="n"/>
      <c r="FV86" s="212" t="n"/>
      <c r="FW86" s="212" t="n"/>
      <c r="FX86" s="212" t="n"/>
      <c r="FY86" s="212" t="n"/>
      <c r="FZ86" s="212" t="n"/>
    </row>
    <row r="87" ht="39.95" customFormat="1" customHeight="1" s="5">
      <c r="A87" s="456" t="n"/>
      <c r="B87" s="8" t="n"/>
      <c r="C87" s="12" t="inlineStr">
        <is>
          <t>R</t>
        </is>
      </c>
      <c r="D87" s="435" t="inlineStr">
        <is>
          <t>ND</t>
        </is>
      </c>
      <c r="E87" s="438" t="inlineStr">
        <is>
          <t>ND</t>
        </is>
      </c>
      <c r="F87" s="497" t="n">
        <v>6.37</v>
      </c>
      <c r="G87" s="438" t="inlineStr">
        <is>
          <t>ND</t>
        </is>
      </c>
      <c r="H87" s="441" t="inlineStr">
        <is>
          <t>ND</t>
        </is>
      </c>
      <c r="I87" s="505" t="n">
        <v>4.68</v>
      </c>
      <c r="J87" s="438" t="n">
        <v>0.17</v>
      </c>
      <c r="K87" s="497" t="n">
        <v>2.05</v>
      </c>
      <c r="L87" s="494" t="n">
        <v>3.89</v>
      </c>
      <c r="M87" s="495" t="n">
        <v>4.36</v>
      </c>
      <c r="N87" s="444" t="n">
        <v>0.39</v>
      </c>
      <c r="O87" s="438" t="inlineStr">
        <is>
          <t>ND</t>
        </is>
      </c>
      <c r="P87" s="438" t="n">
        <v>0.355</v>
      </c>
      <c r="Q87" s="438" t="n">
        <v>0.394</v>
      </c>
      <c r="R87" s="441" t="n">
        <v>0.851</v>
      </c>
      <c r="S87" s="444" t="inlineStr">
        <is>
          <t>ND</t>
        </is>
      </c>
      <c r="T87" s="438" t="inlineStr">
        <is>
          <t>ND</t>
        </is>
      </c>
      <c r="U87" s="438" t="inlineStr">
        <is>
          <t>ND</t>
        </is>
      </c>
      <c r="V87" s="125" t="n">
        <v>0.608</v>
      </c>
      <c r="W87" s="498" t="n">
        <v>1.84</v>
      </c>
      <c r="X87" s="444" t="n">
        <v>0.06</v>
      </c>
      <c r="Y87" s="438" t="n">
        <v>0.08599999999999999</v>
      </c>
      <c r="Z87" s="438" t="inlineStr">
        <is>
          <t>ND</t>
        </is>
      </c>
      <c r="AA87" s="497" t="n">
        <v>1.31</v>
      </c>
      <c r="AB87" s="498" t="n">
        <v>1.22</v>
      </c>
      <c r="AC87" s="444" t="inlineStr">
        <is>
          <t>ND</t>
        </is>
      </c>
      <c r="AD87" s="438" t="n">
        <v>0.959</v>
      </c>
      <c r="AE87" s="499" t="n">
        <v>2.1</v>
      </c>
      <c r="AF87" s="438" t="inlineStr">
        <is>
          <t>ND</t>
        </is>
      </c>
      <c r="AG87" s="441" t="inlineStr">
        <is>
          <t>ND</t>
        </is>
      </c>
      <c r="AH87" s="444" t="n">
        <v>0.134</v>
      </c>
      <c r="AI87" s="438" t="inlineStr">
        <is>
          <t>ND</t>
        </is>
      </c>
      <c r="AJ87" s="438" t="n">
        <v>0.519</v>
      </c>
      <c r="AK87" s="438" t="inlineStr">
        <is>
          <t>ND</t>
        </is>
      </c>
      <c r="AL87" s="441" t="n">
        <v>0.576</v>
      </c>
      <c r="AM87" s="505" t="n">
        <v>6.16</v>
      </c>
      <c r="AN87" s="438" t="n">
        <v>0.441</v>
      </c>
      <c r="AO87" s="438" t="n">
        <v>0.254</v>
      </c>
      <c r="AP87" s="438" t="inlineStr">
        <is>
          <t>ND</t>
        </is>
      </c>
      <c r="AQ87" s="441" t="inlineStr">
        <is>
          <t>ND</t>
        </is>
      </c>
      <c r="AR87" s="444" t="inlineStr">
        <is>
          <t>ND</t>
        </is>
      </c>
      <c r="AS87" s="438" t="n">
        <v>0.949</v>
      </c>
      <c r="AT87" s="438" t="inlineStr">
        <is>
          <t>ND</t>
        </is>
      </c>
      <c r="AU87" s="438" t="inlineStr">
        <is>
          <t>ND</t>
        </is>
      </c>
      <c r="AV87" s="495" t="n">
        <v>3.99</v>
      </c>
      <c r="AW87" s="505" t="n">
        <v>2.03</v>
      </c>
      <c r="AX87" s="438" t="n">
        <v>0.192</v>
      </c>
      <c r="AY87" s="497" t="n">
        <v>1.95</v>
      </c>
      <c r="AZ87" s="497" t="n">
        <v>1.57</v>
      </c>
      <c r="BA87" s="441" t="inlineStr">
        <is>
          <t>ND</t>
        </is>
      </c>
      <c r="BB87" s="444" t="n">
        <v>0.576</v>
      </c>
      <c r="BC87" s="494" t="n">
        <v>1.12</v>
      </c>
      <c r="BD87" s="494" t="n">
        <v>1.19</v>
      </c>
      <c r="BE87" s="438" t="inlineStr">
        <is>
          <t>ND</t>
        </is>
      </c>
      <c r="BF87" s="498" t="n">
        <v>3.14</v>
      </c>
      <c r="BG87" s="505" t="n">
        <v>2.42</v>
      </c>
      <c r="BH87" s="438" t="inlineStr">
        <is>
          <t>ND</t>
        </is>
      </c>
      <c r="BI87" s="438" t="n">
        <v>0.296</v>
      </c>
      <c r="BJ87" s="438" t="inlineStr">
        <is>
          <t>ND</t>
        </is>
      </c>
      <c r="BK87" s="441" t="inlineStr">
        <is>
          <t>ND</t>
        </is>
      </c>
      <c r="BL87" s="444" t="inlineStr">
        <is>
          <t>ND</t>
        </is>
      </c>
      <c r="BM87" s="494" t="n">
        <v>4.56</v>
      </c>
      <c r="BN87" s="494" t="n">
        <v>2.39</v>
      </c>
      <c r="BO87" s="125" t="n">
        <v>0.282</v>
      </c>
      <c r="BP87" s="495" t="n">
        <v>1.88</v>
      </c>
      <c r="BQ87" s="514" t="n">
        <v>5.1</v>
      </c>
      <c r="BR87" s="497" t="n">
        <v>1.57</v>
      </c>
      <c r="BS87" s="125" t="n">
        <v>0.041</v>
      </c>
      <c r="BT87" s="495" t="n">
        <v>1.89</v>
      </c>
      <c r="BU87" s="457" t="n"/>
      <c r="BV87" s="457" t="n"/>
      <c r="BW87" s="437" t="n"/>
      <c r="BX87" s="437" t="n"/>
      <c r="BY87" s="437" t="n"/>
      <c r="BZ87" s="437" t="n"/>
      <c r="CA87" s="437" t="n"/>
      <c r="CB87" s="437" t="n"/>
      <c r="CC87" s="437" t="n"/>
      <c r="CD87" s="437" t="n"/>
      <c r="CE87" s="437" t="n"/>
      <c r="CF87" s="437" t="n"/>
      <c r="CG87" s="437" t="n"/>
      <c r="CH87" s="437" t="n"/>
      <c r="CI87" s="437" t="n"/>
      <c r="CJ87" s="437" t="n"/>
      <c r="CK87" s="437" t="n"/>
      <c r="CL87" s="437" t="n"/>
      <c r="CM87" s="437" t="n"/>
      <c r="CN87" s="437" t="n"/>
      <c r="CO87" s="437" t="n"/>
      <c r="CP87" s="437" t="n"/>
      <c r="CQ87" s="437" t="n"/>
      <c r="CR87" s="437" t="n"/>
      <c r="CS87" s="437" t="n"/>
      <c r="CT87" s="437" t="n"/>
      <c r="CU87" s="437" t="n"/>
      <c r="CV87" s="437" t="n"/>
      <c r="CW87" s="437" t="n"/>
      <c r="CX87" s="437" t="n"/>
      <c r="CY87" s="437" t="n"/>
      <c r="CZ87" s="437" t="n"/>
      <c r="DA87" s="437" t="n"/>
      <c r="DB87" s="437" t="n"/>
      <c r="DC87" s="437" t="n"/>
      <c r="DD87" s="437" t="n"/>
      <c r="DE87" s="437" t="n"/>
      <c r="DF87" s="437" t="n"/>
      <c r="DG87" s="437" t="n"/>
      <c r="DH87" s="437" t="n"/>
      <c r="DI87" s="437" t="n"/>
      <c r="DJ87" s="437" t="n"/>
      <c r="DK87" s="437" t="n"/>
      <c r="DL87" s="437" t="n"/>
      <c r="DM87" s="437" t="n"/>
      <c r="DN87" s="437" t="n"/>
      <c r="DO87" s="437" t="n"/>
      <c r="DP87" s="437" t="n"/>
      <c r="DQ87" s="437" t="n"/>
      <c r="DR87" s="437" t="n"/>
      <c r="DS87" s="437" t="n"/>
      <c r="DT87" s="437" t="n"/>
      <c r="DU87" s="437" t="n"/>
      <c r="DV87" s="437" t="n"/>
      <c r="DW87" s="437" t="n"/>
      <c r="DX87" s="437" t="n"/>
      <c r="DY87" s="238" t="n"/>
      <c r="DZ87" s="23" t="n"/>
      <c r="FQ87" s="212" t="n"/>
      <c r="FR87" s="212" t="n"/>
      <c r="FS87" s="212" t="n"/>
      <c r="FT87" s="212" t="n"/>
      <c r="FU87" s="212" t="n"/>
      <c r="FV87" s="212" t="n"/>
      <c r="FW87" s="212" t="n"/>
      <c r="FX87" s="212" t="n"/>
      <c r="FY87" s="212" t="n"/>
      <c r="FZ87" s="212" t="n"/>
    </row>
    <row r="88" ht="39.95" customFormat="1" customHeight="1" s="5">
      <c r="A88" s="10" t="inlineStr">
        <is>
          <t>A</t>
        </is>
      </c>
      <c r="B88" s="6" t="n"/>
      <c r="C88" s="11" t="inlineStr">
        <is>
          <t>L</t>
        </is>
      </c>
      <c r="D88" s="433" t="inlineStr">
        <is>
          <t>ND</t>
        </is>
      </c>
      <c r="E88" s="478" t="n">
        <v>1.06</v>
      </c>
      <c r="F88" s="436" t="inlineStr">
        <is>
          <t>ND</t>
        </is>
      </c>
      <c r="G88" s="436" t="inlineStr">
        <is>
          <t>ND</t>
        </is>
      </c>
      <c r="H88" s="439" t="inlineStr">
        <is>
          <t>ND</t>
        </is>
      </c>
      <c r="I88" s="482" t="n">
        <v>4.3</v>
      </c>
      <c r="J88" s="436" t="inlineStr">
        <is>
          <t>ND</t>
        </is>
      </c>
      <c r="K88" s="436" t="n">
        <v>0.954</v>
      </c>
      <c r="L88" s="436" t="n">
        <v>0.25</v>
      </c>
      <c r="M88" s="439" t="inlineStr">
        <is>
          <t>ND</t>
        </is>
      </c>
      <c r="N88" s="442" t="n">
        <v>0.185</v>
      </c>
      <c r="O88" s="478" t="n">
        <v>2.08</v>
      </c>
      <c r="P88" s="478" t="inlineStr">
        <is>
          <t>ND</t>
        </is>
      </c>
      <c r="Q88" s="479" t="n">
        <v>2.4</v>
      </c>
      <c r="R88" s="113" t="n">
        <v>0.626</v>
      </c>
      <c r="S88" s="482" t="inlineStr">
        <is>
          <t>ND</t>
        </is>
      </c>
      <c r="T88" s="112" t="n">
        <v>0.975</v>
      </c>
      <c r="U88" s="112" t="n">
        <v>0.744</v>
      </c>
      <c r="V88" s="478" t="inlineStr">
        <is>
          <t>ND</t>
        </is>
      </c>
      <c r="W88" s="113" t="n">
        <v>0.5590000000000001</v>
      </c>
      <c r="X88" s="442" t="inlineStr">
        <is>
          <t>ND</t>
        </is>
      </c>
      <c r="Y88" s="478" t="inlineStr">
        <is>
          <t>ND</t>
        </is>
      </c>
      <c r="Z88" s="479" t="n">
        <v>1.2</v>
      </c>
      <c r="AA88" s="436" t="inlineStr">
        <is>
          <t>ND</t>
        </is>
      </c>
      <c r="AB88" s="476" t="n">
        <v>2.61</v>
      </c>
      <c r="AC88" s="477" t="inlineStr">
        <is>
          <t>ND</t>
        </is>
      </c>
      <c r="AD88" s="478" t="n">
        <v>2.83</v>
      </c>
      <c r="AE88" s="436" t="n">
        <v>0.369</v>
      </c>
      <c r="AF88" s="112" t="n">
        <v>0.096</v>
      </c>
      <c r="AG88" s="439" t="inlineStr">
        <is>
          <t>ND</t>
        </is>
      </c>
      <c r="AH88" s="483" t="n">
        <v>1.64</v>
      </c>
      <c r="AI88" s="481" t="n">
        <v>5.9</v>
      </c>
      <c r="AJ88" s="436" t="inlineStr">
        <is>
          <t>ND</t>
        </is>
      </c>
      <c r="AK88" s="475" t="n">
        <v>1.01</v>
      </c>
      <c r="AL88" s="508" t="n">
        <v>1.4</v>
      </c>
      <c r="AM88" s="483" t="n">
        <v>2.59</v>
      </c>
      <c r="AN88" s="478" t="inlineStr">
        <is>
          <t>ND</t>
        </is>
      </c>
      <c r="AO88" s="436" t="inlineStr">
        <is>
          <t>ND</t>
        </is>
      </c>
      <c r="AP88" s="436" t="n">
        <v>0.841</v>
      </c>
      <c r="AQ88" s="439" t="inlineStr">
        <is>
          <t>ND</t>
        </is>
      </c>
      <c r="AR88" s="442" t="inlineStr">
        <is>
          <t>ND</t>
        </is>
      </c>
      <c r="AS88" s="436" t="inlineStr">
        <is>
          <t>ND</t>
        </is>
      </c>
      <c r="AT88" s="436" t="inlineStr">
        <is>
          <t>ND</t>
        </is>
      </c>
      <c r="AU88" s="436" t="n">
        <v>0.357</v>
      </c>
      <c r="AV88" s="439" t="inlineStr">
        <is>
          <t>ND</t>
        </is>
      </c>
      <c r="AW88" s="442" t="inlineStr">
        <is>
          <t>ND</t>
        </is>
      </c>
      <c r="AX88" s="436" t="inlineStr">
        <is>
          <t>ND</t>
        </is>
      </c>
      <c r="AY88" s="436" t="inlineStr">
        <is>
          <t>ND</t>
        </is>
      </c>
      <c r="AZ88" s="436" t="inlineStr">
        <is>
          <t>ND</t>
        </is>
      </c>
      <c r="BA88" s="439" t="inlineStr">
        <is>
          <t>ND</t>
        </is>
      </c>
      <c r="BB88" s="442" t="inlineStr">
        <is>
          <t>ND</t>
        </is>
      </c>
      <c r="BC88" s="475" t="n">
        <v>1.04</v>
      </c>
      <c r="BD88" s="478" t="n">
        <v>2.54</v>
      </c>
      <c r="BE88" s="475" t="n">
        <v>3.17</v>
      </c>
      <c r="BF88" s="439" t="inlineStr">
        <is>
          <t>ND</t>
        </is>
      </c>
      <c r="BG88" s="477" t="n">
        <v>1.58</v>
      </c>
      <c r="BH88" s="112" t="n">
        <v>0.194</v>
      </c>
      <c r="BI88" s="112" t="n">
        <v>0.232</v>
      </c>
      <c r="BJ88" s="112" t="n">
        <v>0.9419999999999999</v>
      </c>
      <c r="BK88" s="476" t="n">
        <v>2.28</v>
      </c>
      <c r="BL88" s="477" t="n">
        <v>1.83</v>
      </c>
      <c r="BM88" s="478" t="n">
        <v>4.68</v>
      </c>
      <c r="BN88" s="475" t="n">
        <v>2.49</v>
      </c>
      <c r="BO88" s="478" t="n">
        <v>2.19</v>
      </c>
      <c r="BP88" s="476" t="n">
        <v>6.04</v>
      </c>
      <c r="BQ88" s="477" t="n">
        <v>3.27</v>
      </c>
      <c r="BR88" s="475" t="n">
        <v>2.85</v>
      </c>
      <c r="BS88" s="475" t="n">
        <v>4.44</v>
      </c>
      <c r="BT88" s="439" t="inlineStr">
        <is>
          <t>ND</t>
        </is>
      </c>
      <c r="BU88" s="454">
        <f>IFERROR(AVERAGE(D88:BT90),0)</f>
        <v/>
      </c>
      <c r="BV88" s="454">
        <f>MAX(D88:BT90)</f>
        <v/>
      </c>
      <c r="BW88" s="437" t="n"/>
      <c r="BX88" s="437" t="n"/>
      <c r="BY88" s="437" t="n"/>
      <c r="BZ88" s="437" t="n"/>
      <c r="CA88" s="437" t="n"/>
      <c r="CB88" s="437" t="n"/>
      <c r="CC88" s="437" t="n"/>
      <c r="CD88" s="437" t="n"/>
      <c r="CE88" s="437" t="n"/>
      <c r="CF88" s="437" t="n"/>
      <c r="CG88" s="437" t="n"/>
      <c r="CH88" s="437" t="n"/>
      <c r="CI88" s="437" t="n"/>
      <c r="CJ88" s="437" t="n"/>
      <c r="CK88" s="437" t="n"/>
      <c r="CL88" s="437" t="n"/>
      <c r="CM88" s="437" t="n"/>
      <c r="CN88" s="437" t="n"/>
      <c r="CO88" s="437" t="n"/>
      <c r="CP88" s="437" t="n"/>
      <c r="CQ88" s="437" t="n"/>
      <c r="CR88" s="437" t="n"/>
      <c r="CS88" s="437" t="n"/>
      <c r="CT88" s="437" t="n"/>
      <c r="CU88" s="437" t="n"/>
      <c r="CV88" s="437" t="n"/>
      <c r="CW88" s="437" t="n"/>
      <c r="CX88" s="437" t="n"/>
      <c r="CY88" s="437" t="n"/>
      <c r="CZ88" s="437" t="n"/>
      <c r="DA88" s="437" t="n"/>
      <c r="DB88" s="437" t="n"/>
      <c r="DC88" s="437" t="n"/>
      <c r="DD88" s="437" t="n"/>
      <c r="DE88" s="437" t="n"/>
      <c r="DF88" s="437" t="n"/>
      <c r="DG88" s="437" t="n"/>
      <c r="DH88" s="437" t="n"/>
      <c r="DI88" s="437" t="n"/>
      <c r="DJ88" s="437" t="n"/>
      <c r="DK88" s="437" t="n"/>
      <c r="DL88" s="437" t="n"/>
      <c r="DM88" s="437" t="n"/>
      <c r="DN88" s="437" t="n"/>
      <c r="DO88" s="437" t="n"/>
      <c r="DP88" s="437" t="n"/>
      <c r="DQ88" s="437" t="n"/>
      <c r="DR88" s="437" t="n"/>
      <c r="DS88" s="437" t="n"/>
      <c r="DT88" s="437" t="n"/>
      <c r="DU88" s="437" t="n"/>
      <c r="DV88" s="437" t="n"/>
      <c r="DW88" s="437" t="n"/>
      <c r="DX88" s="437" t="n"/>
      <c r="DY88" s="238" t="n"/>
      <c r="DZ88" s="23" t="n"/>
      <c r="FQ88" s="212" t="n"/>
      <c r="FR88" s="212" t="n"/>
      <c r="FS88" s="212" t="n"/>
      <c r="FT88" s="212" t="n"/>
      <c r="FU88" s="212" t="n"/>
      <c r="FV88" s="212" t="n"/>
      <c r="FW88" s="212" t="n"/>
      <c r="FX88" s="212" t="n"/>
      <c r="FY88" s="212" t="n"/>
      <c r="FZ88" s="212" t="n"/>
    </row>
    <row r="89" ht="39.95" customFormat="1" customHeight="1" s="5">
      <c r="A89" s="182" t="inlineStr"/>
      <c r="B89" s="7" t="inlineStr">
        <is>
          <t>-54 IN</t>
        </is>
      </c>
      <c r="C89" s="11" t="inlineStr">
        <is>
          <t>C</t>
        </is>
      </c>
      <c r="D89" s="434" t="inlineStr">
        <is>
          <t>ND</t>
        </is>
      </c>
      <c r="E89" s="437" t="inlineStr">
        <is>
          <t>ND</t>
        </is>
      </c>
      <c r="F89" s="437" t="inlineStr">
        <is>
          <t>ND</t>
        </is>
      </c>
      <c r="G89" s="437" t="inlineStr">
        <is>
          <t>ND</t>
        </is>
      </c>
      <c r="H89" s="440" t="inlineStr">
        <is>
          <t>ND</t>
        </is>
      </c>
      <c r="I89" s="487" t="n">
        <v>2.35</v>
      </c>
      <c r="J89" s="437" t="inlineStr">
        <is>
          <t>ND</t>
        </is>
      </c>
      <c r="K89" s="486" t="n">
        <v>1.49</v>
      </c>
      <c r="L89" s="486" t="n">
        <v>2.41</v>
      </c>
      <c r="M89" s="440" t="inlineStr">
        <is>
          <t>ND</t>
        </is>
      </c>
      <c r="N89" s="443" t="inlineStr">
        <is>
          <t>ND</t>
        </is>
      </c>
      <c r="O89" s="485" t="inlineStr">
        <is>
          <t>ND</t>
        </is>
      </c>
      <c r="P89" s="485" t="inlineStr">
        <is>
          <t>ND</t>
        </is>
      </c>
      <c r="Q89" s="485" t="inlineStr">
        <is>
          <t>ND</t>
        </is>
      </c>
      <c r="R89" s="488" t="inlineStr">
        <is>
          <t>ND</t>
        </is>
      </c>
      <c r="S89" s="132" t="n">
        <v>0.117</v>
      </c>
      <c r="T89" s="485" t="inlineStr">
        <is>
          <t>ND</t>
        </is>
      </c>
      <c r="U89" s="502" t="n">
        <v>1.3</v>
      </c>
      <c r="V89" s="437" t="n">
        <v>0.783</v>
      </c>
      <c r="W89" s="488" t="inlineStr">
        <is>
          <t>ND</t>
        </is>
      </c>
      <c r="X89" s="443" t="inlineStr">
        <is>
          <t>ND</t>
        </is>
      </c>
      <c r="Y89" s="437" t="inlineStr">
        <is>
          <t>ND</t>
        </is>
      </c>
      <c r="Z89" s="437" t="n">
        <v>0.616</v>
      </c>
      <c r="AA89" s="502" t="inlineStr">
        <is>
          <t>ND</t>
        </is>
      </c>
      <c r="AB89" s="440" t="inlineStr">
        <is>
          <t>ND</t>
        </is>
      </c>
      <c r="AC89" s="490" t="inlineStr">
        <is>
          <t>ND</t>
        </is>
      </c>
      <c r="AD89" s="122" t="n">
        <v>0.27</v>
      </c>
      <c r="AE89" s="437" t="inlineStr">
        <is>
          <t>ND</t>
        </is>
      </c>
      <c r="AF89" s="122" t="n">
        <v>0.513</v>
      </c>
      <c r="AG89" s="440" t="inlineStr">
        <is>
          <t>ND</t>
        </is>
      </c>
      <c r="AH89" s="443" t="n">
        <v>0.261</v>
      </c>
      <c r="AI89" s="486" t="n">
        <v>5.94</v>
      </c>
      <c r="AJ89" s="437" t="inlineStr">
        <is>
          <t>ND</t>
        </is>
      </c>
      <c r="AK89" s="437" t="inlineStr">
        <is>
          <t>ND</t>
        </is>
      </c>
      <c r="AL89" s="488" t="inlineStr">
        <is>
          <t>ND</t>
        </is>
      </c>
      <c r="AM89" s="490" t="inlineStr">
        <is>
          <t>ND</t>
        </is>
      </c>
      <c r="AN89" s="485" t="inlineStr">
        <is>
          <t>ND</t>
        </is>
      </c>
      <c r="AO89" s="485" t="inlineStr">
        <is>
          <t>ND</t>
        </is>
      </c>
      <c r="AP89" s="437" t="inlineStr">
        <is>
          <t>ND</t>
        </is>
      </c>
      <c r="AQ89" s="440" t="n">
        <v>0.02</v>
      </c>
      <c r="AR89" s="490" t="n">
        <v>1.51</v>
      </c>
      <c r="AS89" s="437" t="n">
        <v>0.106</v>
      </c>
      <c r="AT89" s="437" t="inlineStr">
        <is>
          <t>ND</t>
        </is>
      </c>
      <c r="AU89" s="437" t="inlineStr">
        <is>
          <t>ND</t>
        </is>
      </c>
      <c r="AV89" s="440" t="inlineStr">
        <is>
          <t>ND</t>
        </is>
      </c>
      <c r="AW89" s="487" t="n">
        <v>1.77</v>
      </c>
      <c r="AX89" s="486" t="n">
        <v>3.55</v>
      </c>
      <c r="AY89" s="122" t="n">
        <v>0.92</v>
      </c>
      <c r="AZ89" s="437" t="inlineStr">
        <is>
          <t>ND</t>
        </is>
      </c>
      <c r="BA89" s="440" t="inlineStr">
        <is>
          <t>ND</t>
        </is>
      </c>
      <c r="BB89" s="443" t="n">
        <v>0.115</v>
      </c>
      <c r="BC89" s="437" t="inlineStr">
        <is>
          <t>ND</t>
        </is>
      </c>
      <c r="BD89" s="485" t="n">
        <v>1.67</v>
      </c>
      <c r="BE89" s="122" t="n">
        <v>0.771</v>
      </c>
      <c r="BF89" s="440" t="n">
        <v>0.423</v>
      </c>
      <c r="BG89" s="490" t="inlineStr">
        <is>
          <t>ND</t>
        </is>
      </c>
      <c r="BH89" s="486" t="n">
        <v>4.02</v>
      </c>
      <c r="BI89" s="437" t="inlineStr">
        <is>
          <t>ND</t>
        </is>
      </c>
      <c r="BJ89" s="485" t="inlineStr">
        <is>
          <t>ND</t>
        </is>
      </c>
      <c r="BK89" s="488" t="n">
        <v>1.38</v>
      </c>
      <c r="BL89" s="490" t="n">
        <v>4.98</v>
      </c>
      <c r="BM89" s="485" t="n">
        <v>4.64</v>
      </c>
      <c r="BN89" s="437" t="n">
        <v>0.371</v>
      </c>
      <c r="BO89" s="122" t="n">
        <v>0.105</v>
      </c>
      <c r="BP89" s="488" t="n">
        <v>4.19</v>
      </c>
      <c r="BQ89" s="522" t="n">
        <v>6.5</v>
      </c>
      <c r="BR89" s="485" t="n">
        <v>4.66</v>
      </c>
      <c r="BS89" s="486" t="n">
        <v>3.43</v>
      </c>
      <c r="BT89" s="489" t="n">
        <v>1.14</v>
      </c>
      <c r="BU89" s="455" t="n"/>
      <c r="BV89" s="455" t="n"/>
      <c r="BW89" s="437" t="n"/>
      <c r="BX89" s="437" t="n"/>
      <c r="BY89" s="437" t="n"/>
      <c r="BZ89" s="437" t="n"/>
      <c r="CA89" s="437" t="n"/>
      <c r="CB89" s="437" t="n"/>
      <c r="CC89" s="437" t="n"/>
      <c r="CD89" s="437" t="n"/>
      <c r="CE89" s="437" t="n"/>
      <c r="CF89" s="437" t="n"/>
      <c r="CG89" s="437" t="n"/>
      <c r="CH89" s="437" t="n"/>
      <c r="CI89" s="437" t="n"/>
      <c r="CJ89" s="437" t="n"/>
      <c r="CK89" s="437" t="n"/>
      <c r="CL89" s="437" t="n"/>
      <c r="CM89" s="437" t="n"/>
      <c r="CN89" s="437" t="n"/>
      <c r="CO89" s="437" t="n"/>
      <c r="CP89" s="437" t="n"/>
      <c r="CQ89" s="437" t="n"/>
      <c r="CR89" s="437" t="n"/>
      <c r="CS89" s="437" t="n"/>
      <c r="CT89" s="437" t="n"/>
      <c r="CU89" s="437" t="n"/>
      <c r="CV89" s="437" t="n"/>
      <c r="CW89" s="437" t="n"/>
      <c r="CX89" s="437" t="n"/>
      <c r="CY89" s="437" t="n"/>
      <c r="CZ89" s="437" t="n"/>
      <c r="DA89" s="437" t="n"/>
      <c r="DB89" s="437" t="n"/>
      <c r="DC89" s="437" t="n"/>
      <c r="DD89" s="437" t="n"/>
      <c r="DE89" s="437" t="n"/>
      <c r="DF89" s="437" t="n"/>
      <c r="DG89" s="437" t="n"/>
      <c r="DH89" s="437" t="n"/>
      <c r="DI89" s="437" t="n"/>
      <c r="DJ89" s="437" t="n"/>
      <c r="DK89" s="437" t="n"/>
      <c r="DL89" s="437" t="n"/>
      <c r="DM89" s="437" t="n"/>
      <c r="DN89" s="437" t="n"/>
      <c r="DO89" s="437" t="n"/>
      <c r="DP89" s="437" t="n"/>
      <c r="DQ89" s="437" t="n"/>
      <c r="DR89" s="437" t="n"/>
      <c r="DS89" s="437" t="n"/>
      <c r="DT89" s="437" t="n"/>
      <c r="DU89" s="437" t="n"/>
      <c r="DV89" s="437" t="n"/>
      <c r="DW89" s="437" t="n"/>
      <c r="DX89" s="437" t="n"/>
      <c r="DY89" s="238" t="n"/>
      <c r="DZ89" s="23" t="n"/>
      <c r="FQ89" s="212" t="n"/>
      <c r="FR89" s="212" t="n"/>
      <c r="FS89" s="212" t="n"/>
      <c r="FT89" s="212" t="n"/>
      <c r="FU89" s="212" t="n"/>
      <c r="FV89" s="212" t="n"/>
      <c r="FW89" s="212" t="n"/>
      <c r="FX89" s="212" t="n"/>
      <c r="FY89" s="212" t="n"/>
      <c r="FZ89" s="212" t="n"/>
    </row>
    <row r="90" ht="39.95" customFormat="1" customHeight="1" s="5">
      <c r="A90" s="456" t="n"/>
      <c r="B90" s="8" t="n"/>
      <c r="C90" s="12" t="inlineStr">
        <is>
          <t>R</t>
        </is>
      </c>
      <c r="D90" s="435" t="inlineStr">
        <is>
          <t>ND</t>
        </is>
      </c>
      <c r="E90" s="438" t="inlineStr">
        <is>
          <t>ND</t>
        </is>
      </c>
      <c r="F90" s="438" t="inlineStr">
        <is>
          <t>ND</t>
        </is>
      </c>
      <c r="G90" s="438" t="n">
        <v>0.338</v>
      </c>
      <c r="H90" s="441" t="inlineStr">
        <is>
          <t>ND</t>
        </is>
      </c>
      <c r="I90" s="444" t="inlineStr">
        <is>
          <t>ND</t>
        </is>
      </c>
      <c r="J90" s="438" t="n">
        <v>0.604</v>
      </c>
      <c r="K90" s="494" t="n">
        <v>2.63</v>
      </c>
      <c r="L90" s="494" t="n">
        <v>2.46</v>
      </c>
      <c r="M90" s="441" t="n">
        <v>0.189</v>
      </c>
      <c r="N90" s="496" t="n">
        <v>1.41</v>
      </c>
      <c r="O90" s="492" t="inlineStr">
        <is>
          <t>ND</t>
        </is>
      </c>
      <c r="P90" s="125" t="n">
        <v>0.247</v>
      </c>
      <c r="Q90" s="125" t="n">
        <v>0.45</v>
      </c>
      <c r="R90" s="495" t="inlineStr">
        <is>
          <t>ND</t>
        </is>
      </c>
      <c r="S90" s="496" t="inlineStr">
        <is>
          <t>ND</t>
        </is>
      </c>
      <c r="T90" s="125" t="n">
        <v>0.066</v>
      </c>
      <c r="U90" s="125" t="n">
        <v>0.529</v>
      </c>
      <c r="V90" s="438" t="inlineStr">
        <is>
          <t>ND</t>
        </is>
      </c>
      <c r="W90" s="151" t="n">
        <v>0.255</v>
      </c>
      <c r="X90" s="444" t="n">
        <v>0.802</v>
      </c>
      <c r="Y90" s="497" t="n">
        <v>1.02</v>
      </c>
      <c r="Z90" s="438" t="n">
        <v>0.244</v>
      </c>
      <c r="AA90" s="494" t="n">
        <v>1.49</v>
      </c>
      <c r="AB90" s="441" t="inlineStr">
        <is>
          <t>ND</t>
        </is>
      </c>
      <c r="AC90" s="444" t="inlineStr">
        <is>
          <t>ND</t>
        </is>
      </c>
      <c r="AD90" s="125" t="n">
        <v>0.411</v>
      </c>
      <c r="AE90" s="438" t="inlineStr">
        <is>
          <t>ND</t>
        </is>
      </c>
      <c r="AF90" s="494" t="inlineStr">
        <is>
          <t>ND</t>
        </is>
      </c>
      <c r="AG90" s="495" t="n">
        <v>3.08</v>
      </c>
      <c r="AH90" s="444" t="inlineStr">
        <is>
          <t>ND</t>
        </is>
      </c>
      <c r="AI90" s="497" t="n">
        <v>2.88</v>
      </c>
      <c r="AJ90" s="438" t="n">
        <v>0.518</v>
      </c>
      <c r="AK90" s="438" t="inlineStr">
        <is>
          <t>ND</t>
        </is>
      </c>
      <c r="AL90" s="495" t="inlineStr">
        <is>
          <t>ND</t>
        </is>
      </c>
      <c r="AM90" s="444" t="inlineStr">
        <is>
          <t>ND</t>
        </is>
      </c>
      <c r="AN90" s="494" t="inlineStr">
        <is>
          <t>ND</t>
        </is>
      </c>
      <c r="AO90" s="494" t="inlineStr">
        <is>
          <t>ND</t>
        </is>
      </c>
      <c r="AP90" s="497" t="n">
        <v>1.15</v>
      </c>
      <c r="AQ90" s="498" t="n">
        <v>1.31</v>
      </c>
      <c r="AR90" s="148" t="n">
        <v>0.9399999999999999</v>
      </c>
      <c r="AS90" s="438" t="inlineStr">
        <is>
          <t>ND</t>
        </is>
      </c>
      <c r="AT90" s="438" t="inlineStr">
        <is>
          <t>ND</t>
        </is>
      </c>
      <c r="AU90" s="494" t="n">
        <v>1.63</v>
      </c>
      <c r="AV90" s="441" t="n">
        <v>0.575</v>
      </c>
      <c r="AW90" s="505" t="n">
        <v>1.08</v>
      </c>
      <c r="AX90" s="497" t="n">
        <v>4.33</v>
      </c>
      <c r="AY90" s="494" t="n">
        <v>4.96</v>
      </c>
      <c r="AZ90" s="494" t="inlineStr">
        <is>
          <t>ND</t>
        </is>
      </c>
      <c r="BA90" s="495" t="n">
        <v>3.31</v>
      </c>
      <c r="BB90" s="148" t="n">
        <v>0.864</v>
      </c>
      <c r="BC90" s="438" t="inlineStr">
        <is>
          <t>ND</t>
        </is>
      </c>
      <c r="BD90" s="494" t="n">
        <v>2.85</v>
      </c>
      <c r="BE90" s="438" t="n">
        <v>0.533</v>
      </c>
      <c r="BF90" s="498" t="n">
        <v>1.42</v>
      </c>
      <c r="BG90" s="496" t="n">
        <v>3.83</v>
      </c>
      <c r="BH90" s="497" t="n">
        <v>1.54</v>
      </c>
      <c r="BI90" s="494" t="inlineStr">
        <is>
          <t>ND</t>
        </is>
      </c>
      <c r="BJ90" s="494" t="n">
        <v>3.63</v>
      </c>
      <c r="BK90" s="495" t="n">
        <v>1.61</v>
      </c>
      <c r="BL90" s="505" t="n">
        <v>3.73</v>
      </c>
      <c r="BM90" s="494" t="n">
        <v>2.99</v>
      </c>
      <c r="BN90" s="556" t="n">
        <v>3</v>
      </c>
      <c r="BO90" s="494" t="n">
        <v>4.29</v>
      </c>
      <c r="BP90" s="558" t="n">
        <v>8</v>
      </c>
      <c r="BQ90" s="505" t="n">
        <v>4.48</v>
      </c>
      <c r="BR90" s="497" t="n">
        <v>2.98</v>
      </c>
      <c r="BS90" s="499" t="n">
        <v>1.8</v>
      </c>
      <c r="BT90" s="498" t="n">
        <v>2.45</v>
      </c>
      <c r="BU90" s="457" t="n"/>
      <c r="BV90" s="457" t="n"/>
      <c r="BW90" s="437" t="n"/>
      <c r="BX90" s="437" t="n"/>
      <c r="BY90" s="437" t="n"/>
      <c r="BZ90" s="437" t="n"/>
      <c r="CA90" s="437" t="n"/>
      <c r="CB90" s="437" t="n"/>
      <c r="CC90" s="437" t="n"/>
      <c r="CD90" s="437" t="n"/>
      <c r="CE90" s="437" t="n"/>
      <c r="CF90" s="437" t="n"/>
      <c r="CG90" s="437" t="n"/>
      <c r="CH90" s="437" t="n"/>
      <c r="CI90" s="437" t="n"/>
      <c r="CJ90" s="437" t="n"/>
      <c r="CK90" s="437" t="n"/>
      <c r="CL90" s="437" t="n"/>
      <c r="CM90" s="437" t="n"/>
      <c r="CN90" s="437" t="n"/>
      <c r="CO90" s="437" t="n"/>
      <c r="CP90" s="437" t="n"/>
      <c r="CQ90" s="437" t="n"/>
      <c r="CR90" s="437" t="n"/>
      <c r="CS90" s="437" t="n"/>
      <c r="CT90" s="437" t="n"/>
      <c r="CU90" s="437" t="n"/>
      <c r="CV90" s="437" t="n"/>
      <c r="CW90" s="437" t="n"/>
      <c r="CX90" s="437" t="n"/>
      <c r="CY90" s="437" t="n"/>
      <c r="CZ90" s="437" t="n"/>
      <c r="DA90" s="437" t="n"/>
      <c r="DB90" s="437" t="n"/>
      <c r="DC90" s="437" t="n"/>
      <c r="DD90" s="437" t="n"/>
      <c r="DE90" s="437" t="n"/>
      <c r="DF90" s="437" t="n"/>
      <c r="DG90" s="437" t="n"/>
      <c r="DH90" s="437" t="n"/>
      <c r="DI90" s="437" t="n"/>
      <c r="DJ90" s="437" t="n"/>
      <c r="DK90" s="437" t="n"/>
      <c r="DL90" s="437" t="n"/>
      <c r="DM90" s="437" t="n"/>
      <c r="DN90" s="437" t="n"/>
      <c r="DO90" s="437" t="n"/>
      <c r="DP90" s="437" t="n"/>
      <c r="DQ90" s="437" t="n"/>
      <c r="DR90" s="437" t="n"/>
      <c r="DS90" s="437" t="n"/>
      <c r="DT90" s="437" t="n"/>
      <c r="DU90" s="437" t="n"/>
      <c r="DV90" s="437" t="n"/>
      <c r="DW90" s="437" t="n"/>
      <c r="DX90" s="437" t="n"/>
      <c r="DY90" s="238" t="n"/>
      <c r="DZ90" s="23" t="n"/>
      <c r="FQ90" s="212" t="n"/>
      <c r="FR90" s="212" t="n"/>
      <c r="FS90" s="212" t="n"/>
      <c r="FT90" s="212" t="n"/>
      <c r="FU90" s="212" t="n"/>
      <c r="FV90" s="212" t="n"/>
      <c r="FW90" s="212" t="n"/>
      <c r="FX90" s="212" t="n"/>
      <c r="FY90" s="212" t="n"/>
      <c r="FZ90" s="212" t="n"/>
    </row>
    <row r="91" ht="39.95" customFormat="1" customHeight="1" s="5">
      <c r="A91" s="10" t="inlineStr">
        <is>
          <t>A</t>
        </is>
      </c>
      <c r="B91" s="6" t="inlineStr">
        <is>
          <t>POSITION 'A'</t>
        </is>
      </c>
      <c r="C91" s="11" t="inlineStr">
        <is>
          <t>L</t>
        </is>
      </c>
      <c r="D91" s="433" t="inlineStr">
        <is>
          <t>ND</t>
        </is>
      </c>
      <c r="E91" s="436" t="inlineStr">
        <is>
          <t>ND</t>
        </is>
      </c>
      <c r="F91" s="436" t="inlineStr">
        <is>
          <t>ND</t>
        </is>
      </c>
      <c r="G91" s="478" t="n">
        <v>2.55</v>
      </c>
      <c r="H91" s="439" t="inlineStr">
        <is>
          <t>ND</t>
        </is>
      </c>
      <c r="I91" s="483" t="n">
        <v>3.47</v>
      </c>
      <c r="J91" s="478" t="inlineStr">
        <is>
          <t>ND</t>
        </is>
      </c>
      <c r="K91" s="436" t="inlineStr">
        <is>
          <t>ND</t>
        </is>
      </c>
      <c r="L91" s="478" t="n">
        <v>1.34</v>
      </c>
      <c r="M91" s="480" t="n">
        <v>1.66</v>
      </c>
      <c r="N91" s="442" t="inlineStr">
        <is>
          <t>ND</t>
        </is>
      </c>
      <c r="O91" s="436" t="inlineStr">
        <is>
          <t>ND</t>
        </is>
      </c>
      <c r="P91" s="475" t="n">
        <v>1.55</v>
      </c>
      <c r="Q91" s="436" t="inlineStr">
        <is>
          <t>ND</t>
        </is>
      </c>
      <c r="R91" s="113" t="n">
        <v>0.882</v>
      </c>
      <c r="S91" s="483" t="n">
        <v>2.27</v>
      </c>
      <c r="T91" s="436" t="inlineStr">
        <is>
          <t>ND</t>
        </is>
      </c>
      <c r="U91" s="112" t="n">
        <v>0.082</v>
      </c>
      <c r="V91" s="478" t="n">
        <v>2.49</v>
      </c>
      <c r="W91" s="439" t="inlineStr">
        <is>
          <t>ND</t>
        </is>
      </c>
      <c r="X91" s="482" t="n">
        <v>2.6</v>
      </c>
      <c r="Y91" s="478" t="n">
        <v>2.91</v>
      </c>
      <c r="Z91" s="436" t="inlineStr">
        <is>
          <t>ND</t>
        </is>
      </c>
      <c r="AA91" s="478" t="n">
        <v>2.35</v>
      </c>
      <c r="AB91" s="476" t="n">
        <v>3.19</v>
      </c>
      <c r="AC91" s="442" t="inlineStr">
        <is>
          <t>ND</t>
        </is>
      </c>
      <c r="AD91" s="479" t="n">
        <v>3.9</v>
      </c>
      <c r="AE91" s="478" t="n">
        <v>2.33</v>
      </c>
      <c r="AF91" s="436" t="inlineStr">
        <is>
          <t>ND</t>
        </is>
      </c>
      <c r="AG91" s="439" t="n">
        <v>0.311</v>
      </c>
      <c r="AH91" s="477" t="n">
        <v>2.82</v>
      </c>
      <c r="AI91" s="436" t="inlineStr">
        <is>
          <t>ND</t>
        </is>
      </c>
      <c r="AJ91" s="475" t="n">
        <v>2.47</v>
      </c>
      <c r="AK91" s="478" t="n">
        <v>3.01</v>
      </c>
      <c r="AL91" s="439" t="inlineStr">
        <is>
          <t>ND</t>
        </is>
      </c>
      <c r="AM91" s="477" t="n">
        <v>2.26</v>
      </c>
      <c r="AN91" s="475" t="n">
        <v>4.33</v>
      </c>
      <c r="AO91" s="436" t="inlineStr">
        <is>
          <t>ND</t>
        </is>
      </c>
      <c r="AP91" s="478" t="inlineStr">
        <is>
          <t>ND</t>
        </is>
      </c>
      <c r="AQ91" s="508" t="n">
        <v>3.1</v>
      </c>
      <c r="AR91" s="442" t="inlineStr">
        <is>
          <t>ND</t>
        </is>
      </c>
      <c r="AS91" s="112" t="n">
        <v>0.201</v>
      </c>
      <c r="AT91" s="478" t="n">
        <v>1.44</v>
      </c>
      <c r="AU91" s="436" t="inlineStr">
        <is>
          <t>ND</t>
        </is>
      </c>
      <c r="AV91" s="476" t="inlineStr">
        <is>
          <t>ND</t>
        </is>
      </c>
      <c r="AW91" s="483" t="n">
        <v>1.51</v>
      </c>
      <c r="AX91" s="436" t="inlineStr">
        <is>
          <t>ND</t>
        </is>
      </c>
      <c r="AY91" s="478" t="n">
        <v>2.92</v>
      </c>
      <c r="AZ91" s="478" t="n">
        <v>3.58</v>
      </c>
      <c r="BA91" s="439" t="inlineStr">
        <is>
          <t>ND</t>
        </is>
      </c>
      <c r="BB91" s="477" t="inlineStr">
        <is>
          <t>ND</t>
        </is>
      </c>
      <c r="BC91" s="478" t="n">
        <v>1.99</v>
      </c>
      <c r="BD91" s="436" t="inlineStr">
        <is>
          <t>ND</t>
        </is>
      </c>
      <c r="BE91" s="436" t="inlineStr">
        <is>
          <t>ND</t>
        </is>
      </c>
      <c r="BF91" s="476" t="n">
        <v>3.84</v>
      </c>
      <c r="BG91" s="442" t="inlineStr">
        <is>
          <t>ND</t>
        </is>
      </c>
      <c r="BH91" s="436" t="inlineStr">
        <is>
          <t>ND</t>
        </is>
      </c>
      <c r="BI91" s="436" t="n">
        <v>0.984</v>
      </c>
      <c r="BJ91" s="436" t="inlineStr">
        <is>
          <t>ND</t>
        </is>
      </c>
      <c r="BK91" s="476" t="n">
        <v>2.32</v>
      </c>
      <c r="BL91" s="483" t="n">
        <v>1.73</v>
      </c>
      <c r="BM91" s="436" t="inlineStr">
        <is>
          <t>ND</t>
        </is>
      </c>
      <c r="BN91" s="112" t="n">
        <v>0.509</v>
      </c>
      <c r="BO91" s="436" t="n">
        <v>0.873</v>
      </c>
      <c r="BP91" s="439" t="inlineStr">
        <is>
          <t>ND</t>
        </is>
      </c>
      <c r="BQ91" s="115" t="n">
        <v>0.247</v>
      </c>
      <c r="BR91" s="436" t="n">
        <v>0.92</v>
      </c>
      <c r="BS91" s="436" t="inlineStr">
        <is>
          <t>ND</t>
        </is>
      </c>
      <c r="BT91" s="439" t="inlineStr">
        <is>
          <t>ND</t>
        </is>
      </c>
      <c r="BU91" s="454">
        <f>IFERROR(AVERAGE(D91:BT93),0)</f>
        <v/>
      </c>
      <c r="BV91" s="454">
        <f>MAX(D91:BT93)</f>
        <v/>
      </c>
      <c r="BW91" s="437" t="n"/>
      <c r="BX91" s="437" t="n"/>
      <c r="BY91" s="437" t="n"/>
      <c r="BZ91" s="437" t="n"/>
      <c r="CA91" s="437" t="n"/>
      <c r="CB91" s="437" t="n"/>
      <c r="CC91" s="437" t="n"/>
      <c r="CD91" s="437" t="n"/>
      <c r="CE91" s="437" t="n"/>
      <c r="CF91" s="437" t="n"/>
      <c r="CG91" s="437" t="n"/>
      <c r="CH91" s="437" t="n"/>
      <c r="CI91" s="437" t="n"/>
      <c r="CJ91" s="437" t="n"/>
      <c r="CK91" s="437" t="n"/>
      <c r="CL91" s="437" t="n"/>
      <c r="CM91" s="437" t="n"/>
      <c r="CN91" s="437" t="n"/>
      <c r="CO91" s="437" t="n"/>
      <c r="CP91" s="437" t="n"/>
      <c r="CQ91" s="437" t="n"/>
      <c r="CR91" s="437" t="n"/>
      <c r="CS91" s="437" t="n"/>
      <c r="CT91" s="437" t="n"/>
      <c r="CU91" s="437" t="n"/>
      <c r="CV91" s="437" t="n"/>
      <c r="CW91" s="437" t="n"/>
      <c r="CX91" s="437" t="n"/>
      <c r="CY91" s="437" t="n"/>
      <c r="CZ91" s="437" t="n"/>
      <c r="DA91" s="437" t="n"/>
      <c r="DB91" s="437" t="n"/>
      <c r="DC91" s="437" t="n"/>
      <c r="DD91" s="437" t="n"/>
      <c r="DE91" s="437" t="n"/>
      <c r="DF91" s="437" t="n"/>
      <c r="DG91" s="437" t="n"/>
      <c r="DH91" s="437" t="n"/>
      <c r="DI91" s="437" t="n"/>
      <c r="DJ91" s="437" t="n"/>
      <c r="DK91" s="437" t="n"/>
      <c r="DL91" s="437" t="n"/>
      <c r="DM91" s="437" t="n"/>
      <c r="DN91" s="437" t="n"/>
      <c r="DO91" s="437" t="n"/>
      <c r="DP91" s="437" t="n"/>
      <c r="DQ91" s="437" t="n"/>
      <c r="DR91" s="437" t="n"/>
      <c r="DS91" s="437" t="n"/>
      <c r="DT91" s="437" t="n"/>
      <c r="DU91" s="437" t="n"/>
      <c r="DV91" s="437" t="n"/>
      <c r="DW91" s="437" t="n"/>
      <c r="DX91" s="437" t="n"/>
      <c r="DY91" s="238" t="n"/>
      <c r="DZ91" s="23" t="n"/>
      <c r="FQ91" s="212" t="n"/>
      <c r="FR91" s="212" t="n"/>
      <c r="FS91" s="212" t="n"/>
      <c r="FT91" s="212" t="n"/>
      <c r="FU91" s="212" t="n"/>
      <c r="FV91" s="212" t="n"/>
      <c r="FW91" s="212" t="n"/>
      <c r="FX91" s="212" t="n"/>
      <c r="FY91" s="212" t="n"/>
      <c r="FZ91" s="212" t="n"/>
    </row>
    <row r="92" ht="39.95" customFormat="1" customHeight="1" s="5">
      <c r="A92" s="182" t="inlineStr"/>
      <c r="B92" s="7" t="inlineStr">
        <is>
          <t xml:space="preserve">OF THE </t>
        </is>
      </c>
      <c r="C92" s="11" t="inlineStr">
        <is>
          <t>C</t>
        </is>
      </c>
      <c r="D92" s="434" t="inlineStr">
        <is>
          <t>ND</t>
        </is>
      </c>
      <c r="E92" s="437" t="inlineStr">
        <is>
          <t>ND</t>
        </is>
      </c>
      <c r="F92" s="485" t="inlineStr">
        <is>
          <t>ND</t>
        </is>
      </c>
      <c r="G92" s="485" t="n">
        <v>2.67</v>
      </c>
      <c r="H92" s="440" t="inlineStr">
        <is>
          <t>ND</t>
        </is>
      </c>
      <c r="I92" s="487" t="n">
        <v>2.34</v>
      </c>
      <c r="J92" s="486" t="n">
        <v>2.12</v>
      </c>
      <c r="K92" s="437" t="inlineStr">
        <is>
          <t>ND</t>
        </is>
      </c>
      <c r="L92" s="486" t="n">
        <v>2.21</v>
      </c>
      <c r="M92" s="488" t="inlineStr">
        <is>
          <t>ND</t>
        </is>
      </c>
      <c r="N92" s="443" t="inlineStr">
        <is>
          <t>ND</t>
        </is>
      </c>
      <c r="O92" s="486" t="n">
        <v>2.34</v>
      </c>
      <c r="P92" s="486" t="n">
        <v>1.46</v>
      </c>
      <c r="Q92" s="437" t="inlineStr">
        <is>
          <t>ND</t>
        </is>
      </c>
      <c r="R92" s="440" t="n">
        <v>0.252</v>
      </c>
      <c r="S92" s="522" t="n">
        <v>2.5</v>
      </c>
      <c r="T92" s="437" t="inlineStr">
        <is>
          <t>ND</t>
        </is>
      </c>
      <c r="U92" s="540" t="n">
        <v>2</v>
      </c>
      <c r="V92" s="485" t="n">
        <v>2.17</v>
      </c>
      <c r="W92" s="440" t="inlineStr">
        <is>
          <t>ND</t>
        </is>
      </c>
      <c r="X92" s="490" t="n">
        <v>4.08</v>
      </c>
      <c r="Y92" s="485" t="n">
        <v>2.25</v>
      </c>
      <c r="Z92" s="437" t="inlineStr">
        <is>
          <t>ND</t>
        </is>
      </c>
      <c r="AA92" s="502" t="n">
        <v>3.2</v>
      </c>
      <c r="AB92" s="488" t="n">
        <v>1.32</v>
      </c>
      <c r="AC92" s="443" t="inlineStr">
        <is>
          <t>ND</t>
        </is>
      </c>
      <c r="AD92" s="485" t="n">
        <v>3.22</v>
      </c>
      <c r="AE92" s="485" t="n">
        <v>3.54</v>
      </c>
      <c r="AF92" s="437" t="inlineStr">
        <is>
          <t>ND</t>
        </is>
      </c>
      <c r="AG92" s="440" t="n">
        <v>0.983</v>
      </c>
      <c r="AH92" s="487" t="n">
        <v>1.78</v>
      </c>
      <c r="AI92" s="437" t="inlineStr">
        <is>
          <t>ND</t>
        </is>
      </c>
      <c r="AJ92" s="502" t="n">
        <v>2.7</v>
      </c>
      <c r="AK92" s="485" t="n">
        <v>3.51</v>
      </c>
      <c r="AL92" s="440" t="inlineStr">
        <is>
          <t>ND</t>
        </is>
      </c>
      <c r="AM92" s="132" t="n">
        <v>0.862</v>
      </c>
      <c r="AN92" s="485" t="n">
        <v>1.14</v>
      </c>
      <c r="AO92" s="437" t="inlineStr">
        <is>
          <t>ND</t>
        </is>
      </c>
      <c r="AP92" s="122" t="n">
        <v>0.266</v>
      </c>
      <c r="AQ92" s="559" t="n">
        <v>2</v>
      </c>
      <c r="AR92" s="443" t="inlineStr">
        <is>
          <t>ND</t>
        </is>
      </c>
      <c r="AS92" s="122" t="n">
        <v>0.718</v>
      </c>
      <c r="AT92" s="486" t="n">
        <v>2.78</v>
      </c>
      <c r="AU92" s="437" t="inlineStr">
        <is>
          <t>ND</t>
        </is>
      </c>
      <c r="AV92" s="440" t="n">
        <v>0.43</v>
      </c>
      <c r="AW92" s="443" t="n">
        <v>0.881</v>
      </c>
      <c r="AX92" s="437" t="inlineStr">
        <is>
          <t>ND</t>
        </is>
      </c>
      <c r="AY92" s="501" t="n">
        <v>1.3</v>
      </c>
      <c r="AZ92" s="485" t="n">
        <v>2.16</v>
      </c>
      <c r="BA92" s="440" t="inlineStr">
        <is>
          <t>ND</t>
        </is>
      </c>
      <c r="BB92" s="490" t="n">
        <v>2.44</v>
      </c>
      <c r="BC92" s="485" t="n">
        <v>2.67</v>
      </c>
      <c r="BD92" s="437" t="inlineStr">
        <is>
          <t>ND</t>
        </is>
      </c>
      <c r="BE92" s="437" t="inlineStr">
        <is>
          <t>ND</t>
        </is>
      </c>
      <c r="BF92" s="488" t="n">
        <v>1.17</v>
      </c>
      <c r="BG92" s="443" t="inlineStr">
        <is>
          <t>ND</t>
        </is>
      </c>
      <c r="BH92" s="437" t="n">
        <v>0.662</v>
      </c>
      <c r="BI92" s="437" t="n">
        <v>0.591</v>
      </c>
      <c r="BJ92" s="437" t="inlineStr">
        <is>
          <t>ND</t>
        </is>
      </c>
      <c r="BK92" s="488" t="n">
        <v>2.97</v>
      </c>
      <c r="BL92" s="522" t="n">
        <v>2.6</v>
      </c>
      <c r="BM92" s="437" t="inlineStr">
        <is>
          <t>ND</t>
        </is>
      </c>
      <c r="BN92" s="501" t="n">
        <v>1.7</v>
      </c>
      <c r="BO92" s="122" t="n">
        <v>0.32</v>
      </c>
      <c r="BP92" s="440" t="inlineStr">
        <is>
          <t>ND</t>
        </is>
      </c>
      <c r="BQ92" s="132" t="n">
        <v>0.73</v>
      </c>
      <c r="BR92" s="437" t="inlineStr">
        <is>
          <t>ND</t>
        </is>
      </c>
      <c r="BS92" s="437" t="inlineStr">
        <is>
          <t>ND</t>
        </is>
      </c>
      <c r="BT92" s="440" t="inlineStr">
        <is>
          <t>ND</t>
        </is>
      </c>
      <c r="BU92" s="455" t="n"/>
      <c r="BV92" s="455" t="n"/>
      <c r="BW92" s="437" t="n"/>
      <c r="BX92" s="437" t="n"/>
      <c r="BY92" s="437" t="n"/>
      <c r="BZ92" s="437" t="n"/>
      <c r="CA92" s="437" t="n"/>
      <c r="CB92" s="437" t="n"/>
      <c r="CC92" s="437" t="n"/>
      <c r="CD92" s="437" t="n"/>
      <c r="CE92" s="437" t="n"/>
      <c r="CF92" s="437" t="n"/>
      <c r="CG92" s="437" t="n"/>
      <c r="CH92" s="437" t="n"/>
      <c r="CI92" s="437" t="n"/>
      <c r="CJ92" s="437" t="n"/>
      <c r="CK92" s="437" t="n"/>
      <c r="CL92" s="437" t="n"/>
      <c r="CM92" s="437" t="n"/>
      <c r="CN92" s="437" t="n"/>
      <c r="CO92" s="437" t="n"/>
      <c r="CP92" s="437" t="n"/>
      <c r="CQ92" s="437" t="n"/>
      <c r="CR92" s="437" t="n"/>
      <c r="CS92" s="437" t="n"/>
      <c r="CT92" s="437" t="n"/>
      <c r="CU92" s="437" t="n"/>
      <c r="CV92" s="437" t="n"/>
      <c r="CW92" s="437" t="n"/>
      <c r="CX92" s="437" t="n"/>
      <c r="CY92" s="437" t="n"/>
      <c r="CZ92" s="437" t="n"/>
      <c r="DA92" s="437" t="n"/>
      <c r="DB92" s="437" t="n"/>
      <c r="DC92" s="437" t="n"/>
      <c r="DD92" s="437" t="n"/>
      <c r="DE92" s="437" t="n"/>
      <c r="DF92" s="437" t="n"/>
      <c r="DG92" s="437" t="n"/>
      <c r="DH92" s="437" t="n"/>
      <c r="DI92" s="437" t="n"/>
      <c r="DJ92" s="437" t="n"/>
      <c r="DK92" s="437" t="n"/>
      <c r="DL92" s="437" t="n"/>
      <c r="DM92" s="437" t="n"/>
      <c r="DN92" s="437" t="n"/>
      <c r="DO92" s="437" t="n"/>
      <c r="DP92" s="437" t="n"/>
      <c r="DQ92" s="437" t="n"/>
      <c r="DR92" s="437" t="n"/>
      <c r="DS92" s="437" t="n"/>
      <c r="DT92" s="437" t="n"/>
      <c r="DU92" s="437" t="n"/>
      <c r="DV92" s="437" t="n"/>
      <c r="DW92" s="437" t="n"/>
      <c r="DX92" s="437" t="n"/>
      <c r="DY92" s="238" t="n"/>
      <c r="DZ92" s="23" t="n"/>
      <c r="FQ92" s="212" t="n"/>
      <c r="FR92" s="212" t="n"/>
      <c r="FS92" s="212" t="n"/>
      <c r="FT92" s="212" t="n"/>
      <c r="FU92" s="212" t="n"/>
      <c r="FV92" s="212" t="n"/>
      <c r="FW92" s="212" t="n"/>
      <c r="FX92" s="212" t="n"/>
      <c r="FY92" s="212" t="n"/>
      <c r="FZ92" s="212" t="n"/>
    </row>
    <row r="93" ht="39.95" customFormat="1" customHeight="1" s="5">
      <c r="A93" s="456" t="n"/>
      <c r="B93" s="8" t="inlineStr">
        <is>
          <t>PRIMARIES</t>
        </is>
      </c>
      <c r="C93" s="12" t="inlineStr">
        <is>
          <t>R</t>
        </is>
      </c>
      <c r="D93" s="435" t="inlineStr">
        <is>
          <t>ND</t>
        </is>
      </c>
      <c r="E93" s="438" t="inlineStr">
        <is>
          <t>ND</t>
        </is>
      </c>
      <c r="F93" s="494" t="inlineStr">
        <is>
          <t>ND</t>
        </is>
      </c>
      <c r="G93" s="125" t="n">
        <v>0.767</v>
      </c>
      <c r="H93" s="441" t="inlineStr">
        <is>
          <t>ND</t>
        </is>
      </c>
      <c r="I93" s="505" t="n">
        <v>1.87</v>
      </c>
      <c r="J93" s="497" t="n">
        <v>4.36</v>
      </c>
      <c r="K93" s="438" t="inlineStr">
        <is>
          <t>ND</t>
        </is>
      </c>
      <c r="L93" s="497" t="n">
        <v>5.57</v>
      </c>
      <c r="M93" s="495" t="n">
        <v>1.08</v>
      </c>
      <c r="N93" s="444" t="inlineStr">
        <is>
          <t>ND</t>
        </is>
      </c>
      <c r="O93" s="494" t="n">
        <v>3.85</v>
      </c>
      <c r="P93" s="497" t="n">
        <v>2.09</v>
      </c>
      <c r="Q93" s="438" t="inlineStr">
        <is>
          <t>ND</t>
        </is>
      </c>
      <c r="R93" s="495" t="n">
        <v>2.32</v>
      </c>
      <c r="S93" s="496" t="n">
        <v>1.99</v>
      </c>
      <c r="T93" s="438" t="inlineStr">
        <is>
          <t>ND</t>
        </is>
      </c>
      <c r="U93" s="497" t="n">
        <v>1.26</v>
      </c>
      <c r="V93" s="494" t="inlineStr">
        <is>
          <t>ND</t>
        </is>
      </c>
      <c r="W93" s="441" t="inlineStr">
        <is>
          <t>ND</t>
        </is>
      </c>
      <c r="X93" s="496" t="n">
        <v>3.94</v>
      </c>
      <c r="Y93" s="497" t="n">
        <v>2.22</v>
      </c>
      <c r="Z93" s="438" t="inlineStr">
        <is>
          <t>ND</t>
        </is>
      </c>
      <c r="AA93" s="492" t="n">
        <v>3.8</v>
      </c>
      <c r="AB93" s="495" t="n">
        <v>1.72</v>
      </c>
      <c r="AC93" s="444" t="inlineStr">
        <is>
          <t>ND</t>
        </is>
      </c>
      <c r="AD93" s="494" t="n">
        <v>3.36</v>
      </c>
      <c r="AE93" s="494" t="n">
        <v>2.28</v>
      </c>
      <c r="AF93" s="438" t="inlineStr">
        <is>
          <t>ND</t>
        </is>
      </c>
      <c r="AG93" s="495" t="inlineStr">
        <is>
          <t>ND</t>
        </is>
      </c>
      <c r="AH93" s="496" t="n">
        <v>2.31</v>
      </c>
      <c r="AI93" s="438" t="inlineStr">
        <is>
          <t>ND</t>
        </is>
      </c>
      <c r="AJ93" s="494" t="n">
        <v>5.48</v>
      </c>
      <c r="AK93" s="494" t="n">
        <v>1.91</v>
      </c>
      <c r="AL93" s="441" t="inlineStr">
        <is>
          <t>ND</t>
        </is>
      </c>
      <c r="AM93" s="496" t="n">
        <v>3.19</v>
      </c>
      <c r="AN93" s="497" t="n">
        <v>3.39</v>
      </c>
      <c r="AO93" s="438" t="inlineStr">
        <is>
          <t>ND</t>
        </is>
      </c>
      <c r="AP93" s="438" t="inlineStr">
        <is>
          <t>ND</t>
        </is>
      </c>
      <c r="AQ93" s="495" t="n">
        <v>3.59</v>
      </c>
      <c r="AR93" s="444" t="inlineStr">
        <is>
          <t>ND</t>
        </is>
      </c>
      <c r="AS93" s="497" t="n">
        <v>3.68</v>
      </c>
      <c r="AT93" s="494" t="n">
        <v>2.62</v>
      </c>
      <c r="AU93" s="438" t="inlineStr">
        <is>
          <t>ND</t>
        </is>
      </c>
      <c r="AV93" s="528" t="n">
        <v>1.2</v>
      </c>
      <c r="AW93" s="505" t="n">
        <v>2.91</v>
      </c>
      <c r="AX93" s="438" t="inlineStr">
        <is>
          <t>ND</t>
        </is>
      </c>
      <c r="AY93" s="494" t="n">
        <v>2.73</v>
      </c>
      <c r="AZ93" s="438" t="inlineStr">
        <is>
          <t>ND</t>
        </is>
      </c>
      <c r="BA93" s="441" t="inlineStr">
        <is>
          <t>ND</t>
        </is>
      </c>
      <c r="BB93" s="496" t="n">
        <v>1.44</v>
      </c>
      <c r="BC93" s="494" t="n">
        <v>2.61</v>
      </c>
      <c r="BD93" s="438" t="inlineStr">
        <is>
          <t>ND</t>
        </is>
      </c>
      <c r="BE93" s="125" t="n">
        <v>0.944</v>
      </c>
      <c r="BF93" s="441" t="n">
        <v>0.46</v>
      </c>
      <c r="BG93" s="444" t="inlineStr">
        <is>
          <t>ND</t>
        </is>
      </c>
      <c r="BH93" s="125" t="n">
        <v>0.702</v>
      </c>
      <c r="BI93" s="497" t="n">
        <v>1.64</v>
      </c>
      <c r="BJ93" s="438" t="inlineStr">
        <is>
          <t>ND</t>
        </is>
      </c>
      <c r="BK93" s="495" t="n">
        <v>1.08</v>
      </c>
      <c r="BL93" s="496" t="n">
        <v>1.46</v>
      </c>
      <c r="BM93" s="438" t="inlineStr">
        <is>
          <t>ND</t>
        </is>
      </c>
      <c r="BN93" s="494" t="inlineStr">
        <is>
          <t>ND</t>
        </is>
      </c>
      <c r="BO93" s="125" t="n">
        <v>0.854</v>
      </c>
      <c r="BP93" s="441" t="inlineStr">
        <is>
          <t>ND</t>
        </is>
      </c>
      <c r="BQ93" s="496" t="n">
        <v>1.94</v>
      </c>
      <c r="BR93" s="438" t="inlineStr">
        <is>
          <t>ND</t>
        </is>
      </c>
      <c r="BS93" s="438" t="inlineStr">
        <is>
          <t>ND</t>
        </is>
      </c>
      <c r="BT93" s="441" t="inlineStr">
        <is>
          <t>ND</t>
        </is>
      </c>
      <c r="BU93" s="457" t="n"/>
      <c r="BV93" s="457" t="n"/>
      <c r="BW93" s="437" t="n"/>
      <c r="BX93" s="437" t="n"/>
      <c r="BY93" s="437" t="n"/>
      <c r="BZ93" s="437" t="n"/>
      <c r="CA93" s="437" t="n"/>
      <c r="CB93" s="437" t="n"/>
      <c r="CC93" s="437" t="n"/>
      <c r="CD93" s="437" t="n"/>
      <c r="CE93" s="437" t="n"/>
      <c r="CF93" s="437" t="n"/>
      <c r="CG93" s="437" t="n"/>
      <c r="CH93" s="437" t="n"/>
      <c r="CI93" s="437" t="n"/>
      <c r="CJ93" s="437" t="n"/>
      <c r="CK93" s="437" t="n"/>
      <c r="CL93" s="437" t="n"/>
      <c r="CM93" s="437" t="n"/>
      <c r="CN93" s="437" t="n"/>
      <c r="CO93" s="437" t="n"/>
      <c r="CP93" s="437" t="n"/>
      <c r="CQ93" s="437" t="n"/>
      <c r="CR93" s="437" t="n"/>
      <c r="CS93" s="437" t="n"/>
      <c r="CT93" s="437" t="n"/>
      <c r="CU93" s="437" t="n"/>
      <c r="CV93" s="437" t="n"/>
      <c r="CW93" s="437" t="n"/>
      <c r="CX93" s="437" t="n"/>
      <c r="CY93" s="437" t="n"/>
      <c r="CZ93" s="437" t="n"/>
      <c r="DA93" s="437" t="n"/>
      <c r="DB93" s="437" t="n"/>
      <c r="DC93" s="437" t="n"/>
      <c r="DD93" s="437" t="n"/>
      <c r="DE93" s="437" t="n"/>
      <c r="DF93" s="437" t="n"/>
      <c r="DG93" s="437" t="n"/>
      <c r="DH93" s="437" t="n"/>
      <c r="DI93" s="437" t="n"/>
      <c r="DJ93" s="437" t="n"/>
      <c r="DK93" s="437" t="n"/>
      <c r="DL93" s="437" t="n"/>
      <c r="DM93" s="437" t="n"/>
      <c r="DN93" s="437" t="n"/>
      <c r="DO93" s="437" t="n"/>
      <c r="DP93" s="437" t="n"/>
      <c r="DQ93" s="437" t="n"/>
      <c r="DR93" s="437" t="n"/>
      <c r="DS93" s="437" t="n"/>
      <c r="DT93" s="437" t="n"/>
      <c r="DU93" s="437" t="n"/>
      <c r="DV93" s="437" t="n"/>
      <c r="DW93" s="437" t="n"/>
      <c r="DX93" s="437" t="n"/>
      <c r="DY93" s="238" t="n"/>
      <c r="DZ93" s="23" t="n"/>
      <c r="FQ93" s="212" t="n"/>
      <c r="FR93" s="212" t="n"/>
      <c r="FS93" s="212" t="n"/>
      <c r="FT93" s="212" t="n"/>
      <c r="FU93" s="212" t="n"/>
      <c r="FV93" s="212" t="n"/>
      <c r="FW93" s="212" t="n"/>
      <c r="FX93" s="212" t="n"/>
      <c r="FY93" s="212" t="n"/>
      <c r="FZ93" s="212" t="n"/>
    </row>
    <row r="94" ht="39.95" customFormat="1" customHeight="1" s="5">
      <c r="A94" s="10" t="inlineStr">
        <is>
          <t>A</t>
        </is>
      </c>
      <c r="B94" s="6" t="inlineStr">
        <is>
          <t>POSITION 'B'</t>
        </is>
      </c>
      <c r="C94" s="11" t="inlineStr">
        <is>
          <t>L</t>
        </is>
      </c>
      <c r="D94" s="433" t="inlineStr">
        <is>
          <t>ND</t>
        </is>
      </c>
      <c r="E94" s="436" t="inlineStr">
        <is>
          <t>ND</t>
        </is>
      </c>
      <c r="F94" s="475" t="n">
        <v>1.62</v>
      </c>
      <c r="G94" s="478" t="n">
        <v>5.34</v>
      </c>
      <c r="H94" s="439" t="inlineStr">
        <is>
          <t>ND</t>
        </is>
      </c>
      <c r="I94" s="483" t="n">
        <v>2.58</v>
      </c>
      <c r="J94" s="478" t="n">
        <v>3.16</v>
      </c>
      <c r="K94" s="436" t="inlineStr">
        <is>
          <t>ND</t>
        </is>
      </c>
      <c r="L94" s="478" t="n">
        <v>3.63</v>
      </c>
      <c r="M94" s="476" t="n">
        <v>2.34</v>
      </c>
      <c r="N94" s="442" t="inlineStr">
        <is>
          <t>ND</t>
        </is>
      </c>
      <c r="O94" s="478" t="n">
        <v>1.95</v>
      </c>
      <c r="P94" s="481" t="n">
        <v>2.3</v>
      </c>
      <c r="Q94" s="436" t="inlineStr">
        <is>
          <t>ND</t>
        </is>
      </c>
      <c r="R94" s="113" t="n">
        <v>0.916</v>
      </c>
      <c r="S94" s="477" t="n">
        <v>2.77</v>
      </c>
      <c r="T94" s="436" t="inlineStr">
        <is>
          <t>ND</t>
        </is>
      </c>
      <c r="U94" s="478" t="n">
        <v>2.97</v>
      </c>
      <c r="V94" s="475" t="n">
        <v>1.41</v>
      </c>
      <c r="W94" s="439" t="inlineStr">
        <is>
          <t>ND</t>
        </is>
      </c>
      <c r="X94" s="477" t="n">
        <v>4.12</v>
      </c>
      <c r="Y94" s="478" t="n">
        <v>1.48</v>
      </c>
      <c r="Z94" s="436" t="inlineStr">
        <is>
          <t>ND</t>
        </is>
      </c>
      <c r="AA94" s="478" t="n">
        <v>2.89</v>
      </c>
      <c r="AB94" s="476" t="n">
        <v>3.71</v>
      </c>
      <c r="AC94" s="442" t="inlineStr">
        <is>
          <t>ND</t>
        </is>
      </c>
      <c r="AD94" s="481" t="n">
        <v>4.2</v>
      </c>
      <c r="AE94" s="478" t="n">
        <v>5.56</v>
      </c>
      <c r="AF94" s="436" t="inlineStr">
        <is>
          <t>ND</t>
        </is>
      </c>
      <c r="AG94" s="476" t="n">
        <v>1.77</v>
      </c>
      <c r="AH94" s="549" t="n">
        <v>4</v>
      </c>
      <c r="AI94" s="436" t="inlineStr">
        <is>
          <t>ND</t>
        </is>
      </c>
      <c r="AJ94" s="478" t="n">
        <v>2.15</v>
      </c>
      <c r="AK94" s="481" t="n">
        <v>2.9</v>
      </c>
      <c r="AL94" s="439" t="inlineStr">
        <is>
          <t>ND</t>
        </is>
      </c>
      <c r="AM94" s="477" t="n">
        <v>3.18</v>
      </c>
      <c r="AN94" s="478" t="n">
        <v>3.33</v>
      </c>
      <c r="AO94" s="436" t="inlineStr">
        <is>
          <t>ND</t>
        </is>
      </c>
      <c r="AP94" s="478" t="n">
        <v>3.04</v>
      </c>
      <c r="AQ94" s="476" t="n">
        <v>3.14</v>
      </c>
      <c r="AR94" s="442" t="inlineStr">
        <is>
          <t>ND</t>
        </is>
      </c>
      <c r="AS94" s="479" t="inlineStr">
        <is>
          <t>ND</t>
        </is>
      </c>
      <c r="AT94" s="478" t="n">
        <v>3.02</v>
      </c>
      <c r="AU94" s="436" t="inlineStr">
        <is>
          <t>ND</t>
        </is>
      </c>
      <c r="AV94" s="476" t="n">
        <v>1.02</v>
      </c>
      <c r="AW94" s="482" t="n">
        <v>2.3</v>
      </c>
      <c r="AX94" s="436" t="inlineStr">
        <is>
          <t>ND</t>
        </is>
      </c>
      <c r="AY94" s="475" t="n">
        <v>2.11</v>
      </c>
      <c r="AZ94" s="478" t="n">
        <v>3.21</v>
      </c>
      <c r="BA94" s="439" t="inlineStr">
        <is>
          <t>ND</t>
        </is>
      </c>
      <c r="BB94" s="442" t="n">
        <v>0.353</v>
      </c>
      <c r="BC94" s="475" t="n">
        <v>3.06</v>
      </c>
      <c r="BD94" s="436" t="inlineStr">
        <is>
          <t>ND</t>
        </is>
      </c>
      <c r="BE94" s="478" t="n">
        <v>4.97</v>
      </c>
      <c r="BF94" s="476" t="n">
        <v>1.13</v>
      </c>
      <c r="BG94" s="442" t="inlineStr">
        <is>
          <t>ND</t>
        </is>
      </c>
      <c r="BH94" s="478" t="n">
        <v>2.45</v>
      </c>
      <c r="BI94" s="478" t="n">
        <v>2.18</v>
      </c>
      <c r="BJ94" s="436" t="inlineStr">
        <is>
          <t>ND</t>
        </is>
      </c>
      <c r="BK94" s="480" t="n">
        <v>2.23</v>
      </c>
      <c r="BL94" s="477" t="n">
        <v>3.23</v>
      </c>
      <c r="BM94" s="436" t="inlineStr">
        <is>
          <t>ND</t>
        </is>
      </c>
      <c r="BN94" s="436" t="inlineStr">
        <is>
          <t>ND</t>
        </is>
      </c>
      <c r="BO94" s="478" t="n">
        <v>2.46</v>
      </c>
      <c r="BP94" s="439" t="inlineStr">
        <is>
          <t>ND</t>
        </is>
      </c>
      <c r="BQ94" s="477" t="n">
        <v>1.43</v>
      </c>
      <c r="BR94" s="475" t="n">
        <v>1.42</v>
      </c>
      <c r="BS94" s="436" t="inlineStr">
        <is>
          <t>ND</t>
        </is>
      </c>
      <c r="BT94" s="439" t="inlineStr">
        <is>
          <t>ND</t>
        </is>
      </c>
      <c r="BU94" s="454">
        <f>IFERROR(AVERAGE(D94:BT96),0)</f>
        <v/>
      </c>
      <c r="BV94" s="454">
        <f>MAX(D94:BT96)</f>
        <v/>
      </c>
      <c r="BW94" s="437" t="n"/>
      <c r="BX94" s="437" t="n"/>
      <c r="BY94" s="437" t="n"/>
      <c r="BZ94" s="437" t="n"/>
      <c r="CA94" s="437" t="n"/>
      <c r="CB94" s="437" t="n"/>
      <c r="CC94" s="437" t="n"/>
      <c r="CD94" s="437" t="n"/>
      <c r="CE94" s="437" t="n"/>
      <c r="CF94" s="437" t="n"/>
      <c r="CG94" s="437" t="n"/>
      <c r="CH94" s="437" t="n"/>
      <c r="CI94" s="437" t="n"/>
      <c r="CJ94" s="437" t="n"/>
      <c r="CK94" s="437" t="n"/>
      <c r="CL94" s="437" t="n"/>
      <c r="CM94" s="437" t="n"/>
      <c r="CN94" s="437" t="n"/>
      <c r="CO94" s="437" t="n"/>
      <c r="CP94" s="437" t="n"/>
      <c r="CQ94" s="437" t="n"/>
      <c r="CR94" s="437" t="n"/>
      <c r="CS94" s="437" t="n"/>
      <c r="CT94" s="437" t="n"/>
      <c r="CU94" s="437" t="n"/>
      <c r="CV94" s="437" t="n"/>
      <c r="CW94" s="437" t="n"/>
      <c r="CX94" s="437" t="n"/>
      <c r="CY94" s="437" t="n"/>
      <c r="CZ94" s="437" t="n"/>
      <c r="DA94" s="437" t="n"/>
      <c r="DB94" s="437" t="n"/>
      <c r="DC94" s="437" t="n"/>
      <c r="DD94" s="437" t="n"/>
      <c r="DE94" s="437" t="n"/>
      <c r="DF94" s="437" t="n"/>
      <c r="DG94" s="437" t="n"/>
      <c r="DH94" s="437" t="n"/>
      <c r="DI94" s="437" t="n"/>
      <c r="DJ94" s="437" t="n"/>
      <c r="DK94" s="437" t="n"/>
      <c r="DL94" s="437" t="n"/>
      <c r="DM94" s="437" t="n"/>
      <c r="DN94" s="437" t="n"/>
      <c r="DO94" s="437" t="n"/>
      <c r="DP94" s="437" t="n"/>
      <c r="DQ94" s="437" t="n"/>
      <c r="DR94" s="437" t="n"/>
      <c r="DS94" s="437" t="n"/>
      <c r="DT94" s="437" t="n"/>
      <c r="DU94" s="437" t="n"/>
      <c r="DV94" s="437" t="n"/>
      <c r="DW94" s="437" t="n"/>
      <c r="DX94" s="437" t="n"/>
      <c r="DY94" s="238" t="n"/>
      <c r="DZ94" s="23" t="n"/>
      <c r="FQ94" s="212" t="n"/>
      <c r="FR94" s="212" t="n"/>
      <c r="FS94" s="212" t="n"/>
      <c r="FT94" s="212" t="n"/>
      <c r="FU94" s="212" t="n"/>
      <c r="FV94" s="212" t="n"/>
      <c r="FW94" s="212" t="n"/>
      <c r="FX94" s="212" t="n"/>
      <c r="FY94" s="212" t="n"/>
      <c r="FZ94" s="212" t="n"/>
    </row>
    <row r="95" ht="39.95" customFormat="1" customHeight="1" s="5">
      <c r="A95" s="182" t="inlineStr"/>
      <c r="B95" s="7" t="inlineStr">
        <is>
          <t xml:space="preserve">OF THE </t>
        </is>
      </c>
      <c r="C95" s="11" t="inlineStr">
        <is>
          <t>C</t>
        </is>
      </c>
      <c r="D95" s="434" t="inlineStr">
        <is>
          <t>ND</t>
        </is>
      </c>
      <c r="E95" s="437" t="inlineStr">
        <is>
          <t>ND</t>
        </is>
      </c>
      <c r="F95" s="486" t="n">
        <v>2.85</v>
      </c>
      <c r="G95" s="485" t="n">
        <v>4.06</v>
      </c>
      <c r="H95" s="440" t="inlineStr">
        <is>
          <t>ND</t>
        </is>
      </c>
      <c r="I95" s="490" t="n">
        <v>2.76</v>
      </c>
      <c r="J95" s="486" t="n">
        <v>2.93</v>
      </c>
      <c r="K95" s="437" t="inlineStr">
        <is>
          <t>ND</t>
        </is>
      </c>
      <c r="L95" s="485" t="n">
        <v>4.64</v>
      </c>
      <c r="M95" s="488" t="n">
        <v>4.76</v>
      </c>
      <c r="N95" s="443" t="inlineStr">
        <is>
          <t>ND</t>
        </is>
      </c>
      <c r="O95" s="486" t="n">
        <v>1.15</v>
      </c>
      <c r="P95" s="485" t="n">
        <v>4.32</v>
      </c>
      <c r="Q95" s="437" t="inlineStr">
        <is>
          <t>ND</t>
        </is>
      </c>
      <c r="R95" s="488" t="n">
        <v>1.79</v>
      </c>
      <c r="S95" s="490" t="n">
        <v>2.78</v>
      </c>
      <c r="T95" s="437" t="inlineStr">
        <is>
          <t>ND</t>
        </is>
      </c>
      <c r="U95" s="486" t="n">
        <v>2.17</v>
      </c>
      <c r="V95" s="437" t="inlineStr">
        <is>
          <t>ND</t>
        </is>
      </c>
      <c r="W95" s="440" t="inlineStr">
        <is>
          <t>ND</t>
        </is>
      </c>
      <c r="X95" s="487" t="n">
        <v>3.61</v>
      </c>
      <c r="Y95" s="502" t="n">
        <v>1.1</v>
      </c>
      <c r="Z95" s="437" t="inlineStr">
        <is>
          <t>ND</t>
        </is>
      </c>
      <c r="AA95" s="122" t="n">
        <v>0.637</v>
      </c>
      <c r="AB95" s="488" t="n">
        <v>2.91</v>
      </c>
      <c r="AC95" s="443" t="inlineStr">
        <is>
          <t>ND</t>
        </is>
      </c>
      <c r="AD95" s="486" t="n">
        <v>4.93</v>
      </c>
      <c r="AE95" s="502" t="n">
        <v>1.5</v>
      </c>
      <c r="AF95" s="437" t="inlineStr">
        <is>
          <t>ND</t>
        </is>
      </c>
      <c r="AG95" s="488" t="n">
        <v>1.84</v>
      </c>
      <c r="AH95" s="490" t="n">
        <v>2.45</v>
      </c>
      <c r="AI95" s="437" t="inlineStr">
        <is>
          <t>ND</t>
        </is>
      </c>
      <c r="AJ95" s="485" t="n">
        <v>1.67</v>
      </c>
      <c r="AK95" s="486" t="n">
        <v>1.67</v>
      </c>
      <c r="AL95" s="440" t="inlineStr">
        <is>
          <t>ND</t>
        </is>
      </c>
      <c r="AM95" s="490" t="n">
        <v>3.81</v>
      </c>
      <c r="AN95" s="485" t="n">
        <v>2.89</v>
      </c>
      <c r="AO95" s="437" t="inlineStr">
        <is>
          <t>ND</t>
        </is>
      </c>
      <c r="AP95" s="485" t="n">
        <v>2.71</v>
      </c>
      <c r="AQ95" s="488" t="n">
        <v>3.11</v>
      </c>
      <c r="AR95" s="443" t="inlineStr">
        <is>
          <t>ND</t>
        </is>
      </c>
      <c r="AS95" s="486" t="n">
        <v>1.89</v>
      </c>
      <c r="AT95" s="485" t="n">
        <v>1.89</v>
      </c>
      <c r="AU95" s="437" t="inlineStr">
        <is>
          <t>ND</t>
        </is>
      </c>
      <c r="AV95" s="120" t="n">
        <v>0.306</v>
      </c>
      <c r="AW95" s="490" t="n">
        <v>1.73</v>
      </c>
      <c r="AX95" s="437" t="inlineStr">
        <is>
          <t>ND</t>
        </is>
      </c>
      <c r="AY95" s="437" t="inlineStr">
        <is>
          <t>ND</t>
        </is>
      </c>
      <c r="AZ95" s="485" t="n">
        <v>3.98</v>
      </c>
      <c r="BA95" s="440" t="inlineStr">
        <is>
          <t>ND</t>
        </is>
      </c>
      <c r="BB95" s="522" t="n">
        <v>1.8</v>
      </c>
      <c r="BC95" s="437" t="n">
        <v>0.345</v>
      </c>
      <c r="BD95" s="437" t="inlineStr">
        <is>
          <t>ND</t>
        </is>
      </c>
      <c r="BE95" s="485" t="n">
        <v>5.26</v>
      </c>
      <c r="BF95" s="488" t="n">
        <v>2.86</v>
      </c>
      <c r="BG95" s="443" t="inlineStr">
        <is>
          <t>ND</t>
        </is>
      </c>
      <c r="BH95" s="485" t="n">
        <v>3.83</v>
      </c>
      <c r="BI95" s="485" t="n">
        <v>2.27</v>
      </c>
      <c r="BJ95" s="437" t="inlineStr">
        <is>
          <t>ND</t>
        </is>
      </c>
      <c r="BK95" s="488" t="n">
        <v>1.76</v>
      </c>
      <c r="BL95" s="522" t="n">
        <v>3.3</v>
      </c>
      <c r="BM95" s="437" t="inlineStr">
        <is>
          <t>ND</t>
        </is>
      </c>
      <c r="BN95" s="437" t="inlineStr">
        <is>
          <t>ND</t>
        </is>
      </c>
      <c r="BO95" s="437" t="inlineStr">
        <is>
          <t>ND</t>
        </is>
      </c>
      <c r="BP95" s="440" t="inlineStr">
        <is>
          <t>ND</t>
        </is>
      </c>
      <c r="BQ95" s="490" t="n">
        <v>3.29</v>
      </c>
      <c r="BR95" s="485" t="n">
        <v>3.25</v>
      </c>
      <c r="BS95" s="437" t="inlineStr">
        <is>
          <t>ND</t>
        </is>
      </c>
      <c r="BT95" s="440" t="inlineStr">
        <is>
          <t>ND</t>
        </is>
      </c>
      <c r="BU95" s="455" t="n"/>
      <c r="BV95" s="455" t="n"/>
      <c r="BW95" s="437" t="n"/>
      <c r="BX95" s="437" t="n"/>
      <c r="BY95" s="437" t="n"/>
      <c r="BZ95" s="437" t="n"/>
      <c r="CA95" s="437" t="n"/>
      <c r="CB95" s="437" t="n"/>
      <c r="CC95" s="437" t="n"/>
      <c r="CD95" s="437" t="n"/>
      <c r="CE95" s="437" t="n"/>
      <c r="CF95" s="437" t="n"/>
      <c r="CG95" s="437" t="n"/>
      <c r="CH95" s="437" t="n"/>
      <c r="CI95" s="437" t="n"/>
      <c r="CJ95" s="437" t="n"/>
      <c r="CK95" s="437" t="n"/>
      <c r="CL95" s="437" t="n"/>
      <c r="CM95" s="437" t="n"/>
      <c r="CN95" s="437" t="n"/>
      <c r="CO95" s="437" t="n"/>
      <c r="CP95" s="437" t="n"/>
      <c r="CQ95" s="437" t="n"/>
      <c r="CR95" s="437" t="n"/>
      <c r="CS95" s="437" t="n"/>
      <c r="CT95" s="437" t="n"/>
      <c r="CU95" s="437" t="n"/>
      <c r="CV95" s="437" t="n"/>
      <c r="CW95" s="437" t="n"/>
      <c r="CX95" s="437" t="n"/>
      <c r="CY95" s="437" t="n"/>
      <c r="CZ95" s="437" t="n"/>
      <c r="DA95" s="437" t="n"/>
      <c r="DB95" s="437" t="n"/>
      <c r="DC95" s="437" t="n"/>
      <c r="DD95" s="437" t="n"/>
      <c r="DE95" s="437" t="n"/>
      <c r="DF95" s="437" t="n"/>
      <c r="DG95" s="437" t="n"/>
      <c r="DH95" s="437" t="n"/>
      <c r="DI95" s="437" t="n"/>
      <c r="DJ95" s="437" t="n"/>
      <c r="DK95" s="437" t="n"/>
      <c r="DL95" s="437" t="n"/>
      <c r="DM95" s="437" t="n"/>
      <c r="DN95" s="437" t="n"/>
      <c r="DO95" s="437" t="n"/>
      <c r="DP95" s="437" t="n"/>
      <c r="DQ95" s="437" t="n"/>
      <c r="DR95" s="437" t="n"/>
      <c r="DS95" s="437" t="n"/>
      <c r="DT95" s="437" t="n"/>
      <c r="DU95" s="437" t="n"/>
      <c r="DV95" s="437" t="n"/>
      <c r="DW95" s="437" t="n"/>
      <c r="DX95" s="437" t="n"/>
      <c r="DY95" s="238" t="n"/>
      <c r="DZ95" s="23" t="n"/>
      <c r="FQ95" s="212" t="n"/>
      <c r="FR95" s="212" t="n"/>
      <c r="FS95" s="212" t="n"/>
      <c r="FT95" s="212" t="n"/>
      <c r="FU95" s="212" t="n"/>
      <c r="FV95" s="212" t="n"/>
      <c r="FW95" s="212" t="n"/>
      <c r="FX95" s="212" t="n"/>
      <c r="FY95" s="212" t="n"/>
      <c r="FZ95" s="212" t="n"/>
    </row>
    <row r="96" ht="39.95" customFormat="1" customHeight="1" s="5">
      <c r="A96" s="456" t="n"/>
      <c r="B96" s="8" t="inlineStr">
        <is>
          <t>PRIMARIES</t>
        </is>
      </c>
      <c r="C96" s="12" t="inlineStr">
        <is>
          <t>R</t>
        </is>
      </c>
      <c r="D96" s="435" t="inlineStr">
        <is>
          <t>ND</t>
        </is>
      </c>
      <c r="E96" s="438" t="inlineStr">
        <is>
          <t>ND</t>
        </is>
      </c>
      <c r="F96" s="497" t="n">
        <v>4.57</v>
      </c>
      <c r="G96" s="497" t="n">
        <v>1.26</v>
      </c>
      <c r="H96" s="441" t="inlineStr">
        <is>
          <t>ND</t>
        </is>
      </c>
      <c r="I96" s="514" t="n">
        <v>3.5</v>
      </c>
      <c r="J96" s="497" t="n">
        <v>3.39</v>
      </c>
      <c r="K96" s="438" t="inlineStr">
        <is>
          <t>ND</t>
        </is>
      </c>
      <c r="L96" s="494" t="n">
        <v>2.81</v>
      </c>
      <c r="M96" s="495" t="n">
        <v>1.13</v>
      </c>
      <c r="N96" s="444" t="inlineStr">
        <is>
          <t>ND</t>
        </is>
      </c>
      <c r="O96" s="494" t="n">
        <v>1.88</v>
      </c>
      <c r="P96" s="494" t="n">
        <v>1.94</v>
      </c>
      <c r="Q96" s="438" t="inlineStr">
        <is>
          <t>ND</t>
        </is>
      </c>
      <c r="R96" s="441" t="n">
        <v>0.9429999999999999</v>
      </c>
      <c r="S96" s="496" t="n">
        <v>3.39</v>
      </c>
      <c r="T96" s="438" t="inlineStr">
        <is>
          <t>ND</t>
        </is>
      </c>
      <c r="U96" s="494" t="n">
        <v>3.05</v>
      </c>
      <c r="V96" s="438" t="n">
        <v>0.709</v>
      </c>
      <c r="W96" s="441" t="inlineStr">
        <is>
          <t>ND</t>
        </is>
      </c>
      <c r="X96" s="496" t="n">
        <v>3.13</v>
      </c>
      <c r="Y96" s="494" t="n">
        <v>2.17</v>
      </c>
      <c r="Z96" s="438" t="inlineStr">
        <is>
          <t>ND</t>
        </is>
      </c>
      <c r="AA96" s="494" t="n">
        <v>5.11</v>
      </c>
      <c r="AB96" s="495" t="n">
        <v>4.37</v>
      </c>
      <c r="AC96" s="444" t="inlineStr">
        <is>
          <t>ND</t>
        </is>
      </c>
      <c r="AD96" s="494" t="n">
        <v>3.01</v>
      </c>
      <c r="AE96" s="494" t="n">
        <v>2.74</v>
      </c>
      <c r="AF96" s="438" t="inlineStr">
        <is>
          <t>ND</t>
        </is>
      </c>
      <c r="AG96" s="495" t="n">
        <v>1.71</v>
      </c>
      <c r="AH96" s="505" t="n">
        <v>2.04</v>
      </c>
      <c r="AI96" s="438" t="inlineStr">
        <is>
          <t>ND</t>
        </is>
      </c>
      <c r="AJ96" s="494" t="n">
        <v>2.26</v>
      </c>
      <c r="AK96" s="438" t="n">
        <v>0.8120000000000001</v>
      </c>
      <c r="AL96" s="441" t="inlineStr">
        <is>
          <t>ND</t>
        </is>
      </c>
      <c r="AM96" s="496" t="n">
        <v>1.95</v>
      </c>
      <c r="AN96" s="492" t="n">
        <v>5.4</v>
      </c>
      <c r="AO96" s="438" t="inlineStr">
        <is>
          <t>ND</t>
        </is>
      </c>
      <c r="AP96" s="494" t="n">
        <v>4.94</v>
      </c>
      <c r="AQ96" s="495" t="n">
        <v>1.09</v>
      </c>
      <c r="AR96" s="444" t="inlineStr">
        <is>
          <t>ND</t>
        </is>
      </c>
      <c r="AS96" s="494" t="n">
        <v>2.99</v>
      </c>
      <c r="AT96" s="494" t="n">
        <v>3.68</v>
      </c>
      <c r="AU96" s="438" t="inlineStr">
        <is>
          <t>ND</t>
        </is>
      </c>
      <c r="AV96" s="151" t="n">
        <v>0.549</v>
      </c>
      <c r="AW96" s="496" t="n">
        <v>2.36</v>
      </c>
      <c r="AX96" s="438" t="inlineStr">
        <is>
          <t>ND</t>
        </is>
      </c>
      <c r="AY96" s="494" t="n">
        <v>1.45</v>
      </c>
      <c r="AZ96" s="494" t="n">
        <v>1.14</v>
      </c>
      <c r="BA96" s="441" t="inlineStr">
        <is>
          <t>ND</t>
        </is>
      </c>
      <c r="BB96" s="496" t="n">
        <v>1.39</v>
      </c>
      <c r="BC96" s="494" t="n">
        <v>2.09</v>
      </c>
      <c r="BD96" s="438" t="inlineStr">
        <is>
          <t>ND</t>
        </is>
      </c>
      <c r="BE96" s="494" t="n">
        <v>3.88</v>
      </c>
      <c r="BF96" s="495" t="n">
        <v>1.82</v>
      </c>
      <c r="BG96" s="444" t="inlineStr">
        <is>
          <t>ND</t>
        </is>
      </c>
      <c r="BH96" s="494" t="n">
        <v>2.18</v>
      </c>
      <c r="BI96" s="494" t="n">
        <v>2.85</v>
      </c>
      <c r="BJ96" s="438" t="inlineStr">
        <is>
          <t>ND</t>
        </is>
      </c>
      <c r="BK96" s="498" t="n">
        <v>2.74</v>
      </c>
      <c r="BL96" s="496" t="n">
        <v>2.26</v>
      </c>
      <c r="BM96" s="438" t="inlineStr">
        <is>
          <t>ND</t>
        </is>
      </c>
      <c r="BN96" s="494" t="n">
        <v>2.37</v>
      </c>
      <c r="BO96" s="438" t="inlineStr">
        <is>
          <t>ND</t>
        </is>
      </c>
      <c r="BP96" s="441" t="inlineStr">
        <is>
          <t>ND</t>
        </is>
      </c>
      <c r="BQ96" s="496" t="n">
        <v>2.59</v>
      </c>
      <c r="BR96" s="494" t="n">
        <v>2.13</v>
      </c>
      <c r="BS96" s="438" t="inlineStr">
        <is>
          <t>ND</t>
        </is>
      </c>
      <c r="BT96" s="441" t="inlineStr">
        <is>
          <t>ND</t>
        </is>
      </c>
      <c r="BU96" s="457" t="n"/>
      <c r="BV96" s="457" t="n"/>
      <c r="BW96" s="437" t="n"/>
      <c r="BX96" s="437" t="n"/>
      <c r="BY96" s="437" t="n"/>
      <c r="BZ96" s="437" t="n"/>
      <c r="CA96" s="437" t="n"/>
      <c r="CB96" s="437" t="n"/>
      <c r="CC96" s="437" t="n"/>
      <c r="CD96" s="437" t="n"/>
      <c r="CE96" s="437" t="n"/>
      <c r="CF96" s="437" t="n"/>
      <c r="CG96" s="437" t="n"/>
      <c r="CH96" s="437" t="n"/>
      <c r="CI96" s="437" t="n"/>
      <c r="CJ96" s="437" t="n"/>
      <c r="CK96" s="437" t="n"/>
      <c r="CL96" s="437" t="n"/>
      <c r="CM96" s="437" t="n"/>
      <c r="CN96" s="437" t="n"/>
      <c r="CO96" s="437" t="n"/>
      <c r="CP96" s="437" t="n"/>
      <c r="CQ96" s="437" t="n"/>
      <c r="CR96" s="437" t="n"/>
      <c r="CS96" s="437" t="n"/>
      <c r="CT96" s="437" t="n"/>
      <c r="CU96" s="437" t="n"/>
      <c r="CV96" s="437" t="n"/>
      <c r="CW96" s="437" t="n"/>
      <c r="CX96" s="437" t="n"/>
      <c r="CY96" s="437" t="n"/>
      <c r="CZ96" s="437" t="n"/>
      <c r="DA96" s="437" t="n"/>
      <c r="DB96" s="437" t="n"/>
      <c r="DC96" s="437" t="n"/>
      <c r="DD96" s="437" t="n"/>
      <c r="DE96" s="437" t="n"/>
      <c r="DF96" s="437" t="n"/>
      <c r="DG96" s="437" t="n"/>
      <c r="DH96" s="437" t="n"/>
      <c r="DI96" s="437" t="n"/>
      <c r="DJ96" s="437" t="n"/>
      <c r="DK96" s="437" t="n"/>
      <c r="DL96" s="437" t="n"/>
      <c r="DM96" s="437" t="n"/>
      <c r="DN96" s="437" t="n"/>
      <c r="DO96" s="437" t="n"/>
      <c r="DP96" s="437" t="n"/>
      <c r="DQ96" s="437" t="n"/>
      <c r="DR96" s="437" t="n"/>
      <c r="DS96" s="437" t="n"/>
      <c r="DT96" s="437" t="n"/>
      <c r="DU96" s="437" t="n"/>
      <c r="DV96" s="437" t="n"/>
      <c r="DW96" s="437" t="n"/>
      <c r="DX96" s="437" t="n"/>
      <c r="DY96" s="238" t="n"/>
      <c r="DZ96" s="23" t="n"/>
      <c r="FQ96" s="212" t="n"/>
      <c r="FR96" s="212" t="n"/>
      <c r="FS96" s="212" t="n"/>
      <c r="FT96" s="212" t="n"/>
      <c r="FU96" s="212" t="n"/>
      <c r="FV96" s="212" t="n"/>
      <c r="FW96" s="212" t="n"/>
      <c r="FX96" s="212" t="n"/>
      <c r="FY96" s="212" t="n"/>
      <c r="FZ96" s="212" t="n"/>
    </row>
    <row r="97" ht="39.95" customFormat="1" customHeight="1" s="5">
      <c r="A97" s="10" t="inlineStr">
        <is>
          <t>A</t>
        </is>
      </c>
      <c r="B97" s="6" t="inlineStr">
        <is>
          <t>POSITION 'C'</t>
        </is>
      </c>
      <c r="C97" s="11" t="inlineStr">
        <is>
          <t>L</t>
        </is>
      </c>
      <c r="D97" s="433" t="inlineStr">
        <is>
          <t>ND</t>
        </is>
      </c>
      <c r="E97" s="436" t="inlineStr">
        <is>
          <t>ND</t>
        </is>
      </c>
      <c r="F97" s="478" t="n">
        <v>8.66</v>
      </c>
      <c r="G97" s="478" t="n">
        <v>2.03</v>
      </c>
      <c r="H97" s="439" t="inlineStr">
        <is>
          <t>ND</t>
        </is>
      </c>
      <c r="I97" s="477" t="n">
        <v>6.03</v>
      </c>
      <c r="J97" s="481" t="n">
        <v>3.3</v>
      </c>
      <c r="K97" s="436" t="inlineStr">
        <is>
          <t>ND</t>
        </is>
      </c>
      <c r="L97" s="479" t="n">
        <v>3.3</v>
      </c>
      <c r="M97" s="476" t="n">
        <v>3.15</v>
      </c>
      <c r="N97" s="442" t="inlineStr">
        <is>
          <t>ND</t>
        </is>
      </c>
      <c r="O97" s="478" t="inlineStr">
        <is>
          <t>ND</t>
        </is>
      </c>
      <c r="P97" s="478" t="n">
        <v>2.82</v>
      </c>
      <c r="Q97" s="436" t="inlineStr">
        <is>
          <t>ND</t>
        </is>
      </c>
      <c r="R97" s="476" t="n">
        <v>4.73</v>
      </c>
      <c r="S97" s="477" t="n">
        <v>2.55</v>
      </c>
      <c r="T97" s="436" t="inlineStr">
        <is>
          <t>ND</t>
        </is>
      </c>
      <c r="U97" s="478" t="n">
        <v>3.53</v>
      </c>
      <c r="V97" s="478" t="n">
        <v>3.72</v>
      </c>
      <c r="W97" s="439" t="inlineStr">
        <is>
          <t>ND</t>
        </is>
      </c>
      <c r="X97" s="477" t="n">
        <v>2.43</v>
      </c>
      <c r="Y97" s="475" t="n">
        <v>3.25</v>
      </c>
      <c r="Z97" s="436" t="inlineStr">
        <is>
          <t>ND</t>
        </is>
      </c>
      <c r="AA97" s="478" t="n">
        <v>5.21</v>
      </c>
      <c r="AB97" s="476" t="n">
        <v>2.29</v>
      </c>
      <c r="AC97" s="442" t="inlineStr">
        <is>
          <t>ND</t>
        </is>
      </c>
      <c r="AD97" s="478" t="n">
        <v>5.03</v>
      </c>
      <c r="AE97" s="478" t="n">
        <v>2.45</v>
      </c>
      <c r="AF97" s="436" t="inlineStr">
        <is>
          <t>ND</t>
        </is>
      </c>
      <c r="AG97" s="476" t="n">
        <v>4.06</v>
      </c>
      <c r="AH97" s="483" t="n">
        <v>1.47</v>
      </c>
      <c r="AI97" s="436" t="inlineStr">
        <is>
          <t>ND</t>
        </is>
      </c>
      <c r="AJ97" s="475" t="n">
        <v>2.99</v>
      </c>
      <c r="AK97" s="478" t="n">
        <v>2.78</v>
      </c>
      <c r="AL97" s="439" t="inlineStr">
        <is>
          <t>ND</t>
        </is>
      </c>
      <c r="AM97" s="482" t="n">
        <v>3.4</v>
      </c>
      <c r="AN97" s="478" t="n">
        <v>5.66</v>
      </c>
      <c r="AO97" s="436" t="inlineStr">
        <is>
          <t>ND</t>
        </is>
      </c>
      <c r="AP97" s="475" t="n">
        <v>2.67</v>
      </c>
      <c r="AQ97" s="555" t="n">
        <v>3</v>
      </c>
      <c r="AR97" s="442" t="inlineStr">
        <is>
          <t>ND</t>
        </is>
      </c>
      <c r="AS97" s="112" t="n">
        <v>0.151</v>
      </c>
      <c r="AT97" s="478" t="n">
        <v>3.42</v>
      </c>
      <c r="AU97" s="436" t="inlineStr">
        <is>
          <t>ND</t>
        </is>
      </c>
      <c r="AV97" s="480" t="n">
        <v>4.47</v>
      </c>
      <c r="AW97" s="115" t="n">
        <v>0.86</v>
      </c>
      <c r="AX97" s="436" t="inlineStr">
        <is>
          <t>ND</t>
        </is>
      </c>
      <c r="AY97" s="436" t="inlineStr">
        <is>
          <t>ND</t>
        </is>
      </c>
      <c r="AZ97" s="478" t="n">
        <v>2.95</v>
      </c>
      <c r="BA97" s="439" t="inlineStr">
        <is>
          <t>ND</t>
        </is>
      </c>
      <c r="BB97" s="477" t="n">
        <v>1.25</v>
      </c>
      <c r="BC97" s="479" t="n">
        <v>3.8</v>
      </c>
      <c r="BD97" s="436" t="inlineStr">
        <is>
          <t>ND</t>
        </is>
      </c>
      <c r="BE97" s="478" t="n">
        <v>5.52</v>
      </c>
      <c r="BF97" s="476" t="n">
        <v>3.12</v>
      </c>
      <c r="BG97" s="442" t="inlineStr">
        <is>
          <t>ND</t>
        </is>
      </c>
      <c r="BH97" s="478" t="n">
        <v>3.06</v>
      </c>
      <c r="BI97" s="475" t="n">
        <v>3.24</v>
      </c>
      <c r="BJ97" s="436" t="inlineStr">
        <is>
          <t>ND</t>
        </is>
      </c>
      <c r="BK97" s="476" t="n">
        <v>2.21</v>
      </c>
      <c r="BL97" s="477" t="n">
        <v>3.44</v>
      </c>
      <c r="BM97" s="436" t="inlineStr">
        <is>
          <t>ND</t>
        </is>
      </c>
      <c r="BN97" s="479" t="n">
        <v>1.8</v>
      </c>
      <c r="BO97" s="475" t="n">
        <v>1.32</v>
      </c>
      <c r="BP97" s="439" t="inlineStr">
        <is>
          <t>ND</t>
        </is>
      </c>
      <c r="BQ97" s="477" t="n">
        <v>1.31</v>
      </c>
      <c r="BR97" s="478" t="n">
        <v>1.05</v>
      </c>
      <c r="BS97" s="436" t="inlineStr">
        <is>
          <t>ND</t>
        </is>
      </c>
      <c r="BT97" s="439" t="inlineStr">
        <is>
          <t>ND</t>
        </is>
      </c>
      <c r="BU97" s="454">
        <f>IFERROR(AVERAGE(D97:BT99),0)</f>
        <v/>
      </c>
      <c r="BV97" s="454">
        <f>MAX(D97:BT99)</f>
        <v/>
      </c>
      <c r="BW97" s="437" t="n"/>
      <c r="BX97" s="437" t="n"/>
      <c r="BY97" s="437" t="n"/>
      <c r="BZ97" s="437" t="n"/>
      <c r="CA97" s="437" t="n"/>
      <c r="CB97" s="437" t="n"/>
      <c r="CC97" s="437" t="n"/>
      <c r="CD97" s="437" t="n"/>
      <c r="CE97" s="437" t="n"/>
      <c r="CF97" s="437" t="n"/>
      <c r="CG97" s="437" t="n"/>
      <c r="CH97" s="437" t="n"/>
      <c r="CI97" s="437" t="n"/>
      <c r="CJ97" s="437" t="n"/>
      <c r="CK97" s="437" t="n"/>
      <c r="CL97" s="437" t="n"/>
      <c r="CM97" s="437" t="n"/>
      <c r="CN97" s="437" t="n"/>
      <c r="CO97" s="437" t="n"/>
      <c r="CP97" s="437" t="n"/>
      <c r="CQ97" s="437" t="n"/>
      <c r="CR97" s="437" t="n"/>
      <c r="CS97" s="437" t="n"/>
      <c r="CT97" s="437" t="n"/>
      <c r="CU97" s="437" t="n"/>
      <c r="CV97" s="437" t="n"/>
      <c r="CW97" s="437" t="n"/>
      <c r="CX97" s="437" t="n"/>
      <c r="CY97" s="437" t="n"/>
      <c r="CZ97" s="437" t="n"/>
      <c r="DA97" s="437" t="n"/>
      <c r="DB97" s="437" t="n"/>
      <c r="DC97" s="437" t="n"/>
      <c r="DD97" s="437" t="n"/>
      <c r="DE97" s="437" t="n"/>
      <c r="DF97" s="437" t="n"/>
      <c r="DG97" s="437" t="n"/>
      <c r="DH97" s="437" t="n"/>
      <c r="DI97" s="437" t="n"/>
      <c r="DJ97" s="437" t="n"/>
      <c r="DK97" s="437" t="n"/>
      <c r="DL97" s="437" t="n"/>
      <c r="DM97" s="437" t="n"/>
      <c r="DN97" s="437" t="n"/>
      <c r="DO97" s="437" t="n"/>
      <c r="DP97" s="437" t="n"/>
      <c r="DQ97" s="437" t="n"/>
      <c r="DR97" s="437" t="n"/>
      <c r="DS97" s="437" t="n"/>
      <c r="DT97" s="437" t="n"/>
      <c r="DU97" s="437" t="n"/>
      <c r="DV97" s="437" t="n"/>
      <c r="DW97" s="437" t="n"/>
      <c r="DX97" s="437" t="n"/>
      <c r="DY97" s="238" t="n"/>
      <c r="DZ97" s="23" t="n"/>
      <c r="FQ97" s="212" t="n"/>
      <c r="FR97" s="212" t="n"/>
      <c r="FS97" s="212" t="n"/>
      <c r="FT97" s="212" t="n"/>
      <c r="FU97" s="212" t="n"/>
      <c r="FV97" s="212" t="n"/>
      <c r="FW97" s="212" t="n"/>
      <c r="FX97" s="212" t="n"/>
      <c r="FY97" s="212" t="n"/>
      <c r="FZ97" s="212" t="n"/>
    </row>
    <row r="98" ht="39.95" customFormat="1" customHeight="1" s="5">
      <c r="A98" s="182" t="inlineStr"/>
      <c r="B98" s="7" t="inlineStr">
        <is>
          <t xml:space="preserve">OF THE </t>
        </is>
      </c>
      <c r="C98" s="11" t="inlineStr">
        <is>
          <t>C</t>
        </is>
      </c>
      <c r="D98" s="434" t="inlineStr">
        <is>
          <t>ND</t>
        </is>
      </c>
      <c r="E98" s="437" t="inlineStr">
        <is>
          <t>ND</t>
        </is>
      </c>
      <c r="F98" s="485" t="n">
        <v>9.640000000000001</v>
      </c>
      <c r="G98" s="485" t="n">
        <v>6.64</v>
      </c>
      <c r="H98" s="440" t="inlineStr">
        <is>
          <t>ND</t>
        </is>
      </c>
      <c r="I98" s="490" t="n">
        <v>4.57</v>
      </c>
      <c r="J98" s="485" t="n">
        <v>8.24</v>
      </c>
      <c r="K98" s="437" t="inlineStr">
        <is>
          <t>ND</t>
        </is>
      </c>
      <c r="L98" s="485" t="n">
        <v>6.16</v>
      </c>
      <c r="M98" s="488" t="n">
        <v>1.76</v>
      </c>
      <c r="N98" s="443" t="inlineStr">
        <is>
          <t>ND</t>
        </is>
      </c>
      <c r="O98" s="502" t="n">
        <v>3.7</v>
      </c>
      <c r="P98" s="485" t="n">
        <v>3.19</v>
      </c>
      <c r="Q98" s="437" t="inlineStr">
        <is>
          <t>ND</t>
        </is>
      </c>
      <c r="R98" s="488" t="n">
        <v>3.57</v>
      </c>
      <c r="S98" s="490" t="n">
        <v>4.41</v>
      </c>
      <c r="T98" s="437" t="inlineStr">
        <is>
          <t>ND</t>
        </is>
      </c>
      <c r="U98" s="485" t="n">
        <v>3.62</v>
      </c>
      <c r="V98" s="485" t="n">
        <v>4.27</v>
      </c>
      <c r="W98" s="440" t="inlineStr">
        <is>
          <t>ND</t>
        </is>
      </c>
      <c r="X98" s="490" t="n">
        <v>3.65</v>
      </c>
      <c r="Y98" s="486" t="n">
        <v>1.51</v>
      </c>
      <c r="Z98" s="437" t="inlineStr">
        <is>
          <t>ND</t>
        </is>
      </c>
      <c r="AA98" s="485" t="n">
        <v>4.74</v>
      </c>
      <c r="AB98" s="504" t="n">
        <v>3.9</v>
      </c>
      <c r="AC98" s="443" t="inlineStr">
        <is>
          <t>ND</t>
        </is>
      </c>
      <c r="AD98" s="485" t="n">
        <v>2.99</v>
      </c>
      <c r="AE98" s="485" t="n">
        <v>2.71</v>
      </c>
      <c r="AF98" s="437" t="inlineStr">
        <is>
          <t>ND</t>
        </is>
      </c>
      <c r="AG98" s="503" t="n">
        <v>6.2</v>
      </c>
      <c r="AH98" s="522" t="n">
        <v>3.2</v>
      </c>
      <c r="AI98" s="437" t="inlineStr">
        <is>
          <t>ND</t>
        </is>
      </c>
      <c r="AJ98" s="485" t="n">
        <v>5.81</v>
      </c>
      <c r="AK98" s="485" t="n">
        <v>2.66</v>
      </c>
      <c r="AL98" s="440" t="inlineStr">
        <is>
          <t>ND</t>
        </is>
      </c>
      <c r="AM98" s="490" t="n">
        <v>5.57</v>
      </c>
      <c r="AN98" s="485" t="n">
        <v>4.49</v>
      </c>
      <c r="AO98" s="437" t="inlineStr">
        <is>
          <t>ND</t>
        </is>
      </c>
      <c r="AP98" s="485" t="n">
        <v>3.23</v>
      </c>
      <c r="AQ98" s="488" t="n">
        <v>4.52</v>
      </c>
      <c r="AR98" s="443" t="inlineStr">
        <is>
          <t>ND</t>
        </is>
      </c>
      <c r="AS98" s="485" t="n">
        <v>2.67</v>
      </c>
      <c r="AT98" s="485" t="n">
        <v>3.36</v>
      </c>
      <c r="AU98" s="437" t="inlineStr">
        <is>
          <t>ND</t>
        </is>
      </c>
      <c r="AV98" s="488" t="n">
        <v>6.45</v>
      </c>
      <c r="AW98" s="490" t="n">
        <v>2.92</v>
      </c>
      <c r="AX98" s="437" t="inlineStr">
        <is>
          <t>ND</t>
        </is>
      </c>
      <c r="AY98" s="485" t="n">
        <v>1.79</v>
      </c>
      <c r="AZ98" s="485" t="n">
        <v>4.83</v>
      </c>
      <c r="BA98" s="440" t="inlineStr">
        <is>
          <t>ND</t>
        </is>
      </c>
      <c r="BB98" s="132" t="n">
        <v>0.726</v>
      </c>
      <c r="BC98" s="502" t="n">
        <v>2.3</v>
      </c>
      <c r="BD98" s="437" t="inlineStr">
        <is>
          <t>ND</t>
        </is>
      </c>
      <c r="BE98" s="485" t="n">
        <v>4.29</v>
      </c>
      <c r="BF98" s="489" t="n">
        <v>2.92</v>
      </c>
      <c r="BG98" s="443" t="inlineStr">
        <is>
          <t>ND</t>
        </is>
      </c>
      <c r="BH98" s="485" t="n">
        <v>6.23</v>
      </c>
      <c r="BI98" s="485" t="n">
        <v>4.33</v>
      </c>
      <c r="BJ98" s="437" t="inlineStr">
        <is>
          <t>ND</t>
        </is>
      </c>
      <c r="BK98" s="489" t="n">
        <v>4.23</v>
      </c>
      <c r="BL98" s="490" t="n">
        <v>3.16</v>
      </c>
      <c r="BM98" s="437" t="inlineStr">
        <is>
          <t>ND</t>
        </is>
      </c>
      <c r="BN98" s="485" t="n">
        <v>4.95</v>
      </c>
      <c r="BO98" s="122" t="n">
        <v>0.313</v>
      </c>
      <c r="BP98" s="440" t="inlineStr">
        <is>
          <t>ND</t>
        </is>
      </c>
      <c r="BQ98" s="490" t="n">
        <v>1.56</v>
      </c>
      <c r="BR98" s="502" t="n">
        <v>3.1</v>
      </c>
      <c r="BS98" s="437" t="inlineStr">
        <is>
          <t>ND</t>
        </is>
      </c>
      <c r="BT98" s="440" t="inlineStr">
        <is>
          <t>ND</t>
        </is>
      </c>
      <c r="BU98" s="455" t="n"/>
      <c r="BV98" s="455" t="n"/>
      <c r="BW98" s="437" t="n"/>
      <c r="BX98" s="437" t="n"/>
      <c r="BY98" s="437" t="n"/>
      <c r="BZ98" s="437" t="n"/>
      <c r="CA98" s="437" t="n"/>
      <c r="CB98" s="437" t="n"/>
      <c r="CC98" s="437" t="n"/>
      <c r="CD98" s="437" t="n"/>
      <c r="CE98" s="437" t="n"/>
      <c r="CF98" s="437" t="n"/>
      <c r="CG98" s="437" t="n"/>
      <c r="CH98" s="437" t="n"/>
      <c r="CI98" s="437" t="n"/>
      <c r="CJ98" s="437" t="n"/>
      <c r="CK98" s="437" t="n"/>
      <c r="CL98" s="437" t="n"/>
      <c r="CM98" s="437" t="n"/>
      <c r="CN98" s="437" t="n"/>
      <c r="CO98" s="437" t="n"/>
      <c r="CP98" s="437" t="n"/>
      <c r="CQ98" s="437" t="n"/>
      <c r="CR98" s="437" t="n"/>
      <c r="CS98" s="437" t="n"/>
      <c r="CT98" s="437" t="n"/>
      <c r="CU98" s="437" t="n"/>
      <c r="CV98" s="437" t="n"/>
      <c r="CW98" s="437" t="n"/>
      <c r="CX98" s="437" t="n"/>
      <c r="CY98" s="437" t="n"/>
      <c r="CZ98" s="437" t="n"/>
      <c r="DA98" s="437" t="n"/>
      <c r="DB98" s="437" t="n"/>
      <c r="DC98" s="437" t="n"/>
      <c r="DD98" s="437" t="n"/>
      <c r="DE98" s="437" t="n"/>
      <c r="DF98" s="437" t="n"/>
      <c r="DG98" s="437" t="n"/>
      <c r="DH98" s="437" t="n"/>
      <c r="DI98" s="437" t="n"/>
      <c r="DJ98" s="437" t="n"/>
      <c r="DK98" s="437" t="n"/>
      <c r="DL98" s="437" t="n"/>
      <c r="DM98" s="437" t="n"/>
      <c r="DN98" s="437" t="n"/>
      <c r="DO98" s="437" t="n"/>
      <c r="DP98" s="437" t="n"/>
      <c r="DQ98" s="437" t="n"/>
      <c r="DR98" s="437" t="n"/>
      <c r="DS98" s="437" t="n"/>
      <c r="DT98" s="437" t="n"/>
      <c r="DU98" s="437" t="n"/>
      <c r="DV98" s="437" t="n"/>
      <c r="DW98" s="437" t="n"/>
      <c r="DX98" s="437" t="n"/>
      <c r="DY98" s="238" t="n"/>
      <c r="DZ98" s="23" t="n"/>
      <c r="FQ98" s="212" t="n"/>
      <c r="FR98" s="212" t="n"/>
      <c r="FS98" s="212" t="n"/>
      <c r="FT98" s="212" t="n"/>
      <c r="FU98" s="212" t="n"/>
      <c r="FV98" s="212" t="n"/>
      <c r="FW98" s="212" t="n"/>
      <c r="FX98" s="212" t="n"/>
      <c r="FY98" s="212" t="n"/>
      <c r="FZ98" s="212" t="n"/>
    </row>
    <row r="99" ht="39.95" customFormat="1" customHeight="1" s="5">
      <c r="A99" s="456" t="n"/>
      <c r="B99" s="8" t="inlineStr">
        <is>
          <t>PRIMARIES</t>
        </is>
      </c>
      <c r="C99" s="12" t="inlineStr">
        <is>
          <t>R</t>
        </is>
      </c>
      <c r="D99" s="435" t="inlineStr">
        <is>
          <t>ND</t>
        </is>
      </c>
      <c r="E99" s="438" t="inlineStr">
        <is>
          <t>ND</t>
        </is>
      </c>
      <c r="F99" s="494" t="n">
        <v>6.86</v>
      </c>
      <c r="G99" s="494" t="n">
        <v>1.85</v>
      </c>
      <c r="H99" s="441" t="inlineStr">
        <is>
          <t>ND</t>
        </is>
      </c>
      <c r="I99" s="505" t="n">
        <v>2.57</v>
      </c>
      <c r="J99" s="494" t="n">
        <v>5.04</v>
      </c>
      <c r="K99" s="438" t="inlineStr">
        <is>
          <t>ND</t>
        </is>
      </c>
      <c r="L99" s="494" t="n">
        <v>5.44</v>
      </c>
      <c r="M99" s="495" t="inlineStr">
        <is>
          <t>ND</t>
        </is>
      </c>
      <c r="N99" s="444" t="inlineStr">
        <is>
          <t>ND</t>
        </is>
      </c>
      <c r="O99" s="492" t="n">
        <v>4.4</v>
      </c>
      <c r="P99" s="125" t="n">
        <v>0.662</v>
      </c>
      <c r="Q99" s="438" t="inlineStr">
        <is>
          <t>ND</t>
        </is>
      </c>
      <c r="R99" s="498" t="n">
        <v>2.65</v>
      </c>
      <c r="S99" s="496" t="n">
        <v>3.14</v>
      </c>
      <c r="T99" s="438" t="inlineStr">
        <is>
          <t>ND</t>
        </is>
      </c>
      <c r="U99" s="494" t="n">
        <v>3.67</v>
      </c>
      <c r="V99" s="494" t="n">
        <v>2.88</v>
      </c>
      <c r="W99" s="441" t="inlineStr">
        <is>
          <t>ND</t>
        </is>
      </c>
      <c r="X99" s="496" t="n">
        <v>2.87</v>
      </c>
      <c r="Y99" s="494" t="n">
        <v>3.31</v>
      </c>
      <c r="Z99" s="438" t="inlineStr">
        <is>
          <t>ND</t>
        </is>
      </c>
      <c r="AA99" s="494" t="n">
        <v>5.44</v>
      </c>
      <c r="AB99" s="495" t="n">
        <v>2.23</v>
      </c>
      <c r="AC99" s="444" t="inlineStr">
        <is>
          <t>ND</t>
        </is>
      </c>
      <c r="AD99" s="494" t="n">
        <v>3.37</v>
      </c>
      <c r="AE99" s="494" t="n">
        <v>3.32</v>
      </c>
      <c r="AF99" s="438" t="inlineStr">
        <is>
          <t>ND</t>
        </is>
      </c>
      <c r="AG99" s="495" t="n">
        <v>3.93</v>
      </c>
      <c r="AH99" s="505" t="n">
        <v>3.49</v>
      </c>
      <c r="AI99" s="438" t="inlineStr">
        <is>
          <t>ND</t>
        </is>
      </c>
      <c r="AJ99" s="494" t="n">
        <v>5.82</v>
      </c>
      <c r="AK99" s="125" t="n">
        <v>0.405</v>
      </c>
      <c r="AL99" s="441" t="inlineStr">
        <is>
          <t>ND</t>
        </is>
      </c>
      <c r="AM99" s="505" t="n">
        <v>4.63</v>
      </c>
      <c r="AN99" s="494" t="n">
        <v>5.29</v>
      </c>
      <c r="AO99" s="438" t="inlineStr">
        <is>
          <t>ND</t>
        </is>
      </c>
      <c r="AP99" s="494" t="n">
        <v>4.88</v>
      </c>
      <c r="AQ99" s="528" t="n">
        <v>3.3</v>
      </c>
      <c r="AR99" s="444" t="inlineStr">
        <is>
          <t>ND</t>
        </is>
      </c>
      <c r="AS99" s="492" t="n">
        <v>3.1</v>
      </c>
      <c r="AT99" s="494" t="n">
        <v>3.26</v>
      </c>
      <c r="AU99" s="438" t="inlineStr">
        <is>
          <t>ND</t>
        </is>
      </c>
      <c r="AV99" s="495" t="n">
        <v>5.17</v>
      </c>
      <c r="AW99" s="496" t="n">
        <v>3.69</v>
      </c>
      <c r="AX99" s="438" t="inlineStr">
        <is>
          <t>ND</t>
        </is>
      </c>
      <c r="AY99" s="494" t="n">
        <v>5.56</v>
      </c>
      <c r="AZ99" s="492" t="n">
        <v>3.2</v>
      </c>
      <c r="BA99" s="441" t="inlineStr">
        <is>
          <t>ND</t>
        </is>
      </c>
      <c r="BB99" s="496" t="n">
        <v>2.24</v>
      </c>
      <c r="BC99" s="497" t="n">
        <v>3.04</v>
      </c>
      <c r="BD99" s="438" t="inlineStr">
        <is>
          <t>ND</t>
        </is>
      </c>
      <c r="BE99" s="494" t="n">
        <v>6.94</v>
      </c>
      <c r="BF99" s="495" t="n">
        <v>1.17</v>
      </c>
      <c r="BG99" s="444" t="inlineStr">
        <is>
          <t>ND</t>
        </is>
      </c>
      <c r="BH99" s="494" t="n">
        <v>5.36</v>
      </c>
      <c r="BI99" s="494" t="n">
        <v>5.38</v>
      </c>
      <c r="BJ99" s="438" t="inlineStr">
        <is>
          <t>ND</t>
        </is>
      </c>
      <c r="BK99" s="537" t="n">
        <v>3.7</v>
      </c>
      <c r="BL99" s="496" t="n">
        <v>3.93</v>
      </c>
      <c r="BM99" s="438" t="inlineStr">
        <is>
          <t>ND</t>
        </is>
      </c>
      <c r="BN99" s="494" t="n">
        <v>2.02</v>
      </c>
      <c r="BO99" s="494" t="inlineStr">
        <is>
          <t>ND</t>
        </is>
      </c>
      <c r="BP99" s="441" t="inlineStr">
        <is>
          <t>ND</t>
        </is>
      </c>
      <c r="BQ99" s="496" t="n">
        <v>1.17</v>
      </c>
      <c r="BR99" s="492" t="inlineStr">
        <is>
          <t>ND</t>
        </is>
      </c>
      <c r="BS99" s="438" t="inlineStr">
        <is>
          <t>ND</t>
        </is>
      </c>
      <c r="BT99" s="441" t="inlineStr">
        <is>
          <t>ND</t>
        </is>
      </c>
      <c r="BU99" s="457" t="n"/>
      <c r="BV99" s="457" t="n"/>
      <c r="BW99" s="437" t="n"/>
      <c r="BX99" s="437" t="n"/>
      <c r="BY99" s="437" t="n"/>
      <c r="BZ99" s="437" t="n"/>
      <c r="CA99" s="437" t="n"/>
      <c r="CB99" s="437" t="n"/>
      <c r="CC99" s="437" t="n"/>
      <c r="CD99" s="437" t="n"/>
      <c r="CE99" s="437" t="n"/>
      <c r="CF99" s="437" t="n"/>
      <c r="CG99" s="437" t="n"/>
      <c r="CH99" s="437" t="n"/>
      <c r="CI99" s="437" t="n"/>
      <c r="CJ99" s="437" t="n"/>
      <c r="CK99" s="437" t="n"/>
      <c r="CL99" s="437" t="n"/>
      <c r="CM99" s="437" t="n"/>
      <c r="CN99" s="437" t="n"/>
      <c r="CO99" s="437" t="n"/>
      <c r="CP99" s="437" t="n"/>
      <c r="CQ99" s="437" t="n"/>
      <c r="CR99" s="437" t="n"/>
      <c r="CS99" s="437" t="n"/>
      <c r="CT99" s="437" t="n"/>
      <c r="CU99" s="437" t="n"/>
      <c r="CV99" s="437" t="n"/>
      <c r="CW99" s="437" t="n"/>
      <c r="CX99" s="437" t="n"/>
      <c r="CY99" s="437" t="n"/>
      <c r="CZ99" s="437" t="n"/>
      <c r="DA99" s="437" t="n"/>
      <c r="DB99" s="437" t="n"/>
      <c r="DC99" s="437" t="n"/>
      <c r="DD99" s="437" t="n"/>
      <c r="DE99" s="437" t="n"/>
      <c r="DF99" s="437" t="n"/>
      <c r="DG99" s="437" t="n"/>
      <c r="DH99" s="437" t="n"/>
      <c r="DI99" s="437" t="n"/>
      <c r="DJ99" s="437" t="n"/>
      <c r="DK99" s="437" t="n"/>
      <c r="DL99" s="437" t="n"/>
      <c r="DM99" s="437" t="n"/>
      <c r="DN99" s="437" t="n"/>
      <c r="DO99" s="437" t="n"/>
      <c r="DP99" s="437" t="n"/>
      <c r="DQ99" s="437" t="n"/>
      <c r="DR99" s="437" t="n"/>
      <c r="DS99" s="437" t="n"/>
      <c r="DT99" s="437" t="n"/>
      <c r="DU99" s="437" t="n"/>
      <c r="DV99" s="437" t="n"/>
      <c r="DW99" s="437" t="n"/>
      <c r="DX99" s="437" t="n"/>
      <c r="DY99" s="238" t="n"/>
      <c r="DZ99" s="23" t="n"/>
      <c r="FQ99" s="212" t="n"/>
      <c r="FR99" s="212" t="n"/>
      <c r="FS99" s="212" t="n"/>
      <c r="FT99" s="212" t="n"/>
      <c r="FU99" s="212" t="n"/>
      <c r="FV99" s="212" t="n"/>
      <c r="FW99" s="212" t="n"/>
      <c r="FX99" s="212" t="n"/>
      <c r="FY99" s="212" t="n"/>
      <c r="FZ99" s="212" t="n"/>
    </row>
    <row r="100" ht="39.95" customFormat="1" customHeight="1" s="5">
      <c r="A100" s="10" t="inlineStr">
        <is>
          <t>A</t>
        </is>
      </c>
      <c r="B100" s="6" t="n"/>
      <c r="C100" s="11" t="inlineStr">
        <is>
          <t>L</t>
        </is>
      </c>
      <c r="D100" s="518" t="inlineStr">
        <is>
          <t>ND</t>
        </is>
      </c>
      <c r="E100" s="475" t="n">
        <v>1.58</v>
      </c>
      <c r="F100" s="436" t="inlineStr">
        <is>
          <t>ND</t>
        </is>
      </c>
      <c r="G100" s="475" t="n">
        <v>1.93</v>
      </c>
      <c r="H100" s="476" t="n">
        <v>3.83</v>
      </c>
      <c r="I100" s="483" t="n">
        <v>1.85</v>
      </c>
      <c r="J100" s="478" t="n">
        <v>1.39</v>
      </c>
      <c r="K100" s="475" t="n">
        <v>5.26</v>
      </c>
      <c r="L100" s="436" t="inlineStr">
        <is>
          <t>ND</t>
        </is>
      </c>
      <c r="M100" s="480" t="n">
        <v>2.99</v>
      </c>
      <c r="N100" s="115" t="n">
        <v>0.714</v>
      </c>
      <c r="O100" s="478" t="n">
        <v>1.15</v>
      </c>
      <c r="P100" s="475" t="n">
        <v>1.87</v>
      </c>
      <c r="Q100" s="478" t="inlineStr">
        <is>
          <t>ND</t>
        </is>
      </c>
      <c r="R100" s="476" t="n">
        <v>3.39</v>
      </c>
      <c r="S100" s="483" t="n">
        <v>3.57</v>
      </c>
      <c r="T100" s="112" t="n">
        <v>0.543</v>
      </c>
      <c r="U100" s="436" t="inlineStr">
        <is>
          <t>ND</t>
        </is>
      </c>
      <c r="V100" s="436" t="inlineStr">
        <is>
          <t>ND</t>
        </is>
      </c>
      <c r="W100" s="508" t="n">
        <v>2.8</v>
      </c>
      <c r="X100" s="115" t="n">
        <v>0.906</v>
      </c>
      <c r="Y100" s="436" t="n">
        <v>0.665</v>
      </c>
      <c r="Z100" s="112" t="n">
        <v>0.661</v>
      </c>
      <c r="AA100" s="481" t="n">
        <v>2.2</v>
      </c>
      <c r="AB100" s="480" t="n">
        <v>1.18</v>
      </c>
      <c r="AC100" s="482" t="n">
        <v>3.9</v>
      </c>
      <c r="AD100" s="436" t="n">
        <v>0.234</v>
      </c>
      <c r="AE100" s="478" t="inlineStr">
        <is>
          <t>ND</t>
        </is>
      </c>
      <c r="AF100" s="479" t="inlineStr">
        <is>
          <t>ND</t>
        </is>
      </c>
      <c r="AG100" s="439" t="inlineStr">
        <is>
          <t>ND</t>
        </is>
      </c>
      <c r="AH100" s="477" t="n">
        <v>3.03</v>
      </c>
      <c r="AI100" s="436" t="n">
        <v>0.414</v>
      </c>
      <c r="AJ100" s="436" t="inlineStr">
        <is>
          <t>ND</t>
        </is>
      </c>
      <c r="AK100" s="436" t="inlineStr">
        <is>
          <t>ND</t>
        </is>
      </c>
      <c r="AL100" s="519" t="n">
        <v>1</v>
      </c>
      <c r="AM100" s="115" t="n">
        <v>0.485</v>
      </c>
      <c r="AN100" s="112" t="n">
        <v>0.155</v>
      </c>
      <c r="AO100" s="478" t="n">
        <v>2.77</v>
      </c>
      <c r="AP100" s="478" t="inlineStr">
        <is>
          <t>ND</t>
        </is>
      </c>
      <c r="AQ100" s="439" t="inlineStr">
        <is>
          <t>ND</t>
        </is>
      </c>
      <c r="AR100" s="442" t="inlineStr">
        <is>
          <t>ND</t>
        </is>
      </c>
      <c r="AS100" s="436" t="inlineStr">
        <is>
          <t>ND</t>
        </is>
      </c>
      <c r="AT100" s="436" t="inlineStr">
        <is>
          <t>ND</t>
        </is>
      </c>
      <c r="AU100" s="478" t="n">
        <v>1.07</v>
      </c>
      <c r="AV100" s="439" t="inlineStr">
        <is>
          <t>ND</t>
        </is>
      </c>
      <c r="AW100" s="115" t="n">
        <v>0.793</v>
      </c>
      <c r="AX100" s="475" t="n">
        <v>1.68</v>
      </c>
      <c r="AY100" s="475" t="n">
        <v>4.08</v>
      </c>
      <c r="AZ100" s="475" t="n">
        <v>2.99</v>
      </c>
      <c r="BA100" s="476" t="n">
        <v>8.16</v>
      </c>
      <c r="BB100" s="477" t="n">
        <v>2.26</v>
      </c>
      <c r="BC100" s="475" t="n">
        <v>1.07</v>
      </c>
      <c r="BD100" s="436" t="inlineStr">
        <is>
          <t>ND</t>
        </is>
      </c>
      <c r="BE100" s="475" t="n">
        <v>9.81</v>
      </c>
      <c r="BF100" s="439" t="inlineStr">
        <is>
          <t>ND</t>
        </is>
      </c>
      <c r="BG100" s="549" t="inlineStr">
        <is>
          <t>ND</t>
        </is>
      </c>
      <c r="BH100" s="112" t="n">
        <v>0.156</v>
      </c>
      <c r="BI100" s="436" t="n">
        <v>0.921</v>
      </c>
      <c r="BJ100" s="436" t="n">
        <v>0.998</v>
      </c>
      <c r="BK100" s="476" t="n">
        <v>2.94</v>
      </c>
      <c r="BL100" s="115" t="n">
        <v>0.848</v>
      </c>
      <c r="BM100" s="479" t="inlineStr">
        <is>
          <t>ND</t>
        </is>
      </c>
      <c r="BN100" s="112" t="n">
        <v>0.523</v>
      </c>
      <c r="BO100" s="478" t="n">
        <v>1.82</v>
      </c>
      <c r="BP100" s="439" t="inlineStr">
        <is>
          <t>ND</t>
        </is>
      </c>
      <c r="BQ100" s="477" t="n">
        <v>4.83</v>
      </c>
      <c r="BR100" s="436" t="inlineStr">
        <is>
          <t>ND</t>
        </is>
      </c>
      <c r="BS100" s="478" t="n">
        <v>3.13</v>
      </c>
      <c r="BT100" s="439" t="inlineStr">
        <is>
          <t>ND</t>
        </is>
      </c>
      <c r="BU100" s="454">
        <f>IFERROR(AVERAGE(D100:BT102),0)</f>
        <v/>
      </c>
      <c r="BV100" s="454">
        <f>MAX(D100:BT102)</f>
        <v/>
      </c>
      <c r="BW100" s="437" t="n"/>
      <c r="BX100" s="437" t="n"/>
      <c r="BY100" s="437" t="n"/>
      <c r="BZ100" s="437" t="n"/>
      <c r="CA100" s="437" t="n"/>
      <c r="CB100" s="437" t="n"/>
      <c r="CC100" s="437" t="n"/>
      <c r="CD100" s="437" t="n"/>
      <c r="CE100" s="437" t="n"/>
      <c r="CF100" s="437" t="n"/>
      <c r="CG100" s="437" t="n"/>
      <c r="CH100" s="437" t="n"/>
      <c r="CI100" s="437" t="n"/>
      <c r="CJ100" s="437" t="n"/>
      <c r="CK100" s="437" t="n"/>
      <c r="CL100" s="437" t="n"/>
      <c r="CM100" s="437" t="n"/>
      <c r="CN100" s="437" t="n"/>
      <c r="CO100" s="437" t="n"/>
      <c r="CP100" s="437" t="n"/>
      <c r="CQ100" s="437" t="n"/>
      <c r="CR100" s="437" t="n"/>
      <c r="CS100" s="437" t="n"/>
      <c r="CT100" s="437" t="n"/>
      <c r="CU100" s="437" t="n"/>
      <c r="CV100" s="437" t="n"/>
      <c r="CW100" s="437" t="n"/>
      <c r="CX100" s="437" t="n"/>
      <c r="CY100" s="437" t="n"/>
      <c r="CZ100" s="437" t="n"/>
      <c r="DA100" s="437" t="n"/>
      <c r="DB100" s="437" t="n"/>
      <c r="DC100" s="437" t="n"/>
      <c r="DD100" s="437" t="n"/>
      <c r="DE100" s="437" t="n"/>
      <c r="DF100" s="437" t="n"/>
      <c r="DG100" s="437" t="n"/>
      <c r="DH100" s="437" t="n"/>
      <c r="DI100" s="437" t="n"/>
      <c r="DJ100" s="437" t="n"/>
      <c r="DK100" s="437" t="n"/>
      <c r="DL100" s="437" t="n"/>
      <c r="DM100" s="437" t="n"/>
      <c r="DN100" s="437" t="n"/>
      <c r="DO100" s="437" t="n"/>
      <c r="DP100" s="437" t="n"/>
      <c r="DQ100" s="437" t="n"/>
      <c r="DR100" s="437" t="n"/>
      <c r="DS100" s="437" t="n"/>
      <c r="DT100" s="437" t="n"/>
      <c r="DU100" s="437" t="n"/>
      <c r="DV100" s="437" t="n"/>
      <c r="DW100" s="437" t="n"/>
      <c r="DX100" s="437" t="n"/>
      <c r="DY100" s="238" t="n"/>
      <c r="DZ100" s="23" t="n"/>
      <c r="FQ100" s="212" t="n"/>
      <c r="FR100" s="212" t="n"/>
      <c r="FS100" s="212" t="n"/>
      <c r="FT100" s="212" t="n"/>
      <c r="FU100" s="212" t="n"/>
      <c r="FV100" s="212" t="n"/>
      <c r="FW100" s="212" t="n"/>
      <c r="FX100" s="212" t="n"/>
      <c r="FY100" s="212" t="n"/>
      <c r="FZ100" s="212" t="n"/>
    </row>
    <row r="101" ht="39.95" customFormat="1" customHeight="1" s="5">
      <c r="A101" s="182" t="inlineStr"/>
      <c r="B101" s="7" t="inlineStr">
        <is>
          <t>-63 IN</t>
        </is>
      </c>
      <c r="C101" s="11" t="inlineStr">
        <is>
          <t>C</t>
        </is>
      </c>
      <c r="D101" s="434" t="inlineStr">
        <is>
          <t>ND</t>
        </is>
      </c>
      <c r="E101" s="437" t="inlineStr">
        <is>
          <t>ND</t>
        </is>
      </c>
      <c r="F101" s="485" t="n">
        <v>1.12</v>
      </c>
      <c r="G101" s="502" t="n">
        <v>3.2</v>
      </c>
      <c r="H101" s="504" t="n">
        <v>2.8</v>
      </c>
      <c r="I101" s="487" t="n">
        <v>1.61</v>
      </c>
      <c r="J101" s="437" t="inlineStr">
        <is>
          <t>ND</t>
        </is>
      </c>
      <c r="K101" s="485" t="n">
        <v>1.76</v>
      </c>
      <c r="L101" s="485" t="n">
        <v>1.12</v>
      </c>
      <c r="M101" s="489" t="n">
        <v>2.79</v>
      </c>
      <c r="N101" s="490" t="inlineStr">
        <is>
          <t>ND</t>
        </is>
      </c>
      <c r="O101" s="485" t="n">
        <v>2.74</v>
      </c>
      <c r="P101" s="486" t="n">
        <v>1.25</v>
      </c>
      <c r="Q101" s="122" t="n">
        <v>0.495</v>
      </c>
      <c r="R101" s="440" t="n">
        <v>0.841</v>
      </c>
      <c r="S101" s="443" t="inlineStr">
        <is>
          <t>ND</t>
        </is>
      </c>
      <c r="T101" s="485" t="n">
        <v>2.21</v>
      </c>
      <c r="U101" s="486" t="n">
        <v>1.42</v>
      </c>
      <c r="V101" s="437" t="inlineStr">
        <is>
          <t>ND</t>
        </is>
      </c>
      <c r="W101" s="488" t="n">
        <v>2.01</v>
      </c>
      <c r="X101" s="443" t="n">
        <v>0.473</v>
      </c>
      <c r="Y101" s="554" t="n">
        <v>11.2</v>
      </c>
      <c r="Z101" s="485" t="inlineStr">
        <is>
          <t>ND</t>
        </is>
      </c>
      <c r="AA101" s="437" t="inlineStr">
        <is>
          <t>ND</t>
        </is>
      </c>
      <c r="AB101" s="440" t="inlineStr">
        <is>
          <t>ND</t>
        </is>
      </c>
      <c r="AC101" s="443" t="inlineStr">
        <is>
          <t>ND</t>
        </is>
      </c>
      <c r="AD101" s="437" t="n">
        <v>0.466</v>
      </c>
      <c r="AE101" s="501" t="n">
        <v>1.6</v>
      </c>
      <c r="AF101" s="486" t="n">
        <v>6.56</v>
      </c>
      <c r="AG101" s="440" t="inlineStr">
        <is>
          <t>ND</t>
        </is>
      </c>
      <c r="AH101" s="443" t="n">
        <v>0.986</v>
      </c>
      <c r="AI101" s="437" t="inlineStr">
        <is>
          <t>ND</t>
        </is>
      </c>
      <c r="AJ101" s="122" t="n">
        <v>0.186</v>
      </c>
      <c r="AK101" s="485" t="n">
        <v>1.31</v>
      </c>
      <c r="AL101" s="440" t="inlineStr">
        <is>
          <t>ND</t>
        </is>
      </c>
      <c r="AM101" s="490" t="n">
        <v>4.99</v>
      </c>
      <c r="AN101" s="486" t="n">
        <v>1.62</v>
      </c>
      <c r="AO101" s="485" t="n">
        <v>4.04</v>
      </c>
      <c r="AP101" s="502" t="n">
        <v>2.4</v>
      </c>
      <c r="AQ101" s="440" t="inlineStr">
        <is>
          <t>ND</t>
        </is>
      </c>
      <c r="AR101" s="490" t="n">
        <v>4.19</v>
      </c>
      <c r="AS101" s="437" t="inlineStr">
        <is>
          <t>ND</t>
        </is>
      </c>
      <c r="AT101" s="437" t="n">
        <v>0.883</v>
      </c>
      <c r="AU101" s="437" t="n">
        <v>0.472</v>
      </c>
      <c r="AV101" s="503" t="n">
        <v>3.4</v>
      </c>
      <c r="AW101" s="443" t="n">
        <v>0.328</v>
      </c>
      <c r="AX101" s="437" t="inlineStr">
        <is>
          <t>ND</t>
        </is>
      </c>
      <c r="AY101" s="437" t="inlineStr">
        <is>
          <t>ND</t>
        </is>
      </c>
      <c r="AZ101" s="486" t="n">
        <v>1.19</v>
      </c>
      <c r="BA101" s="440" t="n">
        <v>0.054</v>
      </c>
      <c r="BB101" s="443" t="n">
        <v>0.894</v>
      </c>
      <c r="BC101" s="486" t="n">
        <v>3.21</v>
      </c>
      <c r="BD101" s="485" t="n">
        <v>1.32</v>
      </c>
      <c r="BE101" s="486" t="n">
        <v>1.43</v>
      </c>
      <c r="BF101" s="440" t="inlineStr">
        <is>
          <t>ND</t>
        </is>
      </c>
      <c r="BG101" s="490" t="n">
        <v>1.39</v>
      </c>
      <c r="BH101" s="485" t="n">
        <v>2.33</v>
      </c>
      <c r="BI101" s="122" t="n">
        <v>0.075</v>
      </c>
      <c r="BJ101" s="122" t="n">
        <v>0.396</v>
      </c>
      <c r="BK101" s="488" t="inlineStr">
        <is>
          <t>ND</t>
        </is>
      </c>
      <c r="BL101" s="132" t="n">
        <v>0.78</v>
      </c>
      <c r="BM101" s="485" t="inlineStr">
        <is>
          <t>ND</t>
        </is>
      </c>
      <c r="BN101" s="502" t="n">
        <v>4.7</v>
      </c>
      <c r="BO101" s="485" t="n">
        <v>3.81</v>
      </c>
      <c r="BP101" s="488" t="inlineStr">
        <is>
          <t>ND</t>
        </is>
      </c>
      <c r="BQ101" s="487" t="n">
        <v>3.64</v>
      </c>
      <c r="BR101" s="437" t="n">
        <v>0.946</v>
      </c>
      <c r="BS101" s="485" t="n">
        <v>2.88</v>
      </c>
      <c r="BT101" s="488" t="n">
        <v>4.02</v>
      </c>
      <c r="BU101" s="455" t="n"/>
      <c r="BV101" s="455" t="n"/>
      <c r="BW101" s="437" t="n"/>
      <c r="BX101" s="437" t="n"/>
      <c r="BY101" s="437" t="n"/>
      <c r="BZ101" s="437" t="n"/>
      <c r="CA101" s="437" t="n"/>
      <c r="CB101" s="437" t="n"/>
      <c r="CC101" s="437" t="n"/>
      <c r="CD101" s="437" t="n"/>
      <c r="CE101" s="437" t="n"/>
      <c r="CF101" s="437" t="n"/>
      <c r="CG101" s="437" t="n"/>
      <c r="CH101" s="437" t="n"/>
      <c r="CI101" s="437" t="n"/>
      <c r="CJ101" s="437" t="n"/>
      <c r="CK101" s="437" t="n"/>
      <c r="CL101" s="437" t="n"/>
      <c r="CM101" s="437" t="n"/>
      <c r="CN101" s="437" t="n"/>
      <c r="CO101" s="437" t="n"/>
      <c r="CP101" s="437" t="n"/>
      <c r="CQ101" s="437" t="n"/>
      <c r="CR101" s="437" t="n"/>
      <c r="CS101" s="437" t="n"/>
      <c r="CT101" s="437" t="n"/>
      <c r="CU101" s="437" t="n"/>
      <c r="CV101" s="437" t="n"/>
      <c r="CW101" s="437" t="n"/>
      <c r="CX101" s="437" t="n"/>
      <c r="CY101" s="437" t="n"/>
      <c r="CZ101" s="437" t="n"/>
      <c r="DA101" s="437" t="n"/>
      <c r="DB101" s="437" t="n"/>
      <c r="DC101" s="437" t="n"/>
      <c r="DD101" s="437" t="n"/>
      <c r="DE101" s="437" t="n"/>
      <c r="DF101" s="437" t="n"/>
      <c r="DG101" s="437" t="n"/>
      <c r="DH101" s="437" t="n"/>
      <c r="DI101" s="437" t="n"/>
      <c r="DJ101" s="437" t="n"/>
      <c r="DK101" s="437" t="n"/>
      <c r="DL101" s="437" t="n"/>
      <c r="DM101" s="437" t="n"/>
      <c r="DN101" s="437" t="n"/>
      <c r="DO101" s="437" t="n"/>
      <c r="DP101" s="437" t="n"/>
      <c r="DQ101" s="437" t="n"/>
      <c r="DR101" s="437" t="n"/>
      <c r="DS101" s="437" t="n"/>
      <c r="DT101" s="437" t="n"/>
      <c r="DU101" s="437" t="n"/>
      <c r="DV101" s="437" t="n"/>
      <c r="DW101" s="437" t="n"/>
      <c r="DX101" s="437" t="n"/>
      <c r="DY101" s="238" t="n"/>
      <c r="DZ101" s="23" t="n"/>
      <c r="FQ101" s="212" t="n"/>
      <c r="FR101" s="212" t="n"/>
      <c r="FS101" s="212" t="n"/>
      <c r="FT101" s="212" t="n"/>
      <c r="FU101" s="212" t="n"/>
      <c r="FV101" s="212" t="n"/>
      <c r="FW101" s="212" t="n"/>
      <c r="FX101" s="212" t="n"/>
      <c r="FY101" s="212" t="n"/>
      <c r="FZ101" s="212" t="n"/>
    </row>
    <row r="102" ht="39.95" customFormat="1" customHeight="1" s="5">
      <c r="A102" s="456" t="n"/>
      <c r="B102" s="8" t="n"/>
      <c r="C102" s="12" t="inlineStr">
        <is>
          <t>R</t>
        </is>
      </c>
      <c r="D102" s="491" t="n">
        <v>3.24</v>
      </c>
      <c r="E102" s="494" t="n">
        <v>6.06</v>
      </c>
      <c r="F102" s="497" t="n">
        <v>3.96</v>
      </c>
      <c r="G102" s="497" t="n">
        <v>1.05</v>
      </c>
      <c r="H102" s="528" t="n">
        <v>3.3</v>
      </c>
      <c r="I102" s="505" t="n">
        <v>9.949999999999999</v>
      </c>
      <c r="J102" s="494" t="inlineStr">
        <is>
          <t>ND</t>
        </is>
      </c>
      <c r="K102" s="494" t="n">
        <v>3.94</v>
      </c>
      <c r="L102" s="492" t="n">
        <v>2.1</v>
      </c>
      <c r="M102" s="441" t="inlineStr">
        <is>
          <t>ND</t>
        </is>
      </c>
      <c r="N102" s="496" t="n">
        <v>3.85</v>
      </c>
      <c r="O102" s="494" t="n">
        <v>3.83</v>
      </c>
      <c r="P102" s="494" t="n">
        <v>1.15</v>
      </c>
      <c r="Q102" s="494" t="n">
        <v>2.01</v>
      </c>
      <c r="R102" s="495" t="n">
        <v>2.77</v>
      </c>
      <c r="S102" s="444" t="n">
        <v>0.375</v>
      </c>
      <c r="T102" s="494" t="n">
        <v>4.68</v>
      </c>
      <c r="U102" s="497" t="n">
        <v>2.42</v>
      </c>
      <c r="V102" s="438" t="inlineStr">
        <is>
          <t>ND</t>
        </is>
      </c>
      <c r="W102" s="495" t="n">
        <v>4.41</v>
      </c>
      <c r="X102" s="505" t="n">
        <v>1.06</v>
      </c>
      <c r="Y102" s="499" t="n">
        <v>2.1</v>
      </c>
      <c r="Z102" s="438" t="inlineStr">
        <is>
          <t>ND</t>
        </is>
      </c>
      <c r="AA102" s="438" t="inlineStr">
        <is>
          <t>ND</t>
        </is>
      </c>
      <c r="AB102" s="495" t="n">
        <v>1.05</v>
      </c>
      <c r="AC102" s="444" t="n">
        <v>0.464</v>
      </c>
      <c r="AD102" s="494" t="inlineStr">
        <is>
          <t>ND</t>
        </is>
      </c>
      <c r="AE102" s="494" t="n">
        <v>2.72</v>
      </c>
      <c r="AF102" s="438" t="inlineStr">
        <is>
          <t>ND</t>
        </is>
      </c>
      <c r="AG102" s="498" t="n">
        <v>1.11</v>
      </c>
      <c r="AH102" s="505" t="n">
        <v>1.65</v>
      </c>
      <c r="AI102" s="438" t="n">
        <v>0.024</v>
      </c>
      <c r="AJ102" s="494" t="n">
        <v>1.55</v>
      </c>
      <c r="AK102" s="438" t="n">
        <v>0.112</v>
      </c>
      <c r="AL102" s="495" t="n">
        <v>2.42</v>
      </c>
      <c r="AM102" s="496" t="n">
        <v>2.91</v>
      </c>
      <c r="AN102" s="494" t="n">
        <v>6.19</v>
      </c>
      <c r="AO102" s="494" t="inlineStr">
        <is>
          <t>ND</t>
        </is>
      </c>
      <c r="AP102" s="497" t="n">
        <v>1.46</v>
      </c>
      <c r="AQ102" s="495" t="n">
        <v>3.83</v>
      </c>
      <c r="AR102" s="496" t="n">
        <v>4.95</v>
      </c>
      <c r="AS102" s="438" t="n">
        <v>0.366</v>
      </c>
      <c r="AT102" s="497" t="n">
        <v>3.84</v>
      </c>
      <c r="AU102" s="497" t="n">
        <v>2.02</v>
      </c>
      <c r="AV102" s="537" t="n">
        <v>1.9</v>
      </c>
      <c r="AW102" s="505" t="n">
        <v>3.47</v>
      </c>
      <c r="AX102" s="438" t="n">
        <v>0.299</v>
      </c>
      <c r="AY102" s="497" t="n">
        <v>1.54</v>
      </c>
      <c r="AZ102" s="438" t="n">
        <v>0.131</v>
      </c>
      <c r="BA102" s="498" t="n">
        <v>3.11</v>
      </c>
      <c r="BB102" s="444" t="n">
        <v>0.919</v>
      </c>
      <c r="BC102" s="497" t="n">
        <v>1.53</v>
      </c>
      <c r="BD102" s="494" t="n">
        <v>3.58</v>
      </c>
      <c r="BE102" s="438" t="inlineStr">
        <is>
          <t>ND</t>
        </is>
      </c>
      <c r="BF102" s="498" t="n">
        <v>3.08</v>
      </c>
      <c r="BG102" s="496" t="inlineStr">
        <is>
          <t>ND</t>
        </is>
      </c>
      <c r="BH102" s="497" t="n">
        <v>2.55</v>
      </c>
      <c r="BI102" s="494" t="n">
        <v>3.16</v>
      </c>
      <c r="BJ102" s="438" t="n">
        <v>0.405</v>
      </c>
      <c r="BK102" s="495" t="n">
        <v>1.47</v>
      </c>
      <c r="BL102" s="496" t="n">
        <v>2.89</v>
      </c>
      <c r="BM102" s="494" t="n">
        <v>3.61</v>
      </c>
      <c r="BN102" s="497" t="n">
        <v>3.88</v>
      </c>
      <c r="BO102" s="492" t="n">
        <v>4.9</v>
      </c>
      <c r="BP102" s="528" t="n">
        <v>1.9</v>
      </c>
      <c r="BQ102" s="496" t="n">
        <v>3.13</v>
      </c>
      <c r="BR102" s="494" t="n">
        <v>6.25</v>
      </c>
      <c r="BS102" s="494" t="n">
        <v>3.78</v>
      </c>
      <c r="BT102" s="441" t="n">
        <v>0.699</v>
      </c>
      <c r="BU102" s="457" t="n"/>
      <c r="BV102" s="457" t="n"/>
      <c r="BW102" s="437" t="n"/>
      <c r="BX102" s="437" t="n"/>
      <c r="BY102" s="437" t="n"/>
      <c r="BZ102" s="437" t="n"/>
      <c r="CA102" s="437" t="n"/>
      <c r="CB102" s="437" t="n"/>
      <c r="CC102" s="437" t="n"/>
      <c r="CD102" s="437" t="n"/>
      <c r="CE102" s="437" t="n"/>
      <c r="CF102" s="437" t="n"/>
      <c r="CG102" s="437" t="n"/>
      <c r="CH102" s="437" t="n"/>
      <c r="CI102" s="437" t="n"/>
      <c r="CJ102" s="437" t="n"/>
      <c r="CK102" s="437" t="n"/>
      <c r="CL102" s="437" t="n"/>
      <c r="CM102" s="437" t="n"/>
      <c r="CN102" s="437" t="n"/>
      <c r="CO102" s="437" t="n"/>
      <c r="CP102" s="437" t="n"/>
      <c r="CQ102" s="437" t="n"/>
      <c r="CR102" s="437" t="n"/>
      <c r="CS102" s="437" t="n"/>
      <c r="CT102" s="437" t="n"/>
      <c r="CU102" s="437" t="n"/>
      <c r="CV102" s="437" t="n"/>
      <c r="CW102" s="437" t="n"/>
      <c r="CX102" s="437" t="n"/>
      <c r="CY102" s="437" t="n"/>
      <c r="CZ102" s="437" t="n"/>
      <c r="DA102" s="437" t="n"/>
      <c r="DB102" s="437" t="n"/>
      <c r="DC102" s="437" t="n"/>
      <c r="DD102" s="437" t="n"/>
      <c r="DE102" s="437" t="n"/>
      <c r="DF102" s="437" t="n"/>
      <c r="DG102" s="437" t="n"/>
      <c r="DH102" s="437" t="n"/>
      <c r="DI102" s="437" t="n"/>
      <c r="DJ102" s="437" t="n"/>
      <c r="DK102" s="437" t="n"/>
      <c r="DL102" s="437" t="n"/>
      <c r="DM102" s="437" t="n"/>
      <c r="DN102" s="437" t="n"/>
      <c r="DO102" s="437" t="n"/>
      <c r="DP102" s="437" t="n"/>
      <c r="DQ102" s="437" t="n"/>
      <c r="DR102" s="437" t="n"/>
      <c r="DS102" s="437" t="n"/>
      <c r="DT102" s="437" t="n"/>
      <c r="DU102" s="437" t="n"/>
      <c r="DV102" s="437" t="n"/>
      <c r="DW102" s="437" t="n"/>
      <c r="DX102" s="437" t="n"/>
      <c r="DY102" s="238" t="n"/>
      <c r="DZ102" s="23" t="n"/>
      <c r="FQ102" s="212" t="n"/>
      <c r="FR102" s="212" t="n"/>
      <c r="FS102" s="212" t="n"/>
      <c r="FT102" s="212" t="n"/>
      <c r="FU102" s="212" t="n"/>
      <c r="FV102" s="212" t="n"/>
      <c r="FW102" s="212" t="n"/>
      <c r="FX102" s="212" t="n"/>
      <c r="FY102" s="212" t="n"/>
      <c r="FZ102" s="212" t="n"/>
    </row>
    <row r="103" ht="39.95" customFormat="1" customHeight="1" s="5">
      <c r="A103" s="10" t="inlineStr">
        <is>
          <t>A</t>
        </is>
      </c>
      <c r="B103" s="6" t="n"/>
      <c r="C103" s="11" t="inlineStr">
        <is>
          <t>L</t>
        </is>
      </c>
      <c r="D103" s="433" t="inlineStr">
        <is>
          <t>ND</t>
        </is>
      </c>
      <c r="E103" s="478" t="n">
        <v>3.04</v>
      </c>
      <c r="F103" s="112" t="n">
        <v>0.742</v>
      </c>
      <c r="G103" s="436" t="inlineStr">
        <is>
          <t>ND</t>
        </is>
      </c>
      <c r="H103" s="476" t="n">
        <v>3.78</v>
      </c>
      <c r="I103" s="477" t="n">
        <v>3.33</v>
      </c>
      <c r="J103" s="475" t="n">
        <v>1.03</v>
      </c>
      <c r="K103" s="479" t="n">
        <v>1.3</v>
      </c>
      <c r="L103" s="478" t="n">
        <v>2.25</v>
      </c>
      <c r="M103" s="439" t="inlineStr">
        <is>
          <t>ND</t>
        </is>
      </c>
      <c r="N103" s="477" t="n">
        <v>4.51</v>
      </c>
      <c r="O103" s="475" t="n">
        <v>5.59</v>
      </c>
      <c r="P103" s="478" t="n">
        <v>1.18</v>
      </c>
      <c r="Q103" s="436" t="inlineStr">
        <is>
          <t>ND</t>
        </is>
      </c>
      <c r="R103" s="480" t="n">
        <v>4.01</v>
      </c>
      <c r="S103" s="477" t="n">
        <v>6.46</v>
      </c>
      <c r="T103" s="531" t="n">
        <v>11.7</v>
      </c>
      <c r="U103" s="478" t="n">
        <v>1.61</v>
      </c>
      <c r="V103" s="475" t="n">
        <v>2.15</v>
      </c>
      <c r="W103" s="480" t="n">
        <v>5.79</v>
      </c>
      <c r="X103" s="500" t="n">
        <v>1.6</v>
      </c>
      <c r="Y103" s="475" t="n">
        <v>1.38</v>
      </c>
      <c r="Z103" s="478" t="n">
        <v>5.99</v>
      </c>
      <c r="AA103" s="475" t="n">
        <v>2.87</v>
      </c>
      <c r="AB103" s="476" t="n">
        <v>4.48</v>
      </c>
      <c r="AC103" s="482" t="n">
        <v>5.4</v>
      </c>
      <c r="AD103" s="481" t="n">
        <v>5.1</v>
      </c>
      <c r="AE103" s="478" t="n">
        <v>3.46</v>
      </c>
      <c r="AF103" s="475" t="n">
        <v>2.95</v>
      </c>
      <c r="AG103" s="439" t="inlineStr">
        <is>
          <t>ND</t>
        </is>
      </c>
      <c r="AH103" s="477" t="n">
        <v>1.08</v>
      </c>
      <c r="AI103" s="436" t="inlineStr">
        <is>
          <t>ND</t>
        </is>
      </c>
      <c r="AJ103" s="478" t="n">
        <v>1.51</v>
      </c>
      <c r="AK103" s="436" t="inlineStr">
        <is>
          <t>ND</t>
        </is>
      </c>
      <c r="AL103" s="508" t="n">
        <v>4.8</v>
      </c>
      <c r="AM103" s="477" t="n">
        <v>5.09</v>
      </c>
      <c r="AN103" s="112" t="n">
        <v>0.292</v>
      </c>
      <c r="AO103" s="475" t="n">
        <v>1.88</v>
      </c>
      <c r="AP103" s="478" t="n">
        <v>2.28</v>
      </c>
      <c r="AQ103" s="476" t="n">
        <v>1.08</v>
      </c>
      <c r="AR103" s="477" t="n">
        <v>4.61</v>
      </c>
      <c r="AS103" s="436" t="inlineStr">
        <is>
          <t>ND</t>
        </is>
      </c>
      <c r="AT103" s="507" t="n">
        <v>12.8</v>
      </c>
      <c r="AU103" s="478" t="inlineStr">
        <is>
          <t>ND</t>
        </is>
      </c>
      <c r="AV103" s="476" t="n">
        <v>4.23</v>
      </c>
      <c r="AW103" s="477" t="inlineStr">
        <is>
          <t>ND</t>
        </is>
      </c>
      <c r="AX103" s="436" t="n">
        <v>0.958</v>
      </c>
      <c r="AY103" s="475" t="n">
        <v>2.29</v>
      </c>
      <c r="AZ103" s="481" t="n">
        <v>4.8</v>
      </c>
      <c r="BA103" s="439" t="inlineStr">
        <is>
          <t>ND</t>
        </is>
      </c>
      <c r="BB103" s="115" t="n">
        <v>0.484</v>
      </c>
      <c r="BC103" s="475" t="n">
        <v>1.95</v>
      </c>
      <c r="BD103" s="436" t="inlineStr">
        <is>
          <t>ND</t>
        </is>
      </c>
      <c r="BE103" s="478" t="n">
        <v>1.65</v>
      </c>
      <c r="BF103" s="439" t="n">
        <v>0.5600000000000001</v>
      </c>
      <c r="BG103" s="477" t="inlineStr">
        <is>
          <t>ND</t>
        </is>
      </c>
      <c r="BH103" s="436" t="inlineStr">
        <is>
          <t>ND</t>
        </is>
      </c>
      <c r="BI103" s="478" t="n">
        <v>2.69</v>
      </c>
      <c r="BJ103" s="436" t="inlineStr">
        <is>
          <t>ND</t>
        </is>
      </c>
      <c r="BK103" s="439" t="inlineStr">
        <is>
          <t>ND</t>
        </is>
      </c>
      <c r="BL103" s="477" t="n">
        <v>3.71</v>
      </c>
      <c r="BM103" s="478" t="n">
        <v>2.95</v>
      </c>
      <c r="BN103" s="478" t="inlineStr">
        <is>
          <t>ND</t>
        </is>
      </c>
      <c r="BO103" s="478" t="n">
        <v>4.17</v>
      </c>
      <c r="BP103" s="480" t="n">
        <v>1.48</v>
      </c>
      <c r="BQ103" s="477" t="n">
        <v>2.18</v>
      </c>
      <c r="BR103" s="478" t="n">
        <v>2.06</v>
      </c>
      <c r="BS103" s="475" t="n">
        <v>1.51</v>
      </c>
      <c r="BT103" s="560" t="n">
        <v>5.9</v>
      </c>
      <c r="BU103" s="454">
        <f>IFERROR(AVERAGE(D103:BT105),0)</f>
        <v/>
      </c>
      <c r="BV103" s="454">
        <f>MAX(D103:BT105)</f>
        <v/>
      </c>
      <c r="BW103" s="437" t="n"/>
      <c r="BX103" s="437" t="n"/>
      <c r="BY103" s="437" t="n"/>
      <c r="BZ103" s="437" t="n"/>
      <c r="CA103" s="437" t="n"/>
      <c r="CB103" s="437" t="n"/>
      <c r="CC103" s="437" t="n"/>
      <c r="CD103" s="437" t="n"/>
      <c r="CE103" s="437" t="n"/>
      <c r="CF103" s="437" t="n"/>
      <c r="CG103" s="437" t="n"/>
      <c r="CH103" s="437" t="n"/>
      <c r="CI103" s="437" t="n"/>
      <c r="CJ103" s="437" t="n"/>
      <c r="CK103" s="437" t="n"/>
      <c r="CL103" s="437" t="n"/>
      <c r="CM103" s="437" t="n"/>
      <c r="CN103" s="437" t="n"/>
      <c r="CO103" s="437" t="n"/>
      <c r="CP103" s="437" t="n"/>
      <c r="CQ103" s="437" t="n"/>
      <c r="CR103" s="437" t="n"/>
      <c r="CS103" s="437" t="n"/>
      <c r="CT103" s="437" t="n"/>
      <c r="CU103" s="437" t="n"/>
      <c r="CV103" s="437" t="n"/>
      <c r="CW103" s="437" t="n"/>
      <c r="CX103" s="437" t="n"/>
      <c r="CY103" s="437" t="n"/>
      <c r="CZ103" s="437" t="n"/>
      <c r="DA103" s="437" t="n"/>
      <c r="DB103" s="437" t="n"/>
      <c r="DC103" s="437" t="n"/>
      <c r="DD103" s="437" t="n"/>
      <c r="DE103" s="437" t="n"/>
      <c r="DF103" s="437" t="n"/>
      <c r="DG103" s="437" t="n"/>
      <c r="DH103" s="437" t="n"/>
      <c r="DI103" s="437" t="n"/>
      <c r="DJ103" s="437" t="n"/>
      <c r="DK103" s="437" t="n"/>
      <c r="DL103" s="437" t="n"/>
      <c r="DM103" s="437" t="n"/>
      <c r="DN103" s="437" t="n"/>
      <c r="DO103" s="437" t="n"/>
      <c r="DP103" s="437" t="n"/>
      <c r="DQ103" s="437" t="n"/>
      <c r="DR103" s="437" t="n"/>
      <c r="DS103" s="437" t="n"/>
      <c r="DT103" s="437" t="n"/>
      <c r="DU103" s="437" t="n"/>
      <c r="DV103" s="437" t="n"/>
      <c r="DW103" s="437" t="n"/>
      <c r="DX103" s="437" t="n"/>
      <c r="DY103" s="238" t="n"/>
      <c r="DZ103" s="23" t="n"/>
      <c r="FQ103" s="212" t="n"/>
      <c r="FR103" s="212" t="n"/>
      <c r="FS103" s="212" t="n"/>
      <c r="FT103" s="212" t="n"/>
      <c r="FU103" s="212" t="n"/>
      <c r="FV103" s="212" t="n"/>
      <c r="FW103" s="212" t="n"/>
      <c r="FX103" s="212" t="n"/>
      <c r="FY103" s="212" t="n"/>
      <c r="FZ103" s="212" t="n"/>
    </row>
    <row r="104" ht="39.95" customFormat="1" customHeight="1" s="5">
      <c r="A104" s="182" t="inlineStr"/>
      <c r="B104" s="7" t="inlineStr">
        <is>
          <t>-72 IN</t>
        </is>
      </c>
      <c r="C104" s="11" t="inlineStr">
        <is>
          <t>C</t>
        </is>
      </c>
      <c r="D104" s="561" t="n">
        <v>1.1</v>
      </c>
      <c r="E104" s="485" t="n">
        <v>3.86</v>
      </c>
      <c r="F104" s="485" t="n">
        <v>1.92</v>
      </c>
      <c r="G104" s="485" t="n">
        <v>3.53</v>
      </c>
      <c r="H104" s="440" t="n">
        <v>0.184</v>
      </c>
      <c r="I104" s="443" t="n">
        <v>0.287</v>
      </c>
      <c r="J104" s="485" t="n">
        <v>4.22</v>
      </c>
      <c r="K104" s="485" t="n">
        <v>2.88</v>
      </c>
      <c r="L104" s="122" t="n">
        <v>0.388</v>
      </c>
      <c r="M104" s="489" t="n">
        <v>4.62</v>
      </c>
      <c r="N104" s="490" t="n">
        <v>1.07</v>
      </c>
      <c r="O104" s="485" t="n">
        <v>6.86</v>
      </c>
      <c r="P104" s="501" t="n">
        <v>1.4</v>
      </c>
      <c r="Q104" s="485" t="n">
        <v>4.44</v>
      </c>
      <c r="R104" s="489" t="n">
        <v>3.44</v>
      </c>
      <c r="S104" s="490" t="n">
        <v>2.88</v>
      </c>
      <c r="T104" s="485" t="n">
        <v>3.92</v>
      </c>
      <c r="U104" s="485" t="inlineStr">
        <is>
          <t>ND</t>
        </is>
      </c>
      <c r="V104" s="485" t="n">
        <v>1.21</v>
      </c>
      <c r="W104" s="488" t="n">
        <v>4.97</v>
      </c>
      <c r="X104" s="487" t="n">
        <v>4.88</v>
      </c>
      <c r="Y104" s="486" t="n">
        <v>1.61</v>
      </c>
      <c r="Z104" s="485" t="n">
        <v>2.31</v>
      </c>
      <c r="AA104" s="437" t="n">
        <v>0.538</v>
      </c>
      <c r="AB104" s="488" t="n">
        <v>4.61</v>
      </c>
      <c r="AC104" s="443" t="n">
        <v>0.272</v>
      </c>
      <c r="AD104" s="485" t="n">
        <v>4.32</v>
      </c>
      <c r="AE104" s="486" t="n">
        <v>3.25</v>
      </c>
      <c r="AF104" s="562" t="n">
        <v>10</v>
      </c>
      <c r="AG104" s="440" t="n">
        <v>0.06900000000000001</v>
      </c>
      <c r="AH104" s="490" t="n">
        <v>1.76</v>
      </c>
      <c r="AI104" s="540" t="n">
        <v>4</v>
      </c>
      <c r="AJ104" s="485" t="n">
        <v>3.39</v>
      </c>
      <c r="AK104" s="485" t="n">
        <v>3.41</v>
      </c>
      <c r="AL104" s="488" t="n">
        <v>2.53</v>
      </c>
      <c r="AM104" s="490" t="n">
        <v>2.42</v>
      </c>
      <c r="AN104" s="502" t="inlineStr">
        <is>
          <t>ND</t>
        </is>
      </c>
      <c r="AO104" s="485" t="inlineStr">
        <is>
          <t>ND</t>
        </is>
      </c>
      <c r="AP104" s="485" t="inlineStr">
        <is>
          <t>ND</t>
        </is>
      </c>
      <c r="AQ104" s="440" t="inlineStr">
        <is>
          <t>ND</t>
        </is>
      </c>
      <c r="AR104" s="490" t="n">
        <v>3.72</v>
      </c>
      <c r="AS104" s="486" t="n">
        <v>2.22</v>
      </c>
      <c r="AT104" s="485" t="n">
        <v>3.88</v>
      </c>
      <c r="AU104" s="122" t="n">
        <v>0.802</v>
      </c>
      <c r="AV104" s="488" t="n">
        <v>1.12</v>
      </c>
      <c r="AW104" s="132" t="n">
        <v>0.118</v>
      </c>
      <c r="AX104" s="485" t="n">
        <v>1.11</v>
      </c>
      <c r="AY104" s="437" t="inlineStr">
        <is>
          <t>ND</t>
        </is>
      </c>
      <c r="AZ104" s="486" t="n">
        <v>2.42</v>
      </c>
      <c r="BA104" s="440" t="n">
        <v>0.784</v>
      </c>
      <c r="BB104" s="443" t="n">
        <v>0.445</v>
      </c>
      <c r="BC104" s="122" t="n">
        <v>0.624</v>
      </c>
      <c r="BD104" s="122" t="n">
        <v>0.76</v>
      </c>
      <c r="BE104" s="502" t="n">
        <v>1.5</v>
      </c>
      <c r="BF104" s="489" t="n">
        <v>1.16</v>
      </c>
      <c r="BG104" s="490" t="inlineStr">
        <is>
          <t>ND</t>
        </is>
      </c>
      <c r="BH104" s="485" t="inlineStr">
        <is>
          <t>ND</t>
        </is>
      </c>
      <c r="BI104" s="502" t="n">
        <v>1.5</v>
      </c>
      <c r="BJ104" s="437" t="inlineStr">
        <is>
          <t>ND</t>
        </is>
      </c>
      <c r="BK104" s="488" t="inlineStr">
        <is>
          <t>ND</t>
        </is>
      </c>
      <c r="BL104" s="490" t="n">
        <v>3.61</v>
      </c>
      <c r="BM104" s="485" t="n">
        <v>6.92</v>
      </c>
      <c r="BN104" s="485" t="inlineStr">
        <is>
          <t>ND</t>
        </is>
      </c>
      <c r="BO104" s="485" t="n">
        <v>1.37</v>
      </c>
      <c r="BP104" s="440" t="inlineStr">
        <is>
          <t>ND</t>
        </is>
      </c>
      <c r="BQ104" s="490" t="inlineStr">
        <is>
          <t>ND</t>
        </is>
      </c>
      <c r="BR104" s="485" t="n">
        <v>2.86</v>
      </c>
      <c r="BS104" s="502" t="n">
        <v>6.7</v>
      </c>
      <c r="BT104" s="488" t="n">
        <v>3.26</v>
      </c>
      <c r="BU104" s="455" t="n"/>
      <c r="BV104" s="455" t="n"/>
      <c r="BW104" s="437" t="n"/>
      <c r="BX104" s="437" t="n"/>
      <c r="BY104" s="437" t="n"/>
      <c r="BZ104" s="437" t="n"/>
      <c r="CA104" s="437" t="n"/>
      <c r="CB104" s="437" t="n"/>
      <c r="CC104" s="437" t="n"/>
      <c r="CD104" s="437" t="n"/>
      <c r="CE104" s="437" t="n"/>
      <c r="CF104" s="437" t="n"/>
      <c r="CG104" s="437" t="n"/>
      <c r="CH104" s="437" t="n"/>
      <c r="CI104" s="437" t="n"/>
      <c r="CJ104" s="437" t="n"/>
      <c r="CK104" s="437" t="n"/>
      <c r="CL104" s="437" t="n"/>
      <c r="CM104" s="437" t="n"/>
      <c r="CN104" s="437" t="n"/>
      <c r="CO104" s="437" t="n"/>
      <c r="CP104" s="437" t="n"/>
      <c r="CQ104" s="437" t="n"/>
      <c r="CR104" s="437" t="n"/>
      <c r="CS104" s="437" t="n"/>
      <c r="CT104" s="437" t="n"/>
      <c r="CU104" s="437" t="n"/>
      <c r="CV104" s="437" t="n"/>
      <c r="CW104" s="437" t="n"/>
      <c r="CX104" s="437" t="n"/>
      <c r="CY104" s="437" t="n"/>
      <c r="CZ104" s="437" t="n"/>
      <c r="DA104" s="437" t="n"/>
      <c r="DB104" s="437" t="n"/>
      <c r="DC104" s="437" t="n"/>
      <c r="DD104" s="437" t="n"/>
      <c r="DE104" s="437" t="n"/>
      <c r="DF104" s="437" t="n"/>
      <c r="DG104" s="437" t="n"/>
      <c r="DH104" s="437" t="n"/>
      <c r="DI104" s="437" t="n"/>
      <c r="DJ104" s="437" t="n"/>
      <c r="DK104" s="437" t="n"/>
      <c r="DL104" s="437" t="n"/>
      <c r="DM104" s="437" t="n"/>
      <c r="DN104" s="437" t="n"/>
      <c r="DO104" s="437" t="n"/>
      <c r="DP104" s="437" t="n"/>
      <c r="DQ104" s="437" t="n"/>
      <c r="DR104" s="437" t="n"/>
      <c r="DS104" s="437" t="n"/>
      <c r="DT104" s="437" t="n"/>
      <c r="DU104" s="437" t="n"/>
      <c r="DV104" s="437" t="n"/>
      <c r="DW104" s="437" t="n"/>
      <c r="DX104" s="437" t="n"/>
      <c r="DY104" s="238" t="n"/>
      <c r="DZ104" s="23" t="n"/>
      <c r="FQ104" s="212" t="n"/>
      <c r="FR104" s="212" t="n"/>
      <c r="FS104" s="212" t="n"/>
      <c r="FT104" s="212" t="n"/>
      <c r="FU104" s="212" t="n"/>
      <c r="FV104" s="212" t="n"/>
      <c r="FW104" s="212" t="n"/>
      <c r="FX104" s="212" t="n"/>
      <c r="FY104" s="212" t="n"/>
      <c r="FZ104" s="212" t="n"/>
    </row>
    <row r="105" ht="39.95" customFormat="1" customHeight="1" s="5">
      <c r="A105" s="456" t="n"/>
      <c r="B105" s="8" t="n"/>
      <c r="C105" s="12" t="inlineStr">
        <is>
          <t>R</t>
        </is>
      </c>
      <c r="D105" s="435" t="inlineStr">
        <is>
          <t>ND</t>
        </is>
      </c>
      <c r="E105" s="494" t="n">
        <v>1.79</v>
      </c>
      <c r="F105" s="494" t="n">
        <v>2.18</v>
      </c>
      <c r="G105" s="497" t="n">
        <v>2.05</v>
      </c>
      <c r="H105" s="537" t="n">
        <v>2.6</v>
      </c>
      <c r="I105" s="505" t="n">
        <v>2.76</v>
      </c>
      <c r="J105" s="494" t="n">
        <v>3.91</v>
      </c>
      <c r="K105" s="494" t="n">
        <v>1.48</v>
      </c>
      <c r="L105" s="438" t="n">
        <v>0.725</v>
      </c>
      <c r="M105" s="495" t="n">
        <v>2.36</v>
      </c>
      <c r="N105" s="496" t="n">
        <v>2.08</v>
      </c>
      <c r="O105" s="497" t="n">
        <v>1.66</v>
      </c>
      <c r="P105" s="515" t="n">
        <v>10.2</v>
      </c>
      <c r="Q105" s="494" t="n">
        <v>2.61</v>
      </c>
      <c r="R105" s="498" t="n">
        <v>5.23</v>
      </c>
      <c r="S105" s="505" t="n">
        <v>5.34</v>
      </c>
      <c r="T105" s="494" t="n">
        <v>9.050000000000001</v>
      </c>
      <c r="U105" s="497" t="n">
        <v>2.42</v>
      </c>
      <c r="V105" s="497" t="n">
        <v>2.46</v>
      </c>
      <c r="W105" s="495" t="n">
        <v>3.85</v>
      </c>
      <c r="X105" s="505" t="n">
        <v>3.37</v>
      </c>
      <c r="Y105" s="438" t="inlineStr">
        <is>
          <t>ND</t>
        </is>
      </c>
      <c r="Z105" s="497" t="n">
        <v>8.56</v>
      </c>
      <c r="AA105" s="497" t="n">
        <v>1.55</v>
      </c>
      <c r="AB105" s="498" t="n">
        <v>3.84</v>
      </c>
      <c r="AC105" s="517" t="n">
        <v>15.3</v>
      </c>
      <c r="AD105" s="497" t="n">
        <v>4.08</v>
      </c>
      <c r="AE105" s="497" t="n">
        <v>1.74</v>
      </c>
      <c r="AF105" s="499" t="n">
        <v>8.300000000000001</v>
      </c>
      <c r="AG105" s="498" t="n">
        <v>1.11</v>
      </c>
      <c r="AH105" s="496" t="n">
        <v>4.11</v>
      </c>
      <c r="AI105" s="494" t="n">
        <v>3.74</v>
      </c>
      <c r="AJ105" s="494" t="n">
        <v>3.65</v>
      </c>
      <c r="AK105" s="438" t="inlineStr">
        <is>
          <t>ND</t>
        </is>
      </c>
      <c r="AL105" s="495" t="n">
        <v>5.17</v>
      </c>
      <c r="AM105" s="496" t="n">
        <v>2.48</v>
      </c>
      <c r="AN105" s="497" t="n">
        <v>2.25</v>
      </c>
      <c r="AO105" s="499" t="n">
        <v>1.6</v>
      </c>
      <c r="AP105" s="497" t="n">
        <v>5.48</v>
      </c>
      <c r="AQ105" s="495" t="inlineStr">
        <is>
          <t>ND</t>
        </is>
      </c>
      <c r="AR105" s="496" t="n">
        <v>2.35</v>
      </c>
      <c r="AS105" s="497" t="n">
        <v>2.74</v>
      </c>
      <c r="AT105" s="497" t="n">
        <v>3.25</v>
      </c>
      <c r="AU105" s="494" t="inlineStr">
        <is>
          <t>ND</t>
        </is>
      </c>
      <c r="AV105" s="537" t="n">
        <v>1.2</v>
      </c>
      <c r="AW105" s="496" t="inlineStr">
        <is>
          <t>ND</t>
        </is>
      </c>
      <c r="AX105" s="438" t="n">
        <v>0.68</v>
      </c>
      <c r="AY105" s="438" t="inlineStr">
        <is>
          <t>ND</t>
        </is>
      </c>
      <c r="AZ105" s="497" t="n">
        <v>2.31</v>
      </c>
      <c r="BA105" s="441" t="n">
        <v>0.101</v>
      </c>
      <c r="BB105" s="496" t="n">
        <v>2.01</v>
      </c>
      <c r="BC105" s="438" t="n">
        <v>0.777</v>
      </c>
      <c r="BD105" s="494" t="inlineStr">
        <is>
          <t>ND</t>
        </is>
      </c>
      <c r="BE105" s="438" t="n">
        <v>0.988</v>
      </c>
      <c r="BF105" s="441" t="inlineStr">
        <is>
          <t>ND</t>
        </is>
      </c>
      <c r="BG105" s="496" t="inlineStr">
        <is>
          <t>ND</t>
        </is>
      </c>
      <c r="BH105" s="438" t="inlineStr">
        <is>
          <t>ND</t>
        </is>
      </c>
      <c r="BI105" s="494" t="n">
        <v>5.73</v>
      </c>
      <c r="BJ105" s="438" t="inlineStr">
        <is>
          <t>ND</t>
        </is>
      </c>
      <c r="BK105" s="495" t="n">
        <v>1.07</v>
      </c>
      <c r="BL105" s="542" t="n">
        <v>10.9</v>
      </c>
      <c r="BM105" s="494" t="n">
        <v>3.01</v>
      </c>
      <c r="BN105" s="494" t="n">
        <v>1.15</v>
      </c>
      <c r="BO105" s="494" t="n">
        <v>1.48</v>
      </c>
      <c r="BP105" s="495" t="n">
        <v>8.31</v>
      </c>
      <c r="BQ105" s="505" t="n">
        <v>1.69</v>
      </c>
      <c r="BR105" s="438" t="n">
        <v>0.417</v>
      </c>
      <c r="BS105" s="497" t="n">
        <v>3.72</v>
      </c>
      <c r="BT105" s="495" t="n">
        <v>3.55</v>
      </c>
      <c r="BU105" s="457" t="n"/>
      <c r="BV105" s="457" t="n"/>
      <c r="BW105" s="437" t="n"/>
      <c r="BX105" s="437" t="n"/>
      <c r="BY105" s="437" t="n"/>
      <c r="BZ105" s="437" t="n"/>
      <c r="CA105" s="437" t="n"/>
      <c r="CB105" s="437" t="n"/>
      <c r="CC105" s="437" t="n"/>
      <c r="CD105" s="437" t="n"/>
      <c r="CE105" s="437" t="n"/>
      <c r="CF105" s="437" t="n"/>
      <c r="CG105" s="437" t="n"/>
      <c r="CH105" s="437" t="n"/>
      <c r="CI105" s="437" t="n"/>
      <c r="CJ105" s="437" t="n"/>
      <c r="CK105" s="437" t="n"/>
      <c r="CL105" s="437" t="n"/>
      <c r="CM105" s="437" t="n"/>
      <c r="CN105" s="437" t="n"/>
      <c r="CO105" s="437" t="n"/>
      <c r="CP105" s="437" t="n"/>
      <c r="CQ105" s="437" t="n"/>
      <c r="CR105" s="437" t="n"/>
      <c r="CS105" s="437" t="n"/>
      <c r="CT105" s="437" t="n"/>
      <c r="CU105" s="437" t="n"/>
      <c r="CV105" s="437" t="n"/>
      <c r="CW105" s="437" t="n"/>
      <c r="CX105" s="437" t="n"/>
      <c r="CY105" s="437" t="n"/>
      <c r="CZ105" s="437" t="n"/>
      <c r="DA105" s="437" t="n"/>
      <c r="DB105" s="437" t="n"/>
      <c r="DC105" s="437" t="n"/>
      <c r="DD105" s="437" t="n"/>
      <c r="DE105" s="437" t="n"/>
      <c r="DF105" s="437" t="n"/>
      <c r="DG105" s="437" t="n"/>
      <c r="DH105" s="437" t="n"/>
      <c r="DI105" s="437" t="n"/>
      <c r="DJ105" s="437" t="n"/>
      <c r="DK105" s="437" t="n"/>
      <c r="DL105" s="437" t="n"/>
      <c r="DM105" s="437" t="n"/>
      <c r="DN105" s="437" t="n"/>
      <c r="DO105" s="437" t="n"/>
      <c r="DP105" s="437" t="n"/>
      <c r="DQ105" s="437" t="n"/>
      <c r="DR105" s="437" t="n"/>
      <c r="DS105" s="437" t="n"/>
      <c r="DT105" s="437" t="n"/>
      <c r="DU105" s="437" t="n"/>
      <c r="DV105" s="437" t="n"/>
      <c r="DW105" s="437" t="n"/>
      <c r="DX105" s="437" t="n"/>
      <c r="DY105" s="238" t="n"/>
      <c r="DZ105" s="23" t="n"/>
      <c r="FQ105" s="212" t="n"/>
      <c r="FR105" s="212" t="n"/>
      <c r="FS105" s="212" t="n"/>
      <c r="FT105" s="212" t="n"/>
      <c r="FU105" s="212" t="n"/>
      <c r="FV105" s="212" t="n"/>
      <c r="FW105" s="212" t="n"/>
      <c r="FX105" s="212" t="n"/>
      <c r="FY105" s="212" t="n"/>
      <c r="FZ105" s="212" t="n"/>
    </row>
    <row r="106" ht="39.95" customFormat="1" customHeight="1" s="5">
      <c r="A106" s="10" t="inlineStr">
        <is>
          <t>A</t>
        </is>
      </c>
      <c r="B106" s="6" t="n"/>
      <c r="C106" s="11" t="inlineStr">
        <is>
          <t>L</t>
        </is>
      </c>
      <c r="D106" s="563" t="n">
        <v>11.7</v>
      </c>
      <c r="E106" s="475" t="n">
        <v>2.36</v>
      </c>
      <c r="F106" s="507" t="n">
        <v>12.5</v>
      </c>
      <c r="G106" s="475" t="n">
        <v>2.78</v>
      </c>
      <c r="H106" s="476" t="n">
        <v>6.49</v>
      </c>
      <c r="I106" s="483" t="n">
        <v>2.51</v>
      </c>
      <c r="J106" s="478" t="n">
        <v>7.58</v>
      </c>
      <c r="K106" s="478" t="n">
        <v>3.91</v>
      </c>
      <c r="L106" s="475" t="n">
        <v>9.58</v>
      </c>
      <c r="M106" s="476" t="n">
        <v>2.91</v>
      </c>
      <c r="N106" s="477" t="n">
        <v>2.28</v>
      </c>
      <c r="O106" s="478" t="n">
        <v>4.46</v>
      </c>
      <c r="P106" s="478" t="n">
        <v>4.97</v>
      </c>
      <c r="Q106" s="478" t="n">
        <v>1.77</v>
      </c>
      <c r="R106" s="439" t="n">
        <v>0.264</v>
      </c>
      <c r="S106" s="477" t="n">
        <v>2.18</v>
      </c>
      <c r="T106" s="475" t="n">
        <v>1.95</v>
      </c>
      <c r="U106" s="478" t="n">
        <v>8.74</v>
      </c>
      <c r="V106" s="478" t="n">
        <v>3.53</v>
      </c>
      <c r="W106" s="560" t="n">
        <v>1.9</v>
      </c>
      <c r="X106" s="477" t="n">
        <v>5.82</v>
      </c>
      <c r="Y106" s="436" t="n">
        <v>0.133</v>
      </c>
      <c r="Z106" s="478" t="n">
        <v>1.57</v>
      </c>
      <c r="AA106" s="478" t="n">
        <v>2.42</v>
      </c>
      <c r="AB106" s="476" t="n">
        <v>3.97</v>
      </c>
      <c r="AC106" s="477" t="inlineStr">
        <is>
          <t>ND</t>
        </is>
      </c>
      <c r="AD106" s="478" t="n">
        <v>2.47</v>
      </c>
      <c r="AE106" s="478" t="n">
        <v>1.75</v>
      </c>
      <c r="AF106" s="530" t="n">
        <v>2</v>
      </c>
      <c r="AG106" s="476" t="n">
        <v>2.53</v>
      </c>
      <c r="AH106" s="477" t="n">
        <v>2.83</v>
      </c>
      <c r="AI106" s="478" t="n">
        <v>1.97</v>
      </c>
      <c r="AJ106" s="112" t="n">
        <v>0.313</v>
      </c>
      <c r="AK106" s="478" t="n">
        <v>5.97</v>
      </c>
      <c r="AL106" s="476" t="n">
        <v>1.19</v>
      </c>
      <c r="AM106" s="442" t="inlineStr">
        <is>
          <t>ND</t>
        </is>
      </c>
      <c r="AN106" s="478" t="n">
        <v>2.69</v>
      </c>
      <c r="AO106" s="475" t="n">
        <v>3.43</v>
      </c>
      <c r="AP106" s="436" t="inlineStr">
        <is>
          <t>ND</t>
        </is>
      </c>
      <c r="AQ106" s="439" t="inlineStr">
        <is>
          <t>ND</t>
        </is>
      </c>
      <c r="AR106" s="442" t="inlineStr">
        <is>
          <t>ND</t>
        </is>
      </c>
      <c r="AS106" s="436" t="n">
        <v>0.329</v>
      </c>
      <c r="AT106" s="436" t="n">
        <v>0.405</v>
      </c>
      <c r="AU106" s="436" t="n">
        <v>0.753</v>
      </c>
      <c r="AV106" s="560" t="n">
        <v>2.3</v>
      </c>
      <c r="AW106" s="442" t="n">
        <v>0.651</v>
      </c>
      <c r="AX106" s="481" t="n">
        <v>1.1</v>
      </c>
      <c r="AY106" s="436" t="n">
        <v>0.641</v>
      </c>
      <c r="AZ106" s="436" t="inlineStr">
        <is>
          <t>ND</t>
        </is>
      </c>
      <c r="BA106" s="439" t="inlineStr">
        <is>
          <t>ND</t>
        </is>
      </c>
      <c r="BB106" s="442" t="n">
        <v>0.472</v>
      </c>
      <c r="BC106" s="436" t="inlineStr">
        <is>
          <t>ND</t>
        </is>
      </c>
      <c r="BD106" s="436" t="inlineStr">
        <is>
          <t>ND</t>
        </is>
      </c>
      <c r="BE106" s="475" t="n">
        <v>1.62</v>
      </c>
      <c r="BF106" s="439" t="n">
        <v>0.796</v>
      </c>
      <c r="BG106" s="442" t="inlineStr">
        <is>
          <t>ND</t>
        </is>
      </c>
      <c r="BH106" s="436" t="inlineStr">
        <is>
          <t>ND</t>
        </is>
      </c>
      <c r="BI106" s="436" t="inlineStr">
        <is>
          <t>ND</t>
        </is>
      </c>
      <c r="BJ106" s="436" t="inlineStr">
        <is>
          <t>ND</t>
        </is>
      </c>
      <c r="BK106" s="439" t="inlineStr">
        <is>
          <t>ND</t>
        </is>
      </c>
      <c r="BL106" s="442" t="inlineStr">
        <is>
          <t>ND</t>
        </is>
      </c>
      <c r="BM106" s="436" t="inlineStr">
        <is>
          <t>ND</t>
        </is>
      </c>
      <c r="BN106" s="436" t="inlineStr">
        <is>
          <t>ND</t>
        </is>
      </c>
      <c r="BO106" s="436" t="inlineStr">
        <is>
          <t>ND</t>
        </is>
      </c>
      <c r="BP106" s="439" t="inlineStr">
        <is>
          <t>ND</t>
        </is>
      </c>
      <c r="BQ106" s="442" t="inlineStr">
        <is>
          <t>ND</t>
        </is>
      </c>
      <c r="BR106" s="436" t="inlineStr">
        <is>
          <t>ND</t>
        </is>
      </c>
      <c r="BS106" s="436" t="inlineStr">
        <is>
          <t>ND</t>
        </is>
      </c>
      <c r="BT106" s="439" t="inlineStr">
        <is>
          <t>ND</t>
        </is>
      </c>
      <c r="BU106" s="454">
        <f>IFERROR(AVERAGE(D106:BT108),0)</f>
        <v/>
      </c>
      <c r="BV106" s="454">
        <f>MAX(D106:BT108)</f>
        <v/>
      </c>
      <c r="BW106" s="437" t="n"/>
      <c r="BX106" s="437" t="n"/>
      <c r="BY106" s="437" t="n"/>
      <c r="BZ106" s="437" t="n"/>
      <c r="CA106" s="437" t="n"/>
      <c r="CB106" s="437" t="n"/>
      <c r="CC106" s="437" t="n"/>
      <c r="CD106" s="437" t="n"/>
      <c r="CE106" s="437" t="n"/>
      <c r="CF106" s="437" t="n"/>
      <c r="CG106" s="437" t="n"/>
      <c r="CH106" s="437" t="n"/>
      <c r="CI106" s="437" t="n"/>
      <c r="CJ106" s="437" t="n"/>
      <c r="CK106" s="437" t="n"/>
      <c r="CL106" s="437" t="n"/>
      <c r="CM106" s="437" t="n"/>
      <c r="CN106" s="437" t="n"/>
      <c r="CO106" s="437" t="n"/>
      <c r="CP106" s="437" t="n"/>
      <c r="CQ106" s="437" t="n"/>
      <c r="CR106" s="437" t="n"/>
      <c r="CS106" s="437" t="n"/>
      <c r="CT106" s="437" t="n"/>
      <c r="CU106" s="437" t="n"/>
      <c r="CV106" s="437" t="n"/>
      <c r="CW106" s="437" t="n"/>
      <c r="CX106" s="437" t="n"/>
      <c r="CY106" s="437" t="n"/>
      <c r="CZ106" s="437" t="n"/>
      <c r="DA106" s="437" t="n"/>
      <c r="DB106" s="437" t="n"/>
      <c r="DC106" s="437" t="n"/>
      <c r="DD106" s="437" t="n"/>
      <c r="DE106" s="437" t="n"/>
      <c r="DF106" s="437" t="n"/>
      <c r="DG106" s="437" t="n"/>
      <c r="DH106" s="437" t="n"/>
      <c r="DI106" s="437" t="n"/>
      <c r="DJ106" s="437" t="n"/>
      <c r="DK106" s="437" t="n"/>
      <c r="DL106" s="437" t="n"/>
      <c r="DM106" s="437" t="n"/>
      <c r="DN106" s="437" t="n"/>
      <c r="DO106" s="437" t="n"/>
      <c r="DP106" s="437" t="n"/>
      <c r="DQ106" s="437" t="n"/>
      <c r="DR106" s="437" t="n"/>
      <c r="DS106" s="437" t="n"/>
      <c r="DT106" s="437" t="n"/>
      <c r="DU106" s="437" t="n"/>
      <c r="DV106" s="437" t="n"/>
      <c r="DW106" s="437" t="n"/>
      <c r="DX106" s="437" t="n"/>
      <c r="DY106" s="238" t="n"/>
      <c r="DZ106" s="23" t="n"/>
      <c r="FQ106" s="212" t="n"/>
      <c r="FR106" s="212" t="n"/>
      <c r="FS106" s="212" t="n"/>
      <c r="FT106" s="212" t="n"/>
      <c r="FU106" s="212" t="n"/>
      <c r="FV106" s="212" t="n"/>
      <c r="FW106" s="212" t="n"/>
      <c r="FX106" s="212" t="n"/>
      <c r="FY106" s="212" t="n"/>
      <c r="FZ106" s="212" t="n"/>
    </row>
    <row r="107" ht="39.95" customFormat="1" customHeight="1" s="5">
      <c r="A107" s="182" t="inlineStr"/>
      <c r="B107" s="7" t="inlineStr">
        <is>
          <t>-81 IN</t>
        </is>
      </c>
      <c r="C107" s="11" t="inlineStr">
        <is>
          <t>C</t>
        </is>
      </c>
      <c r="D107" s="510" t="inlineStr">
        <is>
          <t>ND</t>
        </is>
      </c>
      <c r="E107" s="437" t="inlineStr">
        <is>
          <t>ND</t>
        </is>
      </c>
      <c r="F107" s="486" t="n">
        <v>1.84</v>
      </c>
      <c r="G107" s="437" t="inlineStr">
        <is>
          <t>ND</t>
        </is>
      </c>
      <c r="H107" s="120" t="n">
        <v>0.555</v>
      </c>
      <c r="I107" s="487" t="n">
        <v>4.05</v>
      </c>
      <c r="J107" s="486" t="n">
        <v>2.62</v>
      </c>
      <c r="K107" s="485" t="n">
        <v>4.08</v>
      </c>
      <c r="L107" s="485" t="n">
        <v>4.15</v>
      </c>
      <c r="M107" s="488" t="n">
        <v>1.69</v>
      </c>
      <c r="N107" s="132" t="n">
        <v>0.9330000000000001</v>
      </c>
      <c r="O107" s="485" t="n">
        <v>4.65</v>
      </c>
      <c r="P107" s="486" t="n">
        <v>4.04</v>
      </c>
      <c r="Q107" s="501" t="n">
        <v>1.6</v>
      </c>
      <c r="R107" s="488" t="n">
        <v>3.31</v>
      </c>
      <c r="S107" s="490" t="n">
        <v>1.94</v>
      </c>
      <c r="T107" s="437" t="inlineStr">
        <is>
          <t>ND</t>
        </is>
      </c>
      <c r="U107" s="485" t="n">
        <v>3.31</v>
      </c>
      <c r="V107" s="437" t="n">
        <v>0.956</v>
      </c>
      <c r="W107" s="489" t="n">
        <v>4.16</v>
      </c>
      <c r="X107" s="443" t="inlineStr">
        <is>
          <t>ND</t>
        </is>
      </c>
      <c r="Y107" s="437" t="n">
        <v>0.252</v>
      </c>
      <c r="Z107" s="485" t="n">
        <v>3.15</v>
      </c>
      <c r="AA107" s="437" t="inlineStr">
        <is>
          <t>ND</t>
        </is>
      </c>
      <c r="AB107" s="489" t="n">
        <v>1.76</v>
      </c>
      <c r="AC107" s="490" t="n">
        <v>1.52</v>
      </c>
      <c r="AD107" s="122" t="n">
        <v>0.744</v>
      </c>
      <c r="AE107" s="485" t="n">
        <v>2.01</v>
      </c>
      <c r="AF107" s="122" t="n">
        <v>0.001</v>
      </c>
      <c r="AG107" s="488" t="n">
        <v>2.86</v>
      </c>
      <c r="AH107" s="490" t="n">
        <v>2.94</v>
      </c>
      <c r="AI107" s="122" t="n">
        <v>0.231</v>
      </c>
      <c r="AJ107" s="485" t="n">
        <v>1.26</v>
      </c>
      <c r="AK107" s="485" t="n">
        <v>3.07</v>
      </c>
      <c r="AL107" s="488" t="n">
        <v>3.31</v>
      </c>
      <c r="AM107" s="487" t="n">
        <v>1.56</v>
      </c>
      <c r="AN107" s="486" t="n">
        <v>2.31</v>
      </c>
      <c r="AO107" s="122" t="n">
        <v>0.707</v>
      </c>
      <c r="AP107" s="437" t="inlineStr">
        <is>
          <t>ND</t>
        </is>
      </c>
      <c r="AQ107" s="440" t="inlineStr">
        <is>
          <t>ND</t>
        </is>
      </c>
      <c r="AR107" s="443" t="inlineStr">
        <is>
          <t>ND</t>
        </is>
      </c>
      <c r="AS107" s="437" t="inlineStr">
        <is>
          <t>ND</t>
        </is>
      </c>
      <c r="AT107" s="437" t="n">
        <v>0.548</v>
      </c>
      <c r="AU107" s="437" t="inlineStr">
        <is>
          <t>ND</t>
        </is>
      </c>
      <c r="AV107" s="489" t="n">
        <v>1.03</v>
      </c>
      <c r="AW107" s="443" t="inlineStr">
        <is>
          <t>ND</t>
        </is>
      </c>
      <c r="AX107" s="437" t="n">
        <v>0.206</v>
      </c>
      <c r="AY107" s="437" t="inlineStr">
        <is>
          <t>ND</t>
        </is>
      </c>
      <c r="AZ107" s="437" t="inlineStr">
        <is>
          <t>ND</t>
        </is>
      </c>
      <c r="BA107" s="440" t="n">
        <v>0.632</v>
      </c>
      <c r="BB107" s="443" t="inlineStr">
        <is>
          <t>ND</t>
        </is>
      </c>
      <c r="BC107" s="437" t="n">
        <v>0.741</v>
      </c>
      <c r="BD107" s="437" t="inlineStr">
        <is>
          <t>ND</t>
        </is>
      </c>
      <c r="BE107" s="486" t="n">
        <v>1.16</v>
      </c>
      <c r="BF107" s="440" t="n">
        <v>0.126</v>
      </c>
      <c r="BG107" s="443" t="n">
        <v>0.287</v>
      </c>
      <c r="BH107" s="437" t="inlineStr">
        <is>
          <t>ND</t>
        </is>
      </c>
      <c r="BI107" s="437" t="inlineStr">
        <is>
          <t>ND</t>
        </is>
      </c>
      <c r="BJ107" s="437" t="inlineStr">
        <is>
          <t>ND</t>
        </is>
      </c>
      <c r="BK107" s="440" t="inlineStr">
        <is>
          <t>ND</t>
        </is>
      </c>
      <c r="BL107" s="443" t="inlineStr">
        <is>
          <t>ND</t>
        </is>
      </c>
      <c r="BM107" s="437" t="inlineStr">
        <is>
          <t>ND</t>
        </is>
      </c>
      <c r="BN107" s="437" t="inlineStr">
        <is>
          <t>ND</t>
        </is>
      </c>
      <c r="BO107" s="437" t="inlineStr">
        <is>
          <t>ND</t>
        </is>
      </c>
      <c r="BP107" s="440" t="inlineStr">
        <is>
          <t>ND</t>
        </is>
      </c>
      <c r="BQ107" s="443" t="inlineStr">
        <is>
          <t>ND</t>
        </is>
      </c>
      <c r="BR107" s="437" t="inlineStr">
        <is>
          <t>ND</t>
        </is>
      </c>
      <c r="BS107" s="437" t="inlineStr">
        <is>
          <t>ND</t>
        </is>
      </c>
      <c r="BT107" s="440" t="inlineStr">
        <is>
          <t>ND</t>
        </is>
      </c>
      <c r="BU107" s="455" t="n"/>
      <c r="BV107" s="455" t="n"/>
      <c r="BW107" s="437" t="n"/>
      <c r="BX107" s="437" t="n"/>
      <c r="BY107" s="437" t="n"/>
      <c r="BZ107" s="437" t="n"/>
      <c r="CA107" s="437" t="n"/>
      <c r="CB107" s="437" t="n"/>
      <c r="CC107" s="437" t="n"/>
      <c r="CD107" s="437" t="n"/>
      <c r="CE107" s="437" t="n"/>
      <c r="CF107" s="437" t="n"/>
      <c r="CG107" s="437" t="n"/>
      <c r="CH107" s="437" t="n"/>
      <c r="CI107" s="437" t="n"/>
      <c r="CJ107" s="437" t="n"/>
      <c r="CK107" s="437" t="n"/>
      <c r="CL107" s="437" t="n"/>
      <c r="CM107" s="437" t="n"/>
      <c r="CN107" s="437" t="n"/>
      <c r="CO107" s="437" t="n"/>
      <c r="CP107" s="437" t="n"/>
      <c r="CQ107" s="437" t="n"/>
      <c r="CR107" s="437" t="n"/>
      <c r="CS107" s="437" t="n"/>
      <c r="CT107" s="437" t="n"/>
      <c r="CU107" s="437" t="n"/>
      <c r="CV107" s="437" t="n"/>
      <c r="CW107" s="437" t="n"/>
      <c r="CX107" s="437" t="n"/>
      <c r="CY107" s="437" t="n"/>
      <c r="CZ107" s="437" t="n"/>
      <c r="DA107" s="437" t="n"/>
      <c r="DB107" s="437" t="n"/>
      <c r="DC107" s="437" t="n"/>
      <c r="DD107" s="437" t="n"/>
      <c r="DE107" s="437" t="n"/>
      <c r="DF107" s="437" t="n"/>
      <c r="DG107" s="437" t="n"/>
      <c r="DH107" s="437" t="n"/>
      <c r="DI107" s="437" t="n"/>
      <c r="DJ107" s="437" t="n"/>
      <c r="DK107" s="437" t="n"/>
      <c r="DL107" s="437" t="n"/>
      <c r="DM107" s="437" t="n"/>
      <c r="DN107" s="437" t="n"/>
      <c r="DO107" s="437" t="n"/>
      <c r="DP107" s="437" t="n"/>
      <c r="DQ107" s="437" t="n"/>
      <c r="DR107" s="437" t="n"/>
      <c r="DS107" s="437" t="n"/>
      <c r="DT107" s="437" t="n"/>
      <c r="DU107" s="437" t="n"/>
      <c r="DV107" s="437" t="n"/>
      <c r="DW107" s="437" t="n"/>
      <c r="DX107" s="437" t="n"/>
      <c r="DY107" s="238" t="n"/>
      <c r="DZ107" s="23" t="n"/>
      <c r="FQ107" s="212" t="n"/>
      <c r="FR107" s="212" t="n"/>
      <c r="FS107" s="212" t="n"/>
      <c r="FT107" s="212" t="n"/>
      <c r="FU107" s="212" t="n"/>
      <c r="FV107" s="212" t="n"/>
      <c r="FW107" s="212" t="n"/>
      <c r="FX107" s="212" t="n"/>
      <c r="FY107" s="212" t="n"/>
      <c r="FZ107" s="212" t="n"/>
    </row>
    <row r="108" ht="39.95" customFormat="1" customHeight="1" s="5">
      <c r="A108" s="456" t="n"/>
      <c r="B108" s="8" t="n"/>
      <c r="C108" s="12" t="inlineStr">
        <is>
          <t>R</t>
        </is>
      </c>
      <c r="D108" s="435" t="inlineStr">
        <is>
          <t>ND</t>
        </is>
      </c>
      <c r="E108" s="438" t="inlineStr">
        <is>
          <t>ND</t>
        </is>
      </c>
      <c r="F108" s="497" t="n">
        <v>2.74</v>
      </c>
      <c r="G108" s="438" t="inlineStr">
        <is>
          <t>ND</t>
        </is>
      </c>
      <c r="H108" s="495" t="n">
        <v>1.16</v>
      </c>
      <c r="I108" s="496" t="n">
        <v>2.33</v>
      </c>
      <c r="J108" s="494" t="n">
        <v>5.11</v>
      </c>
      <c r="K108" s="494" t="n">
        <v>4.35</v>
      </c>
      <c r="L108" s="494" t="n">
        <v>4.35</v>
      </c>
      <c r="M108" s="441" t="n">
        <v>0.785</v>
      </c>
      <c r="N108" s="148" t="n">
        <v>0.707</v>
      </c>
      <c r="O108" s="438" t="inlineStr">
        <is>
          <t>ND</t>
        </is>
      </c>
      <c r="P108" s="125" t="n">
        <v>0.954</v>
      </c>
      <c r="Q108" s="497" t="n">
        <v>2.49</v>
      </c>
      <c r="R108" s="441" t="inlineStr">
        <is>
          <t>ND</t>
        </is>
      </c>
      <c r="S108" s="496" t="n">
        <v>1.94</v>
      </c>
      <c r="T108" s="497" t="n">
        <v>4.09</v>
      </c>
      <c r="U108" s="494" t="n">
        <v>3.99</v>
      </c>
      <c r="V108" s="494" t="n">
        <v>3.84</v>
      </c>
      <c r="W108" s="498" t="n">
        <v>3.93</v>
      </c>
      <c r="X108" s="178" t="n">
        <v>0.419</v>
      </c>
      <c r="Y108" s="494" t="n">
        <v>2.56</v>
      </c>
      <c r="Z108" s="494" t="n">
        <v>6.07</v>
      </c>
      <c r="AA108" s="494" t="n">
        <v>2.29</v>
      </c>
      <c r="AB108" s="441" t="n">
        <v>0.104</v>
      </c>
      <c r="AC108" s="444" t="inlineStr">
        <is>
          <t>ND</t>
        </is>
      </c>
      <c r="AD108" s="497" t="n">
        <v>1.71</v>
      </c>
      <c r="AE108" s="494" t="inlineStr">
        <is>
          <t>ND</t>
        </is>
      </c>
      <c r="AF108" s="125" t="n">
        <v>0.51</v>
      </c>
      <c r="AG108" s="151" t="n">
        <v>0.744</v>
      </c>
      <c r="AH108" s="496" t="n">
        <v>2.47</v>
      </c>
      <c r="AI108" s="438" t="inlineStr">
        <is>
          <t>ND</t>
        </is>
      </c>
      <c r="AJ108" s="125" t="n">
        <v>0.258</v>
      </c>
      <c r="AK108" s="494" t="n">
        <v>2.45</v>
      </c>
      <c r="AL108" s="495" t="n">
        <v>4.15</v>
      </c>
      <c r="AM108" s="444" t="n">
        <v>0.828</v>
      </c>
      <c r="AN108" s="438" t="inlineStr">
        <is>
          <t>ND</t>
        </is>
      </c>
      <c r="AO108" s="497" t="n">
        <v>2.76</v>
      </c>
      <c r="AP108" s="438" t="inlineStr">
        <is>
          <t>ND</t>
        </is>
      </c>
      <c r="AQ108" s="498" t="n">
        <v>2.61</v>
      </c>
      <c r="AR108" s="444" t="inlineStr">
        <is>
          <t>ND</t>
        </is>
      </c>
      <c r="AS108" s="438" t="inlineStr">
        <is>
          <t>ND</t>
        </is>
      </c>
      <c r="AT108" s="497" t="n">
        <v>3.54</v>
      </c>
      <c r="AU108" s="438" t="inlineStr">
        <is>
          <t>ND</t>
        </is>
      </c>
      <c r="AV108" s="441" t="n">
        <v>0.601</v>
      </c>
      <c r="AW108" s="444" t="inlineStr">
        <is>
          <t>ND</t>
        </is>
      </c>
      <c r="AX108" s="438" t="n">
        <v>0.844</v>
      </c>
      <c r="AY108" s="438" t="inlineStr">
        <is>
          <t>ND</t>
        </is>
      </c>
      <c r="AZ108" s="438" t="inlineStr">
        <is>
          <t>ND</t>
        </is>
      </c>
      <c r="BA108" s="498" t="n">
        <v>2.02</v>
      </c>
      <c r="BB108" s="505" t="n">
        <v>1.81</v>
      </c>
      <c r="BC108" s="438" t="inlineStr">
        <is>
          <t>ND</t>
        </is>
      </c>
      <c r="BD108" s="438" t="inlineStr">
        <is>
          <t>ND</t>
        </is>
      </c>
      <c r="BE108" s="438" t="inlineStr">
        <is>
          <t>ND</t>
        </is>
      </c>
      <c r="BF108" s="441" t="n">
        <v>0.115</v>
      </c>
      <c r="BG108" s="444" t="inlineStr">
        <is>
          <t>ND</t>
        </is>
      </c>
      <c r="BH108" s="438" t="inlineStr">
        <is>
          <t>ND</t>
        </is>
      </c>
      <c r="BI108" s="438" t="inlineStr">
        <is>
          <t>ND</t>
        </is>
      </c>
      <c r="BJ108" s="438" t="inlineStr">
        <is>
          <t>ND</t>
        </is>
      </c>
      <c r="BK108" s="441" t="inlineStr">
        <is>
          <t>ND</t>
        </is>
      </c>
      <c r="BL108" s="444" t="inlineStr">
        <is>
          <t>ND</t>
        </is>
      </c>
      <c r="BM108" s="438" t="inlineStr">
        <is>
          <t>ND</t>
        </is>
      </c>
      <c r="BN108" s="438" t="inlineStr">
        <is>
          <t>ND</t>
        </is>
      </c>
      <c r="BO108" s="438" t="inlineStr">
        <is>
          <t>ND</t>
        </is>
      </c>
      <c r="BP108" s="441" t="inlineStr">
        <is>
          <t>ND</t>
        </is>
      </c>
      <c r="BQ108" s="444" t="inlineStr">
        <is>
          <t>ND</t>
        </is>
      </c>
      <c r="BR108" s="438" t="inlineStr">
        <is>
          <t>ND</t>
        </is>
      </c>
      <c r="BS108" s="438" t="inlineStr">
        <is>
          <t>ND</t>
        </is>
      </c>
      <c r="BT108" s="441" t="inlineStr">
        <is>
          <t>ND</t>
        </is>
      </c>
      <c r="BU108" s="457" t="n"/>
      <c r="BV108" s="457" t="n"/>
      <c r="BW108" s="437" t="n"/>
      <c r="BX108" s="437" t="n"/>
      <c r="BY108" s="437" t="n"/>
      <c r="BZ108" s="437" t="n"/>
      <c r="CA108" s="437" t="n"/>
      <c r="CB108" s="437" t="n"/>
      <c r="CC108" s="437" t="n"/>
      <c r="CD108" s="437" t="n"/>
      <c r="CE108" s="437" t="n"/>
      <c r="CF108" s="437" t="n"/>
      <c r="CG108" s="437" t="n"/>
      <c r="CH108" s="437" t="n"/>
      <c r="CI108" s="437" t="n"/>
      <c r="CJ108" s="437" t="n"/>
      <c r="CK108" s="437" t="n"/>
      <c r="CL108" s="437" t="n"/>
      <c r="CM108" s="437" t="n"/>
      <c r="CN108" s="437" t="n"/>
      <c r="CO108" s="437" t="n"/>
      <c r="CP108" s="437" t="n"/>
      <c r="CQ108" s="437" t="n"/>
      <c r="CR108" s="437" t="n"/>
      <c r="CS108" s="437" t="n"/>
      <c r="CT108" s="437" t="n"/>
      <c r="CU108" s="437" t="n"/>
      <c r="CV108" s="437" t="n"/>
      <c r="CW108" s="437" t="n"/>
      <c r="CX108" s="437" t="n"/>
      <c r="CY108" s="437" t="n"/>
      <c r="CZ108" s="437" t="n"/>
      <c r="DA108" s="437" t="n"/>
      <c r="DB108" s="437" t="n"/>
      <c r="DC108" s="437" t="n"/>
      <c r="DD108" s="437" t="n"/>
      <c r="DE108" s="437" t="n"/>
      <c r="DF108" s="437" t="n"/>
      <c r="DG108" s="437" t="n"/>
      <c r="DH108" s="437" t="n"/>
      <c r="DI108" s="437" t="n"/>
      <c r="DJ108" s="437" t="n"/>
      <c r="DK108" s="437" t="n"/>
      <c r="DL108" s="437" t="n"/>
      <c r="DM108" s="437" t="n"/>
      <c r="DN108" s="437" t="n"/>
      <c r="DO108" s="437" t="n"/>
      <c r="DP108" s="437" t="n"/>
      <c r="DQ108" s="437" t="n"/>
      <c r="DR108" s="437" t="n"/>
      <c r="DS108" s="437" t="n"/>
      <c r="DT108" s="437" t="n"/>
      <c r="DU108" s="437" t="n"/>
      <c r="DV108" s="437" t="n"/>
      <c r="DW108" s="437" t="n"/>
      <c r="DX108" s="437" t="n"/>
      <c r="DY108" s="238" t="n"/>
      <c r="DZ108" s="23" t="n"/>
      <c r="FQ108" s="212" t="n"/>
      <c r="FR108" s="212" t="n"/>
      <c r="FS108" s="212" t="n"/>
      <c r="FT108" s="212" t="n"/>
      <c r="FU108" s="212" t="n"/>
      <c r="FV108" s="212" t="n"/>
      <c r="FW108" s="212" t="n"/>
      <c r="FX108" s="212" t="n"/>
      <c r="FY108" s="212" t="n"/>
      <c r="FZ108" s="212" t="n"/>
    </row>
    <row r="109" ht="39.95" customFormat="1" customHeight="1" s="5">
      <c r="A109" s="10" t="inlineStr">
        <is>
          <t>A</t>
        </is>
      </c>
      <c r="B109" s="6" t="n"/>
      <c r="C109" s="11" t="inlineStr">
        <is>
          <t>L</t>
        </is>
      </c>
      <c r="D109" s="518" t="n">
        <v>3.81</v>
      </c>
      <c r="E109" s="478" t="n">
        <v>2.81</v>
      </c>
      <c r="F109" s="478" t="n">
        <v>4.85</v>
      </c>
      <c r="G109" s="436" t="inlineStr">
        <is>
          <t>ND</t>
        </is>
      </c>
      <c r="H109" s="476" t="n">
        <v>3.99</v>
      </c>
      <c r="I109" s="483" t="n">
        <v>2.39</v>
      </c>
      <c r="J109" s="436" t="n">
        <v>0.929</v>
      </c>
      <c r="K109" s="478" t="n">
        <v>6.05</v>
      </c>
      <c r="L109" s="479" t="n">
        <v>2.3</v>
      </c>
      <c r="M109" s="439" t="inlineStr">
        <is>
          <t>ND</t>
        </is>
      </c>
      <c r="N109" s="115" t="n">
        <v>0.208</v>
      </c>
      <c r="O109" s="436" t="inlineStr">
        <is>
          <t>ND</t>
        </is>
      </c>
      <c r="P109" s="478" t="n">
        <v>4.07</v>
      </c>
      <c r="Q109" s="436" t="inlineStr">
        <is>
          <t>ND</t>
        </is>
      </c>
      <c r="R109" s="439" t="inlineStr">
        <is>
          <t>ND</t>
        </is>
      </c>
      <c r="S109" s="442" t="inlineStr">
        <is>
          <t>ND</t>
        </is>
      </c>
      <c r="T109" s="478" t="inlineStr">
        <is>
          <t>ND</t>
        </is>
      </c>
      <c r="U109" s="475" t="n">
        <v>3.54</v>
      </c>
      <c r="V109" s="564" t="inlineStr">
        <is>
          <t>ND</t>
        </is>
      </c>
      <c r="W109" s="439" t="inlineStr">
        <is>
          <t>ND</t>
        </is>
      </c>
      <c r="X109" s="483" t="n">
        <v>3.49</v>
      </c>
      <c r="Y109" s="436" t="n">
        <v>0.465</v>
      </c>
      <c r="Z109" s="436" t="inlineStr">
        <is>
          <t>ND</t>
        </is>
      </c>
      <c r="AA109" s="436" t="inlineStr">
        <is>
          <t>ND</t>
        </is>
      </c>
      <c r="AB109" s="480" t="n">
        <v>1.19</v>
      </c>
      <c r="AC109" s="565" t="n">
        <v>4</v>
      </c>
      <c r="AD109" s="436" t="inlineStr">
        <is>
          <t>ND</t>
        </is>
      </c>
      <c r="AE109" s="436" t="inlineStr">
        <is>
          <t>ND</t>
        </is>
      </c>
      <c r="AF109" s="436" t="inlineStr">
        <is>
          <t>ND</t>
        </is>
      </c>
      <c r="AG109" s="439" t="inlineStr">
        <is>
          <t>ND</t>
        </is>
      </c>
      <c r="AH109" s="442" t="inlineStr">
        <is>
          <t>ND</t>
        </is>
      </c>
      <c r="AI109" s="436" t="inlineStr">
        <is>
          <t>ND</t>
        </is>
      </c>
      <c r="AJ109" s="478" t="n">
        <v>2.91</v>
      </c>
      <c r="AK109" s="436" t="inlineStr">
        <is>
          <t>ND</t>
        </is>
      </c>
      <c r="AL109" s="439" t="inlineStr">
        <is>
          <t>ND</t>
        </is>
      </c>
      <c r="AM109" s="442" t="inlineStr">
        <is>
          <t>ND</t>
        </is>
      </c>
      <c r="AN109" s="436" t="inlineStr">
        <is>
          <t>ND</t>
        </is>
      </c>
      <c r="AO109" s="436" t="inlineStr">
        <is>
          <t>ND</t>
        </is>
      </c>
      <c r="AP109" s="436" t="inlineStr">
        <is>
          <t>ND</t>
        </is>
      </c>
      <c r="AQ109" s="439" t="inlineStr">
        <is>
          <t>ND</t>
        </is>
      </c>
      <c r="AR109" s="442" t="inlineStr">
        <is>
          <t>ND</t>
        </is>
      </c>
      <c r="AS109" s="436" t="inlineStr">
        <is>
          <t>ND</t>
        </is>
      </c>
      <c r="AT109" s="436" t="inlineStr">
        <is>
          <t>ND</t>
        </is>
      </c>
      <c r="AU109" s="436" t="inlineStr">
        <is>
          <t>ND</t>
        </is>
      </c>
      <c r="AV109" s="439" t="inlineStr">
        <is>
          <t>ND</t>
        </is>
      </c>
      <c r="AW109" s="442" t="inlineStr">
        <is>
          <t>ND</t>
        </is>
      </c>
      <c r="AX109" s="436" t="inlineStr">
        <is>
          <t>ND</t>
        </is>
      </c>
      <c r="AY109" s="436" t="inlineStr">
        <is>
          <t>ND</t>
        </is>
      </c>
      <c r="AZ109" s="436" t="inlineStr">
        <is>
          <t>ND</t>
        </is>
      </c>
      <c r="BA109" s="439" t="inlineStr">
        <is>
          <t>ND</t>
        </is>
      </c>
      <c r="BB109" s="442" t="inlineStr">
        <is>
          <t>ND</t>
        </is>
      </c>
      <c r="BC109" s="436" t="inlineStr">
        <is>
          <t>ND</t>
        </is>
      </c>
      <c r="BD109" s="436" t="inlineStr">
        <is>
          <t>ND</t>
        </is>
      </c>
      <c r="BE109" s="436" t="inlineStr">
        <is>
          <t>ND</t>
        </is>
      </c>
      <c r="BF109" s="439" t="inlineStr">
        <is>
          <t>ND</t>
        </is>
      </c>
      <c r="BG109" s="442" t="inlineStr">
        <is>
          <t>ND</t>
        </is>
      </c>
      <c r="BH109" s="436" t="inlineStr">
        <is>
          <t>ND</t>
        </is>
      </c>
      <c r="BI109" s="436" t="inlineStr">
        <is>
          <t>ND</t>
        </is>
      </c>
      <c r="BJ109" s="436" t="inlineStr">
        <is>
          <t>ND</t>
        </is>
      </c>
      <c r="BK109" s="439" t="inlineStr">
        <is>
          <t>ND</t>
        </is>
      </c>
      <c r="BL109" s="442" t="inlineStr">
        <is>
          <t>ND</t>
        </is>
      </c>
      <c r="BM109" s="436" t="inlineStr">
        <is>
          <t>ND</t>
        </is>
      </c>
      <c r="BN109" s="436" t="inlineStr">
        <is>
          <t>ND</t>
        </is>
      </c>
      <c r="BO109" s="436" t="inlineStr">
        <is>
          <t>ND</t>
        </is>
      </c>
      <c r="BP109" s="439" t="inlineStr">
        <is>
          <t>ND</t>
        </is>
      </c>
      <c r="BQ109" s="442" t="inlineStr">
        <is>
          <t>ND</t>
        </is>
      </c>
      <c r="BR109" s="436" t="inlineStr">
        <is>
          <t>ND</t>
        </is>
      </c>
      <c r="BS109" s="436" t="inlineStr">
        <is>
          <t>ND</t>
        </is>
      </c>
      <c r="BT109" s="439" t="inlineStr">
        <is>
          <t>ND</t>
        </is>
      </c>
      <c r="BU109" s="454">
        <f>IFERROR(AVERAGE(D109:BT111),0)</f>
        <v/>
      </c>
      <c r="BV109" s="454">
        <f>MAX(D109:BT111)</f>
        <v/>
      </c>
      <c r="BW109" s="437" t="n"/>
      <c r="BX109" s="437" t="n"/>
      <c r="BY109" s="437" t="n"/>
      <c r="BZ109" s="437" t="n"/>
      <c r="CA109" s="437" t="n"/>
      <c r="CB109" s="437" t="n"/>
      <c r="CC109" s="437" t="n"/>
      <c r="CD109" s="437" t="n"/>
      <c r="CE109" s="437" t="n"/>
      <c r="CF109" s="437" t="n"/>
      <c r="CG109" s="437" t="n"/>
      <c r="CH109" s="437" t="n"/>
      <c r="CI109" s="437" t="n"/>
      <c r="CJ109" s="437" t="n"/>
      <c r="CK109" s="437" t="n"/>
      <c r="CL109" s="437" t="n"/>
      <c r="CM109" s="437" t="n"/>
      <c r="CN109" s="437" t="n"/>
      <c r="CO109" s="437" t="n"/>
      <c r="CP109" s="437" t="n"/>
      <c r="CQ109" s="437" t="n"/>
      <c r="CR109" s="437" t="n"/>
      <c r="CS109" s="437" t="n"/>
      <c r="CT109" s="437" t="n"/>
      <c r="CU109" s="437" t="n"/>
      <c r="CV109" s="437" t="n"/>
      <c r="CW109" s="437" t="n"/>
      <c r="CX109" s="437" t="n"/>
      <c r="CY109" s="437" t="n"/>
      <c r="CZ109" s="437" t="n"/>
      <c r="DA109" s="437" t="n"/>
      <c r="DB109" s="437" t="n"/>
      <c r="DC109" s="437" t="n"/>
      <c r="DD109" s="437" t="n"/>
      <c r="DE109" s="437" t="n"/>
      <c r="DF109" s="437" t="n"/>
      <c r="DG109" s="437" t="n"/>
      <c r="DH109" s="437" t="n"/>
      <c r="DI109" s="437" t="n"/>
      <c r="DJ109" s="437" t="n"/>
      <c r="DK109" s="437" t="n"/>
      <c r="DL109" s="437" t="n"/>
      <c r="DM109" s="437" t="n"/>
      <c r="DN109" s="437" t="n"/>
      <c r="DO109" s="437" t="n"/>
      <c r="DP109" s="437" t="n"/>
      <c r="DQ109" s="437" t="n"/>
      <c r="DR109" s="437" t="n"/>
      <c r="DS109" s="437" t="n"/>
      <c r="DT109" s="437" t="n"/>
      <c r="DU109" s="437" t="n"/>
      <c r="DV109" s="437" t="n"/>
      <c r="DW109" s="437" t="n"/>
      <c r="DX109" s="437" t="n"/>
      <c r="DY109" s="238" t="n"/>
      <c r="DZ109" s="23" t="n"/>
      <c r="FQ109" s="212" t="n"/>
      <c r="FR109" s="212" t="n"/>
      <c r="FS109" s="212" t="n"/>
      <c r="FT109" s="212" t="n"/>
      <c r="FU109" s="212" t="n"/>
      <c r="FV109" s="212" t="n"/>
      <c r="FW109" s="212" t="n"/>
      <c r="FX109" s="212" t="n"/>
      <c r="FY109" s="212" t="n"/>
      <c r="FZ109" s="212" t="n"/>
    </row>
    <row r="110" ht="39.95" customFormat="1" customHeight="1" s="5">
      <c r="A110" s="182" t="inlineStr"/>
      <c r="B110" s="7" t="inlineStr">
        <is>
          <t>-90 IN</t>
        </is>
      </c>
      <c r="C110" s="11" t="inlineStr">
        <is>
          <t>C</t>
        </is>
      </c>
      <c r="D110" s="510" t="n">
        <v>7.47</v>
      </c>
      <c r="E110" s="485" t="n">
        <v>2.22</v>
      </c>
      <c r="F110" s="486" t="n">
        <v>1.13</v>
      </c>
      <c r="G110" s="437" t="inlineStr">
        <is>
          <t>ND</t>
        </is>
      </c>
      <c r="H110" s="488" t="n">
        <v>6.95</v>
      </c>
      <c r="I110" s="443" t="inlineStr">
        <is>
          <t>ND</t>
        </is>
      </c>
      <c r="J110" s="485" t="n">
        <v>2.33</v>
      </c>
      <c r="K110" s="485" t="n">
        <v>8.960000000000001</v>
      </c>
      <c r="L110" s="485" t="n">
        <v>2.87</v>
      </c>
      <c r="M110" s="440" t="n">
        <v>0.847</v>
      </c>
      <c r="N110" s="487" t="n">
        <v>1.56</v>
      </c>
      <c r="O110" s="437" t="inlineStr">
        <is>
          <t>ND</t>
        </is>
      </c>
      <c r="P110" s="502" t="n">
        <v>4.8</v>
      </c>
      <c r="Q110" s="437" t="inlineStr">
        <is>
          <t>ND</t>
        </is>
      </c>
      <c r="R110" s="440" t="inlineStr">
        <is>
          <t>ND</t>
        </is>
      </c>
      <c r="S110" s="443" t="inlineStr">
        <is>
          <t>ND</t>
        </is>
      </c>
      <c r="T110" s="437" t="inlineStr">
        <is>
          <t>ND</t>
        </is>
      </c>
      <c r="U110" s="437" t="inlineStr">
        <is>
          <t>ND</t>
        </is>
      </c>
      <c r="V110" s="437" t="inlineStr">
        <is>
          <t>ND</t>
        </is>
      </c>
      <c r="W110" s="489" t="n">
        <v>8.83</v>
      </c>
      <c r="X110" s="443" t="n">
        <v>0.169</v>
      </c>
      <c r="Y110" s="437" t="inlineStr">
        <is>
          <t>ND</t>
        </is>
      </c>
      <c r="Z110" s="485" t="inlineStr">
        <is>
          <t>ND</t>
        </is>
      </c>
      <c r="AA110" s="437" t="inlineStr">
        <is>
          <t>ND</t>
        </is>
      </c>
      <c r="AB110" s="440" t="inlineStr">
        <is>
          <t>ND</t>
        </is>
      </c>
      <c r="AC110" s="443" t="inlineStr">
        <is>
          <t>ND</t>
        </is>
      </c>
      <c r="AD110" s="437" t="inlineStr">
        <is>
          <t>ND</t>
        </is>
      </c>
      <c r="AE110" s="486" t="n">
        <v>5.97</v>
      </c>
      <c r="AF110" s="437" t="inlineStr">
        <is>
          <t>ND</t>
        </is>
      </c>
      <c r="AG110" s="488" t="inlineStr">
        <is>
          <t>ND</t>
        </is>
      </c>
      <c r="AH110" s="443" t="n">
        <v>0.105</v>
      </c>
      <c r="AI110" s="437" t="inlineStr">
        <is>
          <t>ND</t>
        </is>
      </c>
      <c r="AJ110" s="485" t="inlineStr">
        <is>
          <t>ND</t>
        </is>
      </c>
      <c r="AK110" s="437" t="inlineStr">
        <is>
          <t>ND</t>
        </is>
      </c>
      <c r="AL110" s="440" t="inlineStr">
        <is>
          <t>ND</t>
        </is>
      </c>
      <c r="AM110" s="443" t="inlineStr">
        <is>
          <t>ND</t>
        </is>
      </c>
      <c r="AN110" s="437" t="inlineStr">
        <is>
          <t>ND</t>
        </is>
      </c>
      <c r="AO110" s="437" t="inlineStr">
        <is>
          <t>ND</t>
        </is>
      </c>
      <c r="AP110" s="437" t="inlineStr">
        <is>
          <t>ND</t>
        </is>
      </c>
      <c r="AQ110" s="440" t="inlineStr">
        <is>
          <t>ND</t>
        </is>
      </c>
      <c r="AR110" s="443" t="inlineStr">
        <is>
          <t>ND</t>
        </is>
      </c>
      <c r="AS110" s="437" t="inlineStr">
        <is>
          <t>ND</t>
        </is>
      </c>
      <c r="AT110" s="437" t="inlineStr">
        <is>
          <t>ND</t>
        </is>
      </c>
      <c r="AU110" s="437" t="inlineStr">
        <is>
          <t>ND</t>
        </is>
      </c>
      <c r="AV110" s="440" t="inlineStr">
        <is>
          <t>ND</t>
        </is>
      </c>
      <c r="AW110" s="443" t="inlineStr">
        <is>
          <t>ND</t>
        </is>
      </c>
      <c r="AX110" s="437" t="inlineStr">
        <is>
          <t>ND</t>
        </is>
      </c>
      <c r="AY110" s="437" t="inlineStr">
        <is>
          <t>ND</t>
        </is>
      </c>
      <c r="AZ110" s="437" t="inlineStr">
        <is>
          <t>ND</t>
        </is>
      </c>
      <c r="BA110" s="440" t="inlineStr">
        <is>
          <t>ND</t>
        </is>
      </c>
      <c r="BB110" s="443" t="inlineStr">
        <is>
          <t>ND</t>
        </is>
      </c>
      <c r="BC110" s="437" t="inlineStr">
        <is>
          <t>ND</t>
        </is>
      </c>
      <c r="BD110" s="437" t="inlineStr">
        <is>
          <t>ND</t>
        </is>
      </c>
      <c r="BE110" s="437" t="inlineStr">
        <is>
          <t>ND</t>
        </is>
      </c>
      <c r="BF110" s="440" t="inlineStr">
        <is>
          <t>ND</t>
        </is>
      </c>
      <c r="BG110" s="443" t="inlineStr">
        <is>
          <t>ND</t>
        </is>
      </c>
      <c r="BH110" s="437" t="inlineStr">
        <is>
          <t>ND</t>
        </is>
      </c>
      <c r="BI110" s="437" t="inlineStr">
        <is>
          <t>ND</t>
        </is>
      </c>
      <c r="BJ110" s="437" t="inlineStr">
        <is>
          <t>ND</t>
        </is>
      </c>
      <c r="BK110" s="440" t="inlineStr">
        <is>
          <t>ND</t>
        </is>
      </c>
      <c r="BL110" s="443" t="inlineStr">
        <is>
          <t>ND</t>
        </is>
      </c>
      <c r="BM110" s="437" t="inlineStr">
        <is>
          <t>ND</t>
        </is>
      </c>
      <c r="BN110" s="437" t="inlineStr">
        <is>
          <t>ND</t>
        </is>
      </c>
      <c r="BO110" s="437" t="inlineStr">
        <is>
          <t>ND</t>
        </is>
      </c>
      <c r="BP110" s="440" t="inlineStr">
        <is>
          <t>ND</t>
        </is>
      </c>
      <c r="BQ110" s="443" t="inlineStr">
        <is>
          <t>ND</t>
        </is>
      </c>
      <c r="BR110" s="437" t="inlineStr">
        <is>
          <t>ND</t>
        </is>
      </c>
      <c r="BS110" s="437" t="inlineStr">
        <is>
          <t>ND</t>
        </is>
      </c>
      <c r="BT110" s="440" t="inlineStr">
        <is>
          <t>ND</t>
        </is>
      </c>
      <c r="BU110" s="455" t="n"/>
      <c r="BV110" s="455" t="n"/>
      <c r="BW110" s="437" t="n"/>
      <c r="BX110" s="437" t="n"/>
      <c r="BY110" s="437" t="n"/>
      <c r="BZ110" s="437" t="n"/>
      <c r="CA110" s="437" t="n"/>
      <c r="CB110" s="437" t="n"/>
      <c r="CC110" s="437" t="n"/>
      <c r="CD110" s="437" t="n"/>
      <c r="CE110" s="437" t="n"/>
      <c r="CF110" s="437" t="n"/>
      <c r="CG110" s="437" t="n"/>
      <c r="CH110" s="437" t="n"/>
      <c r="CI110" s="437" t="n"/>
      <c r="CJ110" s="437" t="n"/>
      <c r="CK110" s="437" t="n"/>
      <c r="CL110" s="437" t="n"/>
      <c r="CM110" s="437" t="n"/>
      <c r="CN110" s="437" t="n"/>
      <c r="CO110" s="437" t="n"/>
      <c r="CP110" s="437" t="n"/>
      <c r="CQ110" s="437" t="n"/>
      <c r="CR110" s="437" t="n"/>
      <c r="CS110" s="437" t="n"/>
      <c r="CT110" s="437" t="n"/>
      <c r="CU110" s="437" t="n"/>
      <c r="CV110" s="437" t="n"/>
      <c r="CW110" s="437" t="n"/>
      <c r="CX110" s="437" t="n"/>
      <c r="CY110" s="437" t="n"/>
      <c r="CZ110" s="437" t="n"/>
      <c r="DA110" s="437" t="n"/>
      <c r="DB110" s="437" t="n"/>
      <c r="DC110" s="437" t="n"/>
      <c r="DD110" s="437" t="n"/>
      <c r="DE110" s="437" t="n"/>
      <c r="DF110" s="437" t="n"/>
      <c r="DG110" s="437" t="n"/>
      <c r="DH110" s="437" t="n"/>
      <c r="DI110" s="437" t="n"/>
      <c r="DJ110" s="437" t="n"/>
      <c r="DK110" s="437" t="n"/>
      <c r="DL110" s="437" t="n"/>
      <c r="DM110" s="437" t="n"/>
      <c r="DN110" s="437" t="n"/>
      <c r="DO110" s="437" t="n"/>
      <c r="DP110" s="437" t="n"/>
      <c r="DQ110" s="437" t="n"/>
      <c r="DR110" s="437" t="n"/>
      <c r="DS110" s="437" t="n"/>
      <c r="DT110" s="437" t="n"/>
      <c r="DU110" s="437" t="n"/>
      <c r="DV110" s="437" t="n"/>
      <c r="DW110" s="437" t="n"/>
      <c r="DX110" s="437" t="n"/>
      <c r="DY110" s="238" t="n"/>
      <c r="DZ110" s="23" t="n"/>
      <c r="FQ110" s="212" t="n"/>
      <c r="FR110" s="212" t="n"/>
      <c r="FS110" s="212" t="n"/>
      <c r="FT110" s="212" t="n"/>
      <c r="FU110" s="212" t="n"/>
      <c r="FV110" s="212" t="n"/>
      <c r="FW110" s="212" t="n"/>
      <c r="FX110" s="212" t="n"/>
      <c r="FY110" s="212" t="n"/>
      <c r="FZ110" s="212" t="n"/>
    </row>
    <row r="111" ht="39.95" customFormat="1" customHeight="1" s="5">
      <c r="A111" s="456" t="n"/>
      <c r="B111" s="8" t="n"/>
      <c r="C111" s="12" t="inlineStr">
        <is>
          <t>R</t>
        </is>
      </c>
      <c r="D111" s="547" t="n">
        <v>2.57</v>
      </c>
      <c r="E111" s="438" t="inlineStr">
        <is>
          <t>ND</t>
        </is>
      </c>
      <c r="F111" s="497" t="n">
        <v>1.43</v>
      </c>
      <c r="G111" s="438" t="inlineStr">
        <is>
          <t>ND</t>
        </is>
      </c>
      <c r="H111" s="495" t="n">
        <v>5.68</v>
      </c>
      <c r="I111" s="496" t="n">
        <v>3.17</v>
      </c>
      <c r="J111" s="497" t="n">
        <v>1.04</v>
      </c>
      <c r="K111" s="494" t="n">
        <v>1.92</v>
      </c>
      <c r="L111" s="438" t="inlineStr">
        <is>
          <t>ND</t>
        </is>
      </c>
      <c r="M111" s="495" t="n">
        <v>1.66</v>
      </c>
      <c r="N111" s="496" t="n">
        <v>1.06</v>
      </c>
      <c r="O111" s="438" t="inlineStr">
        <is>
          <t>ND</t>
        </is>
      </c>
      <c r="P111" s="494" t="n">
        <v>5.25</v>
      </c>
      <c r="Q111" s="438" t="inlineStr">
        <is>
          <t>ND</t>
        </is>
      </c>
      <c r="R111" s="441" t="inlineStr">
        <is>
          <t>ND</t>
        </is>
      </c>
      <c r="S111" s="444" t="inlineStr">
        <is>
          <t>ND</t>
        </is>
      </c>
      <c r="T111" s="494" t="inlineStr">
        <is>
          <t>ND</t>
        </is>
      </c>
      <c r="U111" s="494" t="inlineStr">
        <is>
          <t>ND</t>
        </is>
      </c>
      <c r="V111" s="438" t="inlineStr">
        <is>
          <t>ND</t>
        </is>
      </c>
      <c r="W111" s="495" t="inlineStr">
        <is>
          <t>ND</t>
        </is>
      </c>
      <c r="X111" s="444" t="inlineStr">
        <is>
          <t>ND</t>
        </is>
      </c>
      <c r="Y111" s="438" t="inlineStr">
        <is>
          <t>ND</t>
        </is>
      </c>
      <c r="Z111" s="494" t="inlineStr">
        <is>
          <t>ND</t>
        </is>
      </c>
      <c r="AA111" s="493" t="inlineStr">
        <is>
          <t>ND</t>
        </is>
      </c>
      <c r="AB111" s="441" t="n">
        <v>0.307</v>
      </c>
      <c r="AC111" s="444" t="inlineStr">
        <is>
          <t>ND</t>
        </is>
      </c>
      <c r="AD111" s="438" t="inlineStr">
        <is>
          <t>ND</t>
        </is>
      </c>
      <c r="AE111" s="438" t="inlineStr">
        <is>
          <t>ND</t>
        </is>
      </c>
      <c r="AF111" s="438" t="inlineStr">
        <is>
          <t>ND</t>
        </is>
      </c>
      <c r="AG111" s="441" t="inlineStr">
        <is>
          <t>ND</t>
        </is>
      </c>
      <c r="AH111" s="444" t="inlineStr">
        <is>
          <t>ND</t>
        </is>
      </c>
      <c r="AI111" s="438" t="inlineStr">
        <is>
          <t>ND</t>
        </is>
      </c>
      <c r="AJ111" s="494" t="inlineStr">
        <is>
          <t>ND</t>
        </is>
      </c>
      <c r="AK111" s="396" t="inlineStr">
        <is>
          <t>ND</t>
        </is>
      </c>
      <c r="AL111" s="498" t="n">
        <v>1.12</v>
      </c>
      <c r="AM111" s="444" t="inlineStr">
        <is>
          <t>ND</t>
        </is>
      </c>
      <c r="AN111" s="438" t="inlineStr">
        <is>
          <t>ND</t>
        </is>
      </c>
      <c r="AO111" s="438" t="inlineStr">
        <is>
          <t>ND</t>
        </is>
      </c>
      <c r="AP111" s="438" t="inlineStr">
        <is>
          <t>ND</t>
        </is>
      </c>
      <c r="AQ111" s="441" t="inlineStr">
        <is>
          <t>ND</t>
        </is>
      </c>
      <c r="AR111" s="444" t="inlineStr">
        <is>
          <t>ND</t>
        </is>
      </c>
      <c r="AS111" s="438" t="inlineStr">
        <is>
          <t>ND</t>
        </is>
      </c>
      <c r="AT111" s="438" t="inlineStr">
        <is>
          <t>ND</t>
        </is>
      </c>
      <c r="AU111" s="438" t="inlineStr">
        <is>
          <t>ND</t>
        </is>
      </c>
      <c r="AV111" s="441" t="inlineStr">
        <is>
          <t>ND</t>
        </is>
      </c>
      <c r="AW111" s="444" t="inlineStr">
        <is>
          <t>ND</t>
        </is>
      </c>
      <c r="AX111" s="438" t="inlineStr">
        <is>
          <t>ND</t>
        </is>
      </c>
      <c r="AY111" s="438" t="inlineStr">
        <is>
          <t>ND</t>
        </is>
      </c>
      <c r="AZ111" s="438" t="inlineStr">
        <is>
          <t>ND</t>
        </is>
      </c>
      <c r="BA111" s="441" t="inlineStr">
        <is>
          <t>ND</t>
        </is>
      </c>
      <c r="BB111" s="444" t="inlineStr">
        <is>
          <t>ND</t>
        </is>
      </c>
      <c r="BC111" s="438" t="inlineStr">
        <is>
          <t>ND</t>
        </is>
      </c>
      <c r="BD111" s="438" t="inlineStr">
        <is>
          <t>ND</t>
        </is>
      </c>
      <c r="BE111" s="438" t="inlineStr">
        <is>
          <t>ND</t>
        </is>
      </c>
      <c r="BF111" s="441" t="inlineStr">
        <is>
          <t>ND</t>
        </is>
      </c>
      <c r="BG111" s="444" t="inlineStr">
        <is>
          <t>ND</t>
        </is>
      </c>
      <c r="BH111" s="438" t="inlineStr">
        <is>
          <t>ND</t>
        </is>
      </c>
      <c r="BI111" s="438" t="inlineStr">
        <is>
          <t>ND</t>
        </is>
      </c>
      <c r="BJ111" s="438" t="inlineStr">
        <is>
          <t>ND</t>
        </is>
      </c>
      <c r="BK111" s="441" t="inlineStr">
        <is>
          <t>ND</t>
        </is>
      </c>
      <c r="BL111" s="444" t="inlineStr">
        <is>
          <t>ND</t>
        </is>
      </c>
      <c r="BM111" s="438" t="inlineStr">
        <is>
          <t>ND</t>
        </is>
      </c>
      <c r="BN111" s="438" t="inlineStr">
        <is>
          <t>ND</t>
        </is>
      </c>
      <c r="BO111" s="438" t="inlineStr">
        <is>
          <t>ND</t>
        </is>
      </c>
      <c r="BP111" s="441" t="inlineStr">
        <is>
          <t>ND</t>
        </is>
      </c>
      <c r="BQ111" s="444" t="inlineStr">
        <is>
          <t>ND</t>
        </is>
      </c>
      <c r="BR111" s="438" t="inlineStr">
        <is>
          <t>ND</t>
        </is>
      </c>
      <c r="BS111" s="438" t="inlineStr">
        <is>
          <t>ND</t>
        </is>
      </c>
      <c r="BT111" s="441" t="inlineStr">
        <is>
          <t>ND</t>
        </is>
      </c>
      <c r="BU111" s="457" t="n"/>
      <c r="BV111" s="457" t="n"/>
      <c r="BW111" s="437" t="n"/>
      <c r="BX111" s="437" t="n"/>
      <c r="BY111" s="437" t="n"/>
      <c r="BZ111" s="437" t="n"/>
      <c r="CA111" s="437" t="n"/>
      <c r="CB111" s="437" t="n"/>
      <c r="CC111" s="437" t="n"/>
      <c r="CD111" s="437" t="n"/>
      <c r="CE111" s="437" t="n"/>
      <c r="CF111" s="437" t="n"/>
      <c r="CG111" s="437" t="n"/>
      <c r="CH111" s="437" t="n"/>
      <c r="CI111" s="437" t="n"/>
      <c r="CJ111" s="437" t="n"/>
      <c r="CK111" s="437" t="n"/>
      <c r="CL111" s="437" t="n"/>
      <c r="CM111" s="437" t="n"/>
      <c r="CN111" s="437" t="n"/>
      <c r="CO111" s="437" t="n"/>
      <c r="CP111" s="437" t="n"/>
      <c r="CQ111" s="437" t="n"/>
      <c r="CR111" s="437" t="n"/>
      <c r="CS111" s="437" t="n"/>
      <c r="CT111" s="437" t="n"/>
      <c r="CU111" s="437" t="n"/>
      <c r="CV111" s="437" t="n"/>
      <c r="CW111" s="437" t="n"/>
      <c r="CX111" s="437" t="n"/>
      <c r="CY111" s="437" t="n"/>
      <c r="CZ111" s="437" t="n"/>
      <c r="DA111" s="437" t="n"/>
      <c r="DB111" s="437" t="n"/>
      <c r="DC111" s="437" t="n"/>
      <c r="DD111" s="437" t="n"/>
      <c r="DE111" s="437" t="n"/>
      <c r="DF111" s="437" t="n"/>
      <c r="DG111" s="437" t="n"/>
      <c r="DH111" s="437" t="n"/>
      <c r="DI111" s="437" t="n"/>
      <c r="DJ111" s="437" t="n"/>
      <c r="DK111" s="437" t="n"/>
      <c r="DL111" s="437" t="n"/>
      <c r="DM111" s="437" t="n"/>
      <c r="DN111" s="437" t="n"/>
      <c r="DO111" s="437" t="n"/>
      <c r="DP111" s="437" t="n"/>
      <c r="DQ111" s="437" t="n"/>
      <c r="DR111" s="437" t="n"/>
      <c r="DS111" s="437" t="n"/>
      <c r="DT111" s="437" t="n"/>
      <c r="DU111" s="437" t="n"/>
      <c r="DV111" s="437" t="n"/>
      <c r="DW111" s="437" t="n"/>
      <c r="DX111" s="437" t="n"/>
      <c r="DY111" s="238" t="n"/>
      <c r="DZ111" s="23" t="n"/>
      <c r="FQ111" s="212" t="n"/>
      <c r="FR111" s="212" t="n"/>
      <c r="FS111" s="212" t="n"/>
      <c r="FT111" s="212" t="n"/>
      <c r="FU111" s="212" t="n"/>
      <c r="FV111" s="212" t="n"/>
      <c r="FW111" s="212" t="n"/>
      <c r="FX111" s="212" t="n"/>
      <c r="FY111" s="212" t="n"/>
      <c r="FZ111" s="212" t="n"/>
    </row>
    <row r="112" ht="36" customFormat="1" customHeight="1" s="5">
      <c r="A112" s="453" t="inlineStr">
        <is>
          <t>ELEVATION</t>
        </is>
      </c>
      <c r="B112" s="449" t="n"/>
      <c r="C112" s="18" t="inlineStr">
        <is>
          <t>LOC</t>
        </is>
      </c>
      <c r="D112" s="95" t="n">
        <v>1</v>
      </c>
      <c r="E112" s="96" t="n">
        <v>2</v>
      </c>
      <c r="F112" s="96" t="n">
        <v>3</v>
      </c>
      <c r="G112" s="96" t="n">
        <v>4</v>
      </c>
      <c r="H112" s="96" t="n">
        <v>5</v>
      </c>
      <c r="I112" s="96" t="n">
        <v>6</v>
      </c>
      <c r="J112" s="96" t="n">
        <v>7</v>
      </c>
      <c r="K112" s="96" t="n">
        <v>8</v>
      </c>
      <c r="L112" s="96" t="n">
        <v>9</v>
      </c>
      <c r="M112" s="96" t="n">
        <v>10</v>
      </c>
      <c r="N112" s="96" t="n">
        <v>11</v>
      </c>
      <c r="O112" s="96" t="n">
        <v>12</v>
      </c>
      <c r="P112" s="96" t="n">
        <v>13</v>
      </c>
      <c r="Q112" s="96" t="n">
        <v>14</v>
      </c>
      <c r="R112" s="96" t="n">
        <v>15</v>
      </c>
      <c r="S112" s="96" t="n">
        <v>16</v>
      </c>
      <c r="T112" s="96" t="n">
        <v>17</v>
      </c>
      <c r="U112" s="96" t="n">
        <v>18</v>
      </c>
      <c r="V112" s="96" t="n">
        <v>19</v>
      </c>
      <c r="W112" s="96" t="n">
        <v>20</v>
      </c>
      <c r="X112" s="96" t="n">
        <v>21</v>
      </c>
      <c r="Y112" s="96" t="n">
        <v>22</v>
      </c>
      <c r="Z112" s="96" t="n">
        <v>23</v>
      </c>
      <c r="AA112" s="96" t="n">
        <v>24</v>
      </c>
      <c r="AB112" s="96" t="n">
        <v>25</v>
      </c>
      <c r="AC112" s="96" t="n">
        <v>26</v>
      </c>
      <c r="AD112" s="96" t="n">
        <v>27</v>
      </c>
      <c r="AE112" s="96" t="n">
        <v>28</v>
      </c>
      <c r="AF112" s="96" t="n">
        <v>29</v>
      </c>
      <c r="AG112" s="96" t="n">
        <v>30</v>
      </c>
      <c r="AH112" s="96" t="n">
        <v>31</v>
      </c>
      <c r="AI112" s="96" t="n">
        <v>32</v>
      </c>
      <c r="AJ112" s="96" t="n">
        <v>33</v>
      </c>
      <c r="AK112" s="96" t="n">
        <v>34</v>
      </c>
      <c r="AL112" s="96" t="n">
        <v>35</v>
      </c>
      <c r="AM112" s="96" t="n">
        <v>36</v>
      </c>
      <c r="AN112" s="96" t="n">
        <v>37</v>
      </c>
      <c r="AO112" s="96" t="n">
        <v>38</v>
      </c>
      <c r="AP112" s="96" t="n">
        <v>39</v>
      </c>
      <c r="AQ112" s="96" t="n">
        <v>40</v>
      </c>
      <c r="AR112" s="96" t="n">
        <v>41</v>
      </c>
      <c r="AS112" s="96" t="n">
        <v>42</v>
      </c>
      <c r="AT112" s="96" t="n">
        <v>43</v>
      </c>
      <c r="AU112" s="96" t="n">
        <v>44</v>
      </c>
      <c r="AV112" s="96" t="n">
        <v>45</v>
      </c>
      <c r="AW112" s="96" t="n">
        <v>46</v>
      </c>
      <c r="AX112" s="96" t="n">
        <v>47</v>
      </c>
      <c r="AY112" s="96" t="n">
        <v>48</v>
      </c>
      <c r="AZ112" s="96" t="n">
        <v>49</v>
      </c>
      <c r="BA112" s="96" t="n">
        <v>50</v>
      </c>
      <c r="BB112" s="96" t="n">
        <v>51</v>
      </c>
      <c r="BC112" s="96" t="n">
        <v>52</v>
      </c>
      <c r="BD112" s="96" t="n">
        <v>53</v>
      </c>
      <c r="BE112" s="96" t="n">
        <v>54</v>
      </c>
      <c r="BF112" s="96" t="n">
        <v>55</v>
      </c>
      <c r="BG112" s="96" t="n">
        <v>56</v>
      </c>
      <c r="BH112" s="96" t="n">
        <v>57</v>
      </c>
      <c r="BI112" s="96" t="n">
        <v>58</v>
      </c>
      <c r="BJ112" s="96" t="n">
        <v>59</v>
      </c>
      <c r="BK112" s="96" t="n">
        <v>60</v>
      </c>
      <c r="BL112" s="96" t="n">
        <v>61</v>
      </c>
      <c r="BM112" s="96" t="n">
        <v>62</v>
      </c>
      <c r="BN112" s="96" t="n">
        <v>63</v>
      </c>
      <c r="BO112" s="96" t="n">
        <v>64</v>
      </c>
      <c r="BP112" s="96" t="n">
        <v>65</v>
      </c>
      <c r="BQ112" s="96" t="n">
        <v>66</v>
      </c>
      <c r="BR112" s="96" t="n">
        <v>67</v>
      </c>
      <c r="BS112" s="96" t="n">
        <v>68</v>
      </c>
      <c r="BT112" s="97" t="n">
        <v>69</v>
      </c>
      <c r="BU112" s="29" t="inlineStr">
        <is>
          <t>AVG</t>
        </is>
      </c>
      <c r="BV112" s="30" t="inlineStr">
        <is>
          <t>MAX</t>
        </is>
      </c>
      <c r="BW112" s="238" t="n"/>
      <c r="BX112" s="238" t="n"/>
      <c r="BY112" s="238" t="n"/>
      <c r="BZ112" s="238" t="n"/>
      <c r="CA112" s="238" t="n"/>
      <c r="CB112" s="238" t="n"/>
      <c r="CC112" s="238" t="n"/>
      <c r="CD112" s="238" t="n"/>
      <c r="CE112" s="238" t="n"/>
      <c r="CF112" s="238" t="n"/>
      <c r="CG112" s="238" t="n"/>
      <c r="CH112" s="238" t="n"/>
      <c r="CI112" s="238" t="n"/>
      <c r="CJ112" s="238" t="n"/>
      <c r="CK112" s="238" t="n"/>
      <c r="CL112" s="238" t="n"/>
      <c r="CM112" s="238" t="n"/>
      <c r="CN112" s="238" t="n"/>
      <c r="CO112" s="238" t="n"/>
      <c r="CP112" s="238" t="n"/>
      <c r="CQ112" s="238" t="n"/>
      <c r="CR112" s="238" t="n"/>
      <c r="CS112" s="238" t="n"/>
      <c r="CT112" s="238" t="n"/>
      <c r="CU112" s="238" t="n"/>
      <c r="CV112" s="238" t="n"/>
      <c r="CW112" s="238" t="n"/>
      <c r="CX112" s="238" t="n"/>
      <c r="CY112" s="238" t="n"/>
      <c r="CZ112" s="238" t="n"/>
      <c r="DA112" s="238" t="n"/>
      <c r="DB112" s="238" t="n"/>
      <c r="DC112" s="238" t="n"/>
      <c r="DD112" s="238" t="n"/>
      <c r="DE112" s="238" t="n"/>
      <c r="DF112" s="238" t="n"/>
      <c r="DG112" s="238" t="n"/>
      <c r="DH112" s="238" t="n"/>
      <c r="DI112" s="238" t="n"/>
      <c r="DJ112" s="238" t="n"/>
      <c r="DK112" s="238" t="n"/>
      <c r="DL112" s="238" t="n"/>
      <c r="DM112" s="238" t="n"/>
      <c r="DN112" s="238" t="n"/>
      <c r="DO112" s="238" t="n"/>
      <c r="DP112" s="238" t="n"/>
      <c r="DQ112" s="238" t="n"/>
      <c r="DR112" s="238" t="n"/>
      <c r="DS112" s="238" t="n"/>
      <c r="DT112" s="238" t="n"/>
      <c r="DU112" s="238" t="n"/>
      <c r="DV112" s="238" t="n"/>
      <c r="DW112" s="238" t="n"/>
      <c r="DX112" s="238" t="n"/>
      <c r="DY112" s="238" t="n"/>
      <c r="DZ112" s="23" t="n"/>
      <c r="FQ112" s="212" t="n"/>
      <c r="FR112" s="212" t="n"/>
      <c r="FS112" s="212" t="n"/>
      <c r="FT112" s="212" t="n"/>
      <c r="FU112" s="212" t="n"/>
      <c r="FV112" s="212" t="n"/>
      <c r="FW112" s="212" t="n"/>
      <c r="FX112" s="212" t="n"/>
      <c r="FY112" s="212" t="n"/>
      <c r="FZ112" s="212" t="n"/>
    </row>
    <row r="113" hidden="1" ht="36" customFormat="1" customHeight="1" s="5">
      <c r="A113" s="13" t="n"/>
      <c r="C113" s="238" t="n"/>
      <c r="D113" s="238" t="n"/>
      <c r="E113" s="238" t="n"/>
      <c r="F113" s="238" t="n"/>
      <c r="G113" s="238" t="n"/>
      <c r="H113" s="238" t="n"/>
      <c r="I113" s="238" t="n"/>
      <c r="J113" s="238" t="n"/>
      <c r="K113" s="238" t="n"/>
      <c r="L113" s="238" t="n"/>
      <c r="M113" s="238" t="n"/>
      <c r="N113" s="238" t="n"/>
      <c r="O113" s="238" t="n"/>
      <c r="P113" s="238" t="n"/>
      <c r="Q113" s="238" t="n"/>
      <c r="R113" s="238" t="n"/>
      <c r="S113" s="238" t="n"/>
      <c r="T113" s="238" t="n"/>
      <c r="U113" s="238" t="n"/>
      <c r="V113" s="238" t="n"/>
      <c r="W113" s="238" t="n"/>
      <c r="X113" s="238" t="n"/>
      <c r="Y113" s="238" t="n"/>
      <c r="Z113" s="238" t="n"/>
      <c r="AA113" s="238" t="n"/>
      <c r="AB113" s="238" t="n"/>
      <c r="AC113" s="238" t="n"/>
      <c r="AD113" s="238" t="n"/>
      <c r="AE113" s="238" t="n"/>
      <c r="AF113" s="238" t="n"/>
      <c r="AG113" s="238" t="n"/>
      <c r="AH113" s="238" t="n"/>
      <c r="AI113" s="238" t="n"/>
      <c r="AJ113" s="238" t="n"/>
      <c r="AK113" s="238" t="n"/>
      <c r="AL113" s="238" t="n"/>
      <c r="AM113" s="238" t="n"/>
      <c r="AN113" s="238" t="n"/>
      <c r="AO113" s="238" t="n"/>
      <c r="AP113" s="238" t="n"/>
      <c r="AQ113" s="238" t="n"/>
      <c r="AR113" s="238" t="n"/>
      <c r="AS113" s="238" t="n"/>
      <c r="AT113" s="238" t="n"/>
      <c r="AU113" s="238" t="n"/>
      <c r="AV113" s="238" t="n"/>
      <c r="AW113" s="238" t="n"/>
      <c r="AX113" s="238" t="n"/>
      <c r="AY113" s="238" t="n"/>
      <c r="AZ113" s="238" t="n"/>
      <c r="BA113" s="238" t="n"/>
      <c r="BB113" s="238" t="n"/>
      <c r="BC113" s="238" t="n"/>
      <c r="BD113" s="238" t="n"/>
      <c r="BE113" s="238" t="n"/>
      <c r="BF113" s="238" t="n"/>
      <c r="BG113" s="238" t="n"/>
      <c r="BH113" s="238" t="n"/>
      <c r="BI113" s="238" t="n"/>
      <c r="BJ113" s="238" t="n"/>
      <c r="BK113" s="238" t="n"/>
      <c r="BL113" s="238" t="n"/>
      <c r="BM113" s="238" t="n"/>
      <c r="BN113" s="238" t="n"/>
      <c r="BO113" s="238" t="n"/>
      <c r="BP113" s="238" t="n"/>
      <c r="BQ113" s="238" t="n"/>
      <c r="BR113" s="238" t="n"/>
      <c r="BS113" s="238" t="n"/>
      <c r="BT113" s="238" t="n"/>
      <c r="BU113" s="238" t="n"/>
      <c r="BV113" s="238" t="n"/>
      <c r="BW113" s="238" t="n"/>
      <c r="BX113" s="238" t="n"/>
      <c r="BY113" s="238" t="n"/>
      <c r="BZ113" s="238" t="n"/>
      <c r="CA113" s="238" t="n"/>
      <c r="CB113" s="238" t="n"/>
      <c r="CC113" s="238" t="n"/>
      <c r="CD113" s="238" t="n"/>
      <c r="CE113" s="238" t="n"/>
      <c r="CF113" s="238" t="n"/>
      <c r="CG113" s="238" t="n"/>
      <c r="CH113" s="238" t="n"/>
      <c r="CI113" s="238" t="n"/>
      <c r="CJ113" s="238" t="n"/>
      <c r="CK113" s="238" t="n"/>
      <c r="CL113" s="238" t="n"/>
      <c r="CM113" s="238" t="n"/>
      <c r="CN113" s="238" t="n"/>
      <c r="CO113" s="238" t="n"/>
      <c r="CP113" s="238" t="n"/>
      <c r="CQ113" s="238" t="n"/>
      <c r="CR113" s="238" t="n"/>
      <c r="CS113" s="238" t="n"/>
      <c r="CT113" s="238" t="n"/>
      <c r="CU113" s="238" t="n"/>
      <c r="CV113" s="238" t="n"/>
      <c r="CW113" s="238" t="n"/>
      <c r="CX113" s="238" t="n"/>
      <c r="CY113" s="238" t="n"/>
      <c r="CZ113" s="238" t="n"/>
      <c r="DA113" s="238" t="n"/>
      <c r="DB113" s="238" t="n"/>
      <c r="DC113" s="238" t="n"/>
      <c r="DD113" s="238" t="n"/>
      <c r="DE113" s="238" t="n"/>
      <c r="DF113" s="238" t="n"/>
      <c r="DG113" s="238" t="n"/>
      <c r="DH113" s="238" t="n"/>
      <c r="DI113" s="238" t="n"/>
      <c r="DJ113" s="238" t="n"/>
      <c r="DK113" s="238" t="n"/>
      <c r="DL113" s="238" t="n"/>
      <c r="DM113" s="238" t="n"/>
      <c r="DN113" s="238" t="n"/>
      <c r="DO113" s="238" t="n"/>
      <c r="DP113" s="238" t="n"/>
      <c r="DQ113" s="238" t="n"/>
      <c r="DR113" s="238" t="n"/>
      <c r="DS113" s="238" t="n"/>
      <c r="DT113" s="238" t="n"/>
      <c r="DU113" s="238" t="n"/>
      <c r="DV113" s="238" t="n"/>
      <c r="DW113" s="238" t="n"/>
      <c r="DX113" s="238" t="n"/>
      <c r="DY113" s="238" t="n"/>
      <c r="DZ113" s="23" t="n"/>
      <c r="FQ113" s="212" t="n"/>
      <c r="FR113" s="212" t="n"/>
      <c r="FS113" s="212" t="n"/>
      <c r="FT113" s="212" t="n"/>
      <c r="FU113" s="212" t="n"/>
      <c r="FV113" s="212" t="n"/>
      <c r="FW113" s="212" t="n"/>
      <c r="FX113" s="212" t="n"/>
      <c r="FY113" s="212" t="n"/>
      <c r="FZ113" s="212" t="n"/>
    </row>
    <row r="114" hidden="1" ht="36" customFormat="1" customHeight="1" s="5">
      <c r="A114" s="13" t="n"/>
      <c r="C114" s="238" t="n"/>
      <c r="D114" s="238" t="n"/>
      <c r="E114" s="238" t="n"/>
      <c r="F114" s="238" t="n"/>
      <c r="G114" s="238" t="n"/>
      <c r="H114" s="238" t="n"/>
      <c r="I114" s="238" t="n"/>
      <c r="J114" s="238" t="n"/>
      <c r="K114" s="238" t="n"/>
      <c r="L114" s="238" t="n"/>
      <c r="M114" s="238" t="n"/>
      <c r="N114" s="238" t="n"/>
      <c r="O114" s="238" t="n"/>
      <c r="P114" s="238" t="n"/>
      <c r="Q114" s="238" t="n"/>
      <c r="R114" s="238" t="n"/>
      <c r="S114" s="238" t="n"/>
      <c r="T114" s="238" t="n"/>
      <c r="U114" s="238" t="n"/>
      <c r="V114" s="238" t="n"/>
      <c r="W114" s="238" t="n"/>
      <c r="X114" s="238" t="n"/>
      <c r="Y114" s="238" t="n"/>
      <c r="Z114" s="238" t="n"/>
      <c r="AA114" s="238" t="n"/>
      <c r="AB114" s="238" t="n"/>
      <c r="AC114" s="238" t="n"/>
      <c r="AD114" s="238" t="n"/>
      <c r="AE114" s="238" t="n"/>
      <c r="AF114" s="238" t="n"/>
      <c r="AG114" s="238" t="n"/>
      <c r="AH114" s="238" t="n"/>
      <c r="AI114" s="238" t="n"/>
      <c r="AJ114" s="238" t="n"/>
      <c r="AK114" s="238" t="n"/>
      <c r="AL114" s="238" t="n"/>
      <c r="AM114" s="238" t="n"/>
      <c r="AN114" s="238" t="n"/>
      <c r="AO114" s="238" t="n"/>
      <c r="AP114" s="238" t="n"/>
      <c r="AQ114" s="238" t="n"/>
      <c r="AR114" s="238" t="n"/>
      <c r="AS114" s="238" t="n"/>
      <c r="AT114" s="238" t="n"/>
      <c r="AU114" s="238" t="n"/>
      <c r="AV114" s="238" t="n"/>
      <c r="AW114" s="238" t="n"/>
      <c r="AX114" s="238" t="n"/>
      <c r="AY114" s="238" t="n"/>
      <c r="AZ114" s="238" t="n"/>
      <c r="BA114" s="238" t="n"/>
      <c r="BB114" s="238" t="n"/>
      <c r="BC114" s="238" t="n"/>
      <c r="BD114" s="238" t="n"/>
      <c r="BE114" s="238" t="n"/>
      <c r="BF114" s="238" t="n"/>
      <c r="BG114" s="238" t="n"/>
      <c r="BH114" s="238" t="n"/>
      <c r="BI114" s="238" t="n"/>
      <c r="BJ114" s="238" t="n"/>
      <c r="BK114" s="238" t="n"/>
      <c r="BL114" s="238" t="n"/>
      <c r="BM114" s="238" t="n"/>
      <c r="BN114" s="238" t="n"/>
      <c r="BO114" s="238" t="n"/>
      <c r="BP114" s="238" t="n"/>
      <c r="BQ114" s="238" t="n"/>
      <c r="BR114" s="238" t="n"/>
      <c r="BS114" s="238" t="n"/>
      <c r="BT114" s="238" t="n"/>
      <c r="BU114" s="238" t="n"/>
      <c r="BV114" s="238" t="n"/>
      <c r="BW114" s="238" t="n"/>
      <c r="BX114" s="238" t="n"/>
      <c r="BY114" s="238" t="n"/>
      <c r="BZ114" s="238" t="n"/>
      <c r="CA114" s="238" t="n"/>
      <c r="CB114" s="238" t="n"/>
      <c r="CC114" s="238" t="n"/>
      <c r="CD114" s="238" t="n"/>
      <c r="CE114" s="238" t="n"/>
      <c r="CF114" s="238" t="n"/>
      <c r="CG114" s="238" t="n"/>
      <c r="CH114" s="238" t="n"/>
      <c r="CI114" s="238" t="n"/>
      <c r="CJ114" s="238" t="n"/>
      <c r="CK114" s="238" t="n"/>
      <c r="CL114" s="238" t="n"/>
      <c r="CM114" s="238" t="n"/>
      <c r="CN114" s="238" t="n"/>
      <c r="CO114" s="238" t="n"/>
      <c r="CP114" s="238" t="n"/>
      <c r="CQ114" s="238" t="n"/>
      <c r="CR114" s="238" t="n"/>
      <c r="CS114" s="238" t="n"/>
      <c r="CT114" s="238" t="n"/>
      <c r="CU114" s="238" t="n"/>
      <c r="CV114" s="238" t="n"/>
      <c r="CW114" s="238" t="n"/>
      <c r="CX114" s="238" t="n"/>
      <c r="CY114" s="238" t="n"/>
      <c r="CZ114" s="238" t="n"/>
      <c r="DA114" s="238" t="n"/>
      <c r="DB114" s="238" t="n"/>
      <c r="DC114" s="238" t="n"/>
      <c r="DD114" s="238" t="n"/>
      <c r="DE114" s="238" t="n"/>
      <c r="DF114" s="238" t="n"/>
      <c r="DG114" s="238" t="n"/>
      <c r="DH114" s="238" t="n"/>
      <c r="DI114" s="238" t="n"/>
      <c r="DJ114" s="238" t="n"/>
      <c r="DK114" s="238" t="n"/>
      <c r="DL114" s="238" t="n"/>
      <c r="DM114" s="238" t="n"/>
      <c r="DN114" s="238" t="n"/>
      <c r="DO114" s="238" t="n"/>
      <c r="DP114" s="238" t="n"/>
      <c r="DQ114" s="238" t="n"/>
      <c r="DR114" s="238" t="n"/>
      <c r="DS114" s="238" t="n"/>
      <c r="DT114" s="238" t="n"/>
      <c r="DU114" s="238" t="n"/>
      <c r="DV114" s="238" t="n"/>
      <c r="DW114" s="238" t="n"/>
      <c r="DX114" s="238" t="n"/>
      <c r="DY114" s="238" t="n"/>
      <c r="DZ114" s="23" t="n"/>
      <c r="FQ114" s="212" t="n"/>
      <c r="FR114" s="212" t="n"/>
      <c r="FS114" s="212" t="n"/>
      <c r="FT114" s="212" t="n"/>
      <c r="FU114" s="212" t="n"/>
      <c r="FV114" s="212" t="n"/>
      <c r="FW114" s="212" t="n"/>
      <c r="FX114" s="212" t="n"/>
      <c r="FY114" s="212" t="n"/>
      <c r="FZ114" s="212" t="n"/>
    </row>
    <row r="115" hidden="1" ht="36" customFormat="1" customHeight="1" s="5">
      <c r="A115" s="13" t="n"/>
      <c r="C115" s="238" t="n"/>
      <c r="D115" s="238" t="n"/>
      <c r="E115" s="238" t="n"/>
      <c r="F115" s="238" t="n"/>
      <c r="G115" s="238" t="n"/>
      <c r="H115" s="238" t="n"/>
      <c r="I115" s="238" t="n"/>
      <c r="J115" s="238" t="n"/>
      <c r="K115" s="238" t="n"/>
      <c r="L115" s="238" t="n"/>
      <c r="M115" s="238" t="n"/>
      <c r="N115" s="238" t="n"/>
      <c r="O115" s="238" t="n"/>
      <c r="P115" s="238" t="n"/>
      <c r="Q115" s="238" t="n"/>
      <c r="R115" s="238" t="n"/>
      <c r="S115" s="238" t="n"/>
      <c r="T115" s="238" t="n"/>
      <c r="U115" s="238" t="n"/>
      <c r="V115" s="238" t="n"/>
      <c r="W115" s="238" t="n"/>
      <c r="X115" s="238" t="n"/>
      <c r="Y115" s="238" t="n"/>
      <c r="Z115" s="238" t="n"/>
      <c r="AA115" s="238" t="n"/>
      <c r="AB115" s="238" t="n"/>
      <c r="AC115" s="238" t="n"/>
      <c r="AD115" s="238" t="n"/>
      <c r="AE115" s="238" t="n"/>
      <c r="AF115" s="238" t="n"/>
      <c r="AG115" s="238" t="n"/>
      <c r="AH115" s="238" t="n"/>
      <c r="AI115" s="238" t="n"/>
      <c r="AJ115" s="238" t="n"/>
      <c r="AK115" s="238" t="n"/>
      <c r="AL115" s="238" t="n"/>
      <c r="AM115" s="238" t="n"/>
      <c r="AN115" s="238" t="n"/>
      <c r="AO115" s="238" t="n"/>
      <c r="AP115" s="238" t="n"/>
      <c r="AQ115" s="238" t="n"/>
      <c r="AR115" s="238" t="n"/>
      <c r="AS115" s="238" t="n"/>
      <c r="AT115" s="238" t="n"/>
      <c r="AU115" s="238" t="n"/>
      <c r="AV115" s="238" t="n"/>
      <c r="AW115" s="238" t="n"/>
      <c r="AX115" s="238" t="n"/>
      <c r="AY115" s="238" t="n"/>
      <c r="AZ115" s="238" t="n"/>
      <c r="BA115" s="238" t="n"/>
      <c r="BB115" s="238" t="n"/>
      <c r="BC115" s="238" t="n"/>
      <c r="BD115" s="238" t="n"/>
      <c r="BE115" s="238" t="n"/>
      <c r="BF115" s="238" t="n"/>
      <c r="BG115" s="238" t="n"/>
      <c r="BH115" s="238" t="n"/>
      <c r="BI115" s="238" t="n"/>
      <c r="BJ115" s="238" t="n"/>
      <c r="BK115" s="238" t="n"/>
      <c r="BL115" s="238" t="n"/>
      <c r="BM115" s="238" t="n"/>
      <c r="BN115" s="238" t="n"/>
      <c r="BO115" s="238" t="n"/>
      <c r="BP115" s="238" t="n"/>
      <c r="BQ115" s="238" t="n"/>
      <c r="BR115" s="238" t="n"/>
      <c r="BS115" s="238" t="n"/>
      <c r="BT115" s="238" t="n"/>
      <c r="BU115" s="238" t="n"/>
      <c r="BV115" s="238" t="n"/>
      <c r="BW115" s="238" t="n"/>
      <c r="BX115" s="238" t="n"/>
      <c r="BY115" s="238" t="n"/>
      <c r="BZ115" s="238" t="n"/>
      <c r="CA115" s="238" t="n"/>
      <c r="CB115" s="238" t="n"/>
      <c r="CC115" s="238" t="n"/>
      <c r="CD115" s="238" t="n"/>
      <c r="CE115" s="238" t="n"/>
      <c r="CF115" s="238" t="n"/>
      <c r="CG115" s="238" t="n"/>
      <c r="CH115" s="238" t="n"/>
      <c r="CI115" s="238" t="n"/>
      <c r="CJ115" s="238" t="n"/>
      <c r="CK115" s="238" t="n"/>
      <c r="CL115" s="238" t="n"/>
      <c r="CM115" s="238" t="n"/>
      <c r="CN115" s="238" t="n"/>
      <c r="CO115" s="238" t="n"/>
      <c r="CP115" s="238" t="n"/>
      <c r="CQ115" s="238" t="n"/>
      <c r="CR115" s="238" t="n"/>
      <c r="CS115" s="238" t="n"/>
      <c r="CT115" s="238" t="n"/>
      <c r="CU115" s="238" t="n"/>
      <c r="CV115" s="238" t="n"/>
      <c r="CW115" s="238" t="n"/>
      <c r="CX115" s="238" t="n"/>
      <c r="CY115" s="238" t="n"/>
      <c r="CZ115" s="238" t="n"/>
      <c r="DA115" s="238" t="n"/>
      <c r="DB115" s="238" t="n"/>
      <c r="DC115" s="238" t="n"/>
      <c r="DD115" s="238" t="n"/>
      <c r="DE115" s="238" t="n"/>
      <c r="DF115" s="238" t="n"/>
      <c r="DG115" s="238" t="n"/>
      <c r="DH115" s="238" t="n"/>
      <c r="DI115" s="238" t="n"/>
      <c r="DJ115" s="238" t="n"/>
      <c r="DK115" s="238" t="n"/>
      <c r="DL115" s="238" t="n"/>
      <c r="DM115" s="238" t="n"/>
      <c r="DN115" s="238" t="n"/>
      <c r="DO115" s="238" t="n"/>
      <c r="DP115" s="238" t="n"/>
      <c r="DQ115" s="238" t="n"/>
      <c r="DR115" s="238" t="n"/>
      <c r="DS115" s="238" t="n"/>
      <c r="DT115" s="238" t="n"/>
      <c r="DU115" s="238" t="n"/>
      <c r="DV115" s="238" t="n"/>
      <c r="DW115" s="238" t="n"/>
      <c r="DX115" s="238" t="n"/>
      <c r="DY115" s="238" t="n"/>
      <c r="DZ115" s="23" t="n"/>
      <c r="FQ115" s="212" t="n"/>
      <c r="FR115" s="212" t="n"/>
      <c r="FS115" s="212" t="n"/>
      <c r="FT115" s="212" t="n"/>
      <c r="FU115" s="212" t="n"/>
      <c r="FV115" s="212" t="n"/>
      <c r="FW115" s="212" t="n"/>
      <c r="FX115" s="212" t="n"/>
      <c r="FY115" s="212" t="n"/>
      <c r="FZ115" s="212" t="n"/>
    </row>
    <row r="116" hidden="1" ht="36" customFormat="1" customHeight="1" s="5">
      <c r="A116" s="13" t="n"/>
      <c r="C116" s="238" t="n"/>
      <c r="D116" s="238" t="n"/>
      <c r="E116" s="238" t="n"/>
      <c r="F116" s="238" t="n"/>
      <c r="G116" s="238" t="n"/>
      <c r="H116" s="238" t="n"/>
      <c r="I116" s="238" t="n"/>
      <c r="J116" s="238" t="n"/>
      <c r="K116" s="238" t="n"/>
      <c r="L116" s="238" t="n"/>
      <c r="M116" s="238" t="n"/>
      <c r="N116" s="238" t="n"/>
      <c r="O116" s="238" t="n"/>
      <c r="P116" s="238" t="n"/>
      <c r="Q116" s="238" t="n"/>
      <c r="R116" s="238" t="n"/>
      <c r="S116" s="238" t="n"/>
      <c r="T116" s="238" t="n"/>
      <c r="U116" s="238" t="n"/>
      <c r="V116" s="238" t="n"/>
      <c r="W116" s="238" t="n"/>
      <c r="X116" s="238" t="n"/>
      <c r="Y116" s="238" t="n"/>
      <c r="Z116" s="238" t="n"/>
      <c r="AA116" s="238" t="n"/>
      <c r="AB116" s="238" t="n"/>
      <c r="AC116" s="238" t="n"/>
      <c r="AD116" s="238" t="n"/>
      <c r="AE116" s="238" t="n"/>
      <c r="AF116" s="238" t="n"/>
      <c r="AG116" s="238" t="n"/>
      <c r="AH116" s="238" t="n"/>
      <c r="AI116" s="238" t="n"/>
      <c r="AJ116" s="238" t="n"/>
      <c r="AK116" s="238" t="n"/>
      <c r="AL116" s="238" t="n"/>
      <c r="AM116" s="238" t="n"/>
      <c r="AN116" s="238" t="n"/>
      <c r="AO116" s="238" t="n"/>
      <c r="AP116" s="238" t="n"/>
      <c r="AQ116" s="238" t="n"/>
      <c r="AR116" s="238" t="n"/>
      <c r="AS116" s="238" t="n"/>
      <c r="AT116" s="238" t="n"/>
      <c r="AU116" s="238" t="n"/>
      <c r="AV116" s="238" t="n"/>
      <c r="AW116" s="238" t="n"/>
      <c r="AX116" s="238" t="n"/>
      <c r="AY116" s="238" t="n"/>
      <c r="AZ116" s="238" t="n"/>
      <c r="BA116" s="238" t="n"/>
      <c r="BB116" s="238" t="n"/>
      <c r="BC116" s="238" t="n"/>
      <c r="BD116" s="238" t="n"/>
      <c r="BE116" s="238" t="n"/>
      <c r="BF116" s="238" t="n"/>
      <c r="BG116" s="238" t="n"/>
      <c r="BH116" s="238" t="n"/>
      <c r="BI116" s="238" t="n"/>
      <c r="BJ116" s="238" t="n"/>
      <c r="BK116" s="238" t="n"/>
      <c r="BL116" s="238" t="n"/>
      <c r="BM116" s="238" t="n"/>
      <c r="BN116" s="238" t="n"/>
      <c r="BO116" s="238" t="n"/>
      <c r="BP116" s="238" t="n"/>
      <c r="BQ116" s="238" t="n"/>
      <c r="BR116" s="238" t="n"/>
      <c r="BS116" s="238" t="n"/>
      <c r="BT116" s="238" t="n"/>
      <c r="BU116" s="238" t="n"/>
      <c r="BV116" s="238" t="n"/>
      <c r="BW116" s="238" t="n"/>
      <c r="BX116" s="238" t="n"/>
      <c r="BY116" s="238" t="n"/>
      <c r="BZ116" s="238" t="n"/>
      <c r="CA116" s="238" t="n"/>
      <c r="CB116" s="238" t="n"/>
      <c r="CC116" s="238" t="n"/>
      <c r="CD116" s="238" t="n"/>
      <c r="CE116" s="238" t="n"/>
      <c r="CF116" s="238" t="n"/>
      <c r="CG116" s="238" t="n"/>
      <c r="CH116" s="238" t="n"/>
      <c r="CI116" s="238" t="n"/>
      <c r="CJ116" s="238" t="n"/>
      <c r="CK116" s="238" t="n"/>
      <c r="CL116" s="238" t="n"/>
      <c r="CM116" s="238" t="n"/>
      <c r="CN116" s="238" t="n"/>
      <c r="CO116" s="238" t="n"/>
      <c r="CP116" s="238" t="n"/>
      <c r="CQ116" s="238" t="n"/>
      <c r="CR116" s="238" t="n"/>
      <c r="CS116" s="238" t="n"/>
      <c r="CT116" s="238" t="n"/>
      <c r="CU116" s="238" t="n"/>
      <c r="CV116" s="238" t="n"/>
      <c r="CW116" s="238" t="n"/>
      <c r="CX116" s="238" t="n"/>
      <c r="CY116" s="238" t="n"/>
      <c r="CZ116" s="238" t="n"/>
      <c r="DA116" s="238" t="n"/>
      <c r="DB116" s="238" t="n"/>
      <c r="DC116" s="238" t="n"/>
      <c r="DD116" s="238" t="n"/>
      <c r="DE116" s="238" t="n"/>
      <c r="DF116" s="238" t="n"/>
      <c r="DG116" s="238" t="n"/>
      <c r="DH116" s="238" t="n"/>
      <c r="DI116" s="238" t="n"/>
      <c r="DJ116" s="238" t="n"/>
      <c r="DK116" s="238" t="n"/>
      <c r="DL116" s="238" t="n"/>
      <c r="DM116" s="238" t="n"/>
      <c r="DN116" s="238" t="n"/>
      <c r="DO116" s="238" t="n"/>
      <c r="DP116" s="238" t="n"/>
      <c r="DQ116" s="238" t="n"/>
      <c r="DR116" s="238" t="n"/>
      <c r="DS116" s="238" t="n"/>
      <c r="DT116" s="238" t="n"/>
      <c r="DU116" s="238" t="n"/>
      <c r="DV116" s="238" t="n"/>
      <c r="DW116" s="238" t="n"/>
      <c r="DX116" s="238" t="n"/>
      <c r="DY116" s="238" t="n"/>
      <c r="DZ116" s="23" t="n"/>
      <c r="FQ116" s="212" t="n"/>
      <c r="FR116" s="212" t="n"/>
      <c r="FS116" s="212" t="n"/>
      <c r="FT116" s="212" t="n"/>
      <c r="FU116" s="212" t="n"/>
      <c r="FV116" s="212" t="n"/>
      <c r="FW116" s="212" t="n"/>
      <c r="FX116" s="212" t="n"/>
      <c r="FY116" s="212" t="n"/>
      <c r="FZ116" s="212" t="n"/>
    </row>
    <row r="117" hidden="1" ht="36" customFormat="1" customHeight="1" s="5">
      <c r="A117" s="13" t="n"/>
      <c r="C117" s="238" t="n"/>
      <c r="D117" s="238" t="n"/>
      <c r="E117" s="238" t="n"/>
      <c r="F117" s="238" t="n"/>
      <c r="G117" s="238" t="n"/>
      <c r="H117" s="238" t="n"/>
      <c r="I117" s="238" t="n"/>
      <c r="J117" s="238" t="n"/>
      <c r="K117" s="238" t="n"/>
      <c r="L117" s="238" t="n"/>
      <c r="M117" s="238" t="n"/>
      <c r="N117" s="238" t="n"/>
      <c r="O117" s="238" t="n"/>
      <c r="P117" s="238" t="n"/>
      <c r="Q117" s="238" t="n"/>
      <c r="R117" s="238" t="n"/>
      <c r="S117" s="238" t="n"/>
      <c r="T117" s="238" t="n"/>
      <c r="U117" s="238" t="n"/>
      <c r="V117" s="238" t="n"/>
      <c r="W117" s="238" t="n"/>
      <c r="X117" s="238" t="n"/>
      <c r="Y117" s="238" t="n"/>
      <c r="Z117" s="238" t="n"/>
      <c r="AA117" s="238" t="n"/>
      <c r="AB117" s="238" t="n"/>
      <c r="AC117" s="238" t="n"/>
      <c r="AD117" s="238" t="n"/>
      <c r="AE117" s="238" t="n"/>
      <c r="AF117" s="238" t="n"/>
      <c r="AG117" s="238" t="n"/>
      <c r="AH117" s="238" t="n"/>
      <c r="AI117" s="238" t="n"/>
      <c r="AJ117" s="238" t="n"/>
      <c r="AK117" s="238" t="n"/>
      <c r="AL117" s="238" t="n"/>
      <c r="AM117" s="238" t="n"/>
      <c r="AN117" s="238" t="n"/>
      <c r="AO117" s="238" t="n"/>
      <c r="AP117" s="238" t="n"/>
      <c r="AQ117" s="238" t="n"/>
      <c r="AR117" s="238" t="n"/>
      <c r="AS117" s="238" t="n"/>
      <c r="AT117" s="238" t="n"/>
      <c r="AU117" s="238" t="n"/>
      <c r="AV117" s="238" t="n"/>
      <c r="AW117" s="238" t="n"/>
      <c r="AX117" s="238" t="n"/>
      <c r="AY117" s="238" t="n"/>
      <c r="AZ117" s="238" t="n"/>
      <c r="BA117" s="238" t="n"/>
      <c r="BB117" s="238" t="n"/>
      <c r="BC117" s="238" t="n"/>
      <c r="BD117" s="238" t="n"/>
      <c r="BE117" s="238" t="n"/>
      <c r="BF117" s="238" t="n"/>
      <c r="BG117" s="238" t="n"/>
      <c r="BH117" s="238" t="n"/>
      <c r="BI117" s="238" t="n"/>
      <c r="BJ117" s="238" t="n"/>
      <c r="BK117" s="238" t="n"/>
      <c r="BL117" s="238" t="n"/>
      <c r="BM117" s="238" t="n"/>
      <c r="BN117" s="238" t="n"/>
      <c r="BO117" s="238" t="n"/>
      <c r="BP117" s="238" t="n"/>
      <c r="BQ117" s="238" t="n"/>
      <c r="BR117" s="238" t="n"/>
      <c r="BS117" s="238" t="n"/>
      <c r="BT117" s="238" t="n"/>
      <c r="BU117" s="238" t="n"/>
      <c r="BV117" s="238" t="n"/>
      <c r="BW117" s="238" t="n"/>
      <c r="BX117" s="238" t="n"/>
      <c r="BY117" s="238" t="n"/>
      <c r="BZ117" s="238" t="n"/>
      <c r="CA117" s="238" t="n"/>
      <c r="CB117" s="238" t="n"/>
      <c r="CC117" s="238" t="n"/>
      <c r="CD117" s="238" t="n"/>
      <c r="CE117" s="238" t="n"/>
      <c r="CF117" s="238" t="n"/>
      <c r="CG117" s="238" t="n"/>
      <c r="CH117" s="238" t="n"/>
      <c r="CI117" s="238" t="n"/>
      <c r="CJ117" s="238" t="n"/>
      <c r="CK117" s="238" t="n"/>
      <c r="CL117" s="238" t="n"/>
      <c r="CM117" s="238" t="n"/>
      <c r="CN117" s="238" t="n"/>
      <c r="CO117" s="238" t="n"/>
      <c r="CP117" s="238" t="n"/>
      <c r="CQ117" s="238" t="n"/>
      <c r="CR117" s="238" t="n"/>
      <c r="CS117" s="238" t="n"/>
      <c r="CT117" s="238" t="n"/>
      <c r="CU117" s="238" t="n"/>
      <c r="CV117" s="238" t="n"/>
      <c r="CW117" s="238" t="n"/>
      <c r="CX117" s="238" t="n"/>
      <c r="CY117" s="238" t="n"/>
      <c r="CZ117" s="238" t="n"/>
      <c r="DA117" s="238" t="n"/>
      <c r="DB117" s="238" t="n"/>
      <c r="DC117" s="238" t="n"/>
      <c r="DD117" s="238" t="n"/>
      <c r="DE117" s="238" t="n"/>
      <c r="DF117" s="238" t="n"/>
      <c r="DG117" s="238" t="n"/>
      <c r="DH117" s="238" t="n"/>
      <c r="DI117" s="238" t="n"/>
      <c r="DJ117" s="238" t="n"/>
      <c r="DK117" s="238" t="n"/>
      <c r="DL117" s="238" t="n"/>
      <c r="DM117" s="238" t="n"/>
      <c r="DN117" s="238" t="n"/>
      <c r="DO117" s="238" t="n"/>
      <c r="DP117" s="238" t="n"/>
      <c r="DQ117" s="238" t="n"/>
      <c r="DR117" s="238" t="n"/>
      <c r="DS117" s="238" t="n"/>
      <c r="DT117" s="238" t="n"/>
      <c r="DU117" s="238" t="n"/>
      <c r="DV117" s="238" t="n"/>
      <c r="DW117" s="238" t="n"/>
      <c r="DX117" s="238" t="n"/>
      <c r="DY117" s="238" t="n"/>
      <c r="DZ117" s="23" t="n"/>
      <c r="FQ117" s="212" t="n"/>
      <c r="FR117" s="212" t="n"/>
      <c r="FS117" s="212" t="n"/>
      <c r="FT117" s="212" t="n"/>
      <c r="FU117" s="212" t="n"/>
      <c r="FV117" s="212" t="n"/>
      <c r="FW117" s="212" t="n"/>
      <c r="FX117" s="212" t="n"/>
      <c r="FY117" s="212" t="n"/>
      <c r="FZ117" s="212" t="n"/>
    </row>
    <row r="118" hidden="1" ht="36" customFormat="1" customHeight="1" s="5">
      <c r="A118" s="13" t="n"/>
      <c r="C118" s="238" t="n"/>
      <c r="D118" s="238" t="n"/>
      <c r="E118" s="238" t="n"/>
      <c r="F118" s="238" t="n"/>
      <c r="G118" s="238" t="n"/>
      <c r="H118" s="238" t="n"/>
      <c r="I118" s="238" t="n"/>
      <c r="J118" s="238" t="n"/>
      <c r="K118" s="238" t="n"/>
      <c r="L118" s="238" t="n"/>
      <c r="M118" s="238" t="n"/>
      <c r="N118" s="238" t="n"/>
      <c r="O118" s="238" t="n"/>
      <c r="P118" s="238" t="n"/>
      <c r="Q118" s="238" t="n"/>
      <c r="R118" s="238" t="n"/>
      <c r="S118" s="238" t="n"/>
      <c r="T118" s="238" t="n"/>
      <c r="U118" s="238" t="n"/>
      <c r="V118" s="238" t="n"/>
      <c r="W118" s="238" t="n"/>
      <c r="X118" s="238" t="n"/>
      <c r="Y118" s="238" t="n"/>
      <c r="Z118" s="238" t="n"/>
      <c r="AA118" s="238" t="n"/>
      <c r="AB118" s="238" t="n"/>
      <c r="AC118" s="238" t="n"/>
      <c r="AD118" s="238" t="n"/>
      <c r="AE118" s="238" t="n"/>
      <c r="AF118" s="238" t="n"/>
      <c r="AG118" s="238" t="n"/>
      <c r="AH118" s="238" t="n"/>
      <c r="AI118" s="238" t="n"/>
      <c r="AJ118" s="238" t="n"/>
      <c r="AK118" s="238" t="n"/>
      <c r="AL118" s="238" t="n"/>
      <c r="AM118" s="238" t="n"/>
      <c r="AN118" s="238" t="n"/>
      <c r="AO118" s="238" t="n"/>
      <c r="AP118" s="238" t="n"/>
      <c r="AQ118" s="238" t="n"/>
      <c r="AR118" s="238" t="n"/>
      <c r="AS118" s="238" t="n"/>
      <c r="AT118" s="238" t="n"/>
      <c r="AU118" s="238" t="n"/>
      <c r="AV118" s="238" t="n"/>
      <c r="AW118" s="238" t="n"/>
      <c r="AX118" s="238" t="n"/>
      <c r="AY118" s="238" t="n"/>
      <c r="AZ118" s="238" t="n"/>
      <c r="BA118" s="238" t="n"/>
      <c r="BB118" s="238" t="n"/>
      <c r="BC118" s="238" t="n"/>
      <c r="BD118" s="238" t="n"/>
      <c r="BE118" s="238" t="n"/>
      <c r="BF118" s="238" t="n"/>
      <c r="BG118" s="238" t="n"/>
      <c r="BH118" s="238" t="n"/>
      <c r="BI118" s="238" t="n"/>
      <c r="BJ118" s="238" t="n"/>
      <c r="BK118" s="238" t="n"/>
      <c r="BL118" s="238" t="n"/>
      <c r="BM118" s="238" t="n"/>
      <c r="BN118" s="238" t="n"/>
      <c r="BO118" s="238" t="n"/>
      <c r="BP118" s="238" t="n"/>
      <c r="BQ118" s="238" t="n"/>
      <c r="BR118" s="238" t="n"/>
      <c r="BS118" s="238" t="n"/>
      <c r="BT118" s="238" t="n"/>
      <c r="BU118" s="238" t="n"/>
      <c r="BV118" s="238" t="n"/>
      <c r="BW118" s="238" t="n"/>
      <c r="BX118" s="238" t="n"/>
      <c r="BY118" s="238" t="n"/>
      <c r="BZ118" s="238" t="n"/>
      <c r="CA118" s="238" t="n"/>
      <c r="CB118" s="238" t="n"/>
      <c r="CC118" s="238" t="n"/>
      <c r="CD118" s="238" t="n"/>
      <c r="CE118" s="238" t="n"/>
      <c r="CF118" s="238" t="n"/>
      <c r="CG118" s="238" t="n"/>
      <c r="CH118" s="238" t="n"/>
      <c r="CI118" s="238" t="n"/>
      <c r="CJ118" s="238" t="n"/>
      <c r="CK118" s="238" t="n"/>
      <c r="CL118" s="238" t="n"/>
      <c r="CM118" s="238" t="n"/>
      <c r="CN118" s="238" t="n"/>
      <c r="CO118" s="238" t="n"/>
      <c r="CP118" s="238" t="n"/>
      <c r="CQ118" s="238" t="n"/>
      <c r="CR118" s="238" t="n"/>
      <c r="CS118" s="238" t="n"/>
      <c r="CT118" s="238" t="n"/>
      <c r="CU118" s="238" t="n"/>
      <c r="CV118" s="238" t="n"/>
      <c r="CW118" s="238" t="n"/>
      <c r="CX118" s="238" t="n"/>
      <c r="CY118" s="238" t="n"/>
      <c r="CZ118" s="238" t="n"/>
      <c r="DA118" s="238" t="n"/>
      <c r="DB118" s="238" t="n"/>
      <c r="DC118" s="238" t="n"/>
      <c r="DD118" s="238" t="n"/>
      <c r="DE118" s="238" t="n"/>
      <c r="DF118" s="238" t="n"/>
      <c r="DG118" s="238" t="n"/>
      <c r="DH118" s="238" t="n"/>
      <c r="DI118" s="238" t="n"/>
      <c r="DJ118" s="238" t="n"/>
      <c r="DK118" s="238" t="n"/>
      <c r="DL118" s="238" t="n"/>
      <c r="DM118" s="238" t="n"/>
      <c r="DN118" s="238" t="n"/>
      <c r="DO118" s="238" t="n"/>
      <c r="DP118" s="238" t="n"/>
      <c r="DQ118" s="238" t="n"/>
      <c r="DR118" s="238" t="n"/>
      <c r="DS118" s="238" t="n"/>
      <c r="DT118" s="238" t="n"/>
      <c r="DU118" s="238" t="n"/>
      <c r="DV118" s="238" t="n"/>
      <c r="DW118" s="238" t="n"/>
      <c r="DX118" s="238" t="n"/>
      <c r="DY118" s="238" t="n"/>
      <c r="DZ118" s="23" t="n"/>
      <c r="FQ118" s="212" t="n"/>
      <c r="FR118" s="212" t="n"/>
      <c r="FS118" s="212" t="n"/>
      <c r="FT118" s="212" t="n"/>
      <c r="FU118" s="212" t="n"/>
      <c r="FV118" s="212" t="n"/>
      <c r="FW118" s="212" t="n"/>
      <c r="FX118" s="212" t="n"/>
      <c r="FY118" s="212" t="n"/>
      <c r="FZ118" s="212" t="n"/>
    </row>
    <row r="119" hidden="1" ht="36" customFormat="1" customHeight="1" s="5">
      <c r="A119" s="13" t="n"/>
      <c r="C119" s="238" t="n"/>
      <c r="D119" s="238" t="n"/>
      <c r="E119" s="238" t="n"/>
      <c r="F119" s="238" t="n"/>
      <c r="G119" s="238" t="n"/>
      <c r="H119" s="238" t="n"/>
      <c r="I119" s="238" t="n"/>
      <c r="J119" s="238" t="n"/>
      <c r="K119" s="238" t="n"/>
      <c r="L119" s="238" t="n"/>
      <c r="M119" s="238" t="n"/>
      <c r="N119" s="238" t="n"/>
      <c r="O119" s="238" t="n"/>
      <c r="P119" s="238" t="n"/>
      <c r="Q119" s="238" t="n"/>
      <c r="R119" s="238" t="n"/>
      <c r="S119" s="238" t="n"/>
      <c r="T119" s="238" t="n"/>
      <c r="U119" s="238" t="n"/>
      <c r="V119" s="238" t="n"/>
      <c r="W119" s="238" t="n"/>
      <c r="X119" s="238" t="n"/>
      <c r="Y119" s="238" t="n"/>
      <c r="Z119" s="238" t="n"/>
      <c r="AA119" s="238" t="n"/>
      <c r="AB119" s="238" t="n"/>
      <c r="AC119" s="238" t="n"/>
      <c r="AD119" s="238" t="n"/>
      <c r="AE119" s="238" t="n"/>
      <c r="AF119" s="238" t="n"/>
      <c r="AG119" s="238" t="n"/>
      <c r="AH119" s="238" t="n"/>
      <c r="AI119" s="238" t="n"/>
      <c r="AJ119" s="238" t="n"/>
      <c r="AK119" s="238" t="n"/>
      <c r="AL119" s="238" t="n"/>
      <c r="AM119" s="238" t="n"/>
      <c r="AN119" s="238" t="n"/>
      <c r="AO119" s="238" t="n"/>
      <c r="AP119" s="238" t="n"/>
      <c r="AQ119" s="238" t="n"/>
      <c r="AR119" s="238" t="n"/>
      <c r="AS119" s="238" t="n"/>
      <c r="AT119" s="238" t="n"/>
      <c r="AU119" s="238" t="n"/>
      <c r="AV119" s="238" t="n"/>
      <c r="AW119" s="238" t="n"/>
      <c r="AX119" s="238" t="n"/>
      <c r="AY119" s="238" t="n"/>
      <c r="AZ119" s="238" t="n"/>
      <c r="BA119" s="238" t="n"/>
      <c r="BB119" s="238" t="n"/>
      <c r="BC119" s="238" t="n"/>
      <c r="BD119" s="238" t="n"/>
      <c r="BE119" s="238" t="n"/>
      <c r="BF119" s="238" t="n"/>
      <c r="BG119" s="238" t="n"/>
      <c r="BH119" s="238" t="n"/>
      <c r="BI119" s="238" t="n"/>
      <c r="BJ119" s="238" t="n"/>
      <c r="BK119" s="238" t="n"/>
      <c r="BL119" s="238" t="n"/>
      <c r="BM119" s="238" t="n"/>
      <c r="BN119" s="238" t="n"/>
      <c r="BO119" s="238" t="n"/>
      <c r="BP119" s="238" t="n"/>
      <c r="BQ119" s="238" t="n"/>
      <c r="BR119" s="238" t="n"/>
      <c r="BS119" s="238" t="n"/>
      <c r="BT119" s="238" t="n"/>
      <c r="BU119" s="238" t="n"/>
      <c r="BV119" s="238" t="n"/>
      <c r="BW119" s="238" t="n"/>
      <c r="BX119" s="238" t="n"/>
      <c r="BY119" s="238" t="n"/>
      <c r="BZ119" s="238" t="n"/>
      <c r="CA119" s="238" t="n"/>
      <c r="CB119" s="238" t="n"/>
      <c r="CC119" s="238" t="n"/>
      <c r="CD119" s="238" t="n"/>
      <c r="CE119" s="238" t="n"/>
      <c r="CF119" s="238" t="n"/>
      <c r="CG119" s="238" t="n"/>
      <c r="CH119" s="238" t="n"/>
      <c r="CI119" s="238" t="n"/>
      <c r="CJ119" s="238" t="n"/>
      <c r="CK119" s="238" t="n"/>
      <c r="CL119" s="238" t="n"/>
      <c r="CM119" s="238" t="n"/>
      <c r="CN119" s="238" t="n"/>
      <c r="CO119" s="238" t="n"/>
      <c r="CP119" s="238" t="n"/>
      <c r="CQ119" s="238" t="n"/>
      <c r="CR119" s="238" t="n"/>
      <c r="CS119" s="238" t="n"/>
      <c r="CT119" s="238" t="n"/>
      <c r="CU119" s="238" t="n"/>
      <c r="CV119" s="238" t="n"/>
      <c r="CW119" s="238" t="n"/>
      <c r="CX119" s="238" t="n"/>
      <c r="CY119" s="238" t="n"/>
      <c r="CZ119" s="238" t="n"/>
      <c r="DA119" s="238" t="n"/>
      <c r="DB119" s="238" t="n"/>
      <c r="DC119" s="238" t="n"/>
      <c r="DD119" s="238" t="n"/>
      <c r="DE119" s="238" t="n"/>
      <c r="DF119" s="238" t="n"/>
      <c r="DG119" s="238" t="n"/>
      <c r="DH119" s="238" t="n"/>
      <c r="DI119" s="238" t="n"/>
      <c r="DJ119" s="238" t="n"/>
      <c r="DK119" s="238" t="n"/>
      <c r="DL119" s="238" t="n"/>
      <c r="DM119" s="238" t="n"/>
      <c r="DN119" s="238" t="n"/>
      <c r="DO119" s="238" t="n"/>
      <c r="DP119" s="238" t="n"/>
      <c r="DQ119" s="238" t="n"/>
      <c r="DR119" s="238" t="n"/>
      <c r="DS119" s="238" t="n"/>
      <c r="DT119" s="238" t="n"/>
      <c r="DU119" s="238" t="n"/>
      <c r="DV119" s="238" t="n"/>
      <c r="DW119" s="238" t="n"/>
      <c r="DX119" s="238" t="n"/>
      <c r="DY119" s="238" t="n"/>
      <c r="DZ119" s="23" t="n"/>
      <c r="FQ119" s="212" t="n"/>
      <c r="FR119" s="212" t="n"/>
      <c r="FS119" s="212" t="n"/>
      <c r="FT119" s="212" t="n"/>
      <c r="FU119" s="212" t="n"/>
      <c r="FV119" s="212" t="n"/>
      <c r="FW119" s="212" t="n"/>
      <c r="FX119" s="212" t="n"/>
      <c r="FY119" s="212" t="n"/>
      <c r="FZ119" s="212" t="n"/>
    </row>
    <row r="120" hidden="1" ht="36" customFormat="1" customHeight="1" s="5">
      <c r="A120" s="13" t="n"/>
      <c r="C120" s="238" t="n"/>
      <c r="D120" s="238" t="n"/>
      <c r="E120" s="238" t="n"/>
      <c r="F120" s="238" t="n"/>
      <c r="G120" s="238" t="n"/>
      <c r="H120" s="238" t="n"/>
      <c r="I120" s="238" t="n"/>
      <c r="J120" s="238" t="n"/>
      <c r="K120" s="238" t="n"/>
      <c r="L120" s="238" t="n"/>
      <c r="M120" s="238" t="n"/>
      <c r="N120" s="238" t="n"/>
      <c r="O120" s="238" t="n"/>
      <c r="P120" s="238" t="n"/>
      <c r="Q120" s="238" t="n"/>
      <c r="R120" s="238" t="n"/>
      <c r="S120" s="238" t="n"/>
      <c r="T120" s="238" t="n"/>
      <c r="U120" s="238" t="n"/>
      <c r="V120" s="238" t="n"/>
      <c r="W120" s="238" t="n"/>
      <c r="X120" s="238" t="n"/>
      <c r="Y120" s="238" t="n"/>
      <c r="Z120" s="238" t="n"/>
      <c r="AA120" s="238" t="n"/>
      <c r="AB120" s="238" t="n"/>
      <c r="AC120" s="238" t="n"/>
      <c r="AD120" s="238" t="n"/>
      <c r="AE120" s="238" t="n"/>
      <c r="AF120" s="238" t="n"/>
      <c r="AG120" s="238" t="n"/>
      <c r="AH120" s="238" t="n"/>
      <c r="AI120" s="238" t="n"/>
      <c r="AJ120" s="238" t="n"/>
      <c r="AK120" s="238" t="n"/>
      <c r="AL120" s="238" t="n"/>
      <c r="AM120" s="238" t="n"/>
      <c r="AN120" s="238" t="n"/>
      <c r="AO120" s="238" t="n"/>
      <c r="AP120" s="238" t="n"/>
      <c r="AQ120" s="238" t="n"/>
      <c r="AR120" s="238" t="n"/>
      <c r="AS120" s="238" t="n"/>
      <c r="AT120" s="238" t="n"/>
      <c r="AU120" s="238" t="n"/>
      <c r="AV120" s="238" t="n"/>
      <c r="AW120" s="238" t="n"/>
      <c r="AX120" s="238" t="n"/>
      <c r="AY120" s="238" t="n"/>
      <c r="AZ120" s="238" t="n"/>
      <c r="BA120" s="238" t="n"/>
      <c r="BB120" s="238" t="n"/>
      <c r="BC120" s="238" t="n"/>
      <c r="BD120" s="238" t="n"/>
      <c r="BE120" s="238" t="n"/>
      <c r="BF120" s="238" t="n"/>
      <c r="BG120" s="238" t="n"/>
      <c r="BH120" s="238" t="n"/>
      <c r="BI120" s="238" t="n"/>
      <c r="BJ120" s="238" t="n"/>
      <c r="BK120" s="238" t="n"/>
      <c r="BL120" s="238" t="n"/>
      <c r="BM120" s="238" t="n"/>
      <c r="BN120" s="238" t="n"/>
      <c r="BO120" s="238" t="n"/>
      <c r="BP120" s="238" t="n"/>
      <c r="BQ120" s="238" t="n"/>
      <c r="BR120" s="238" t="n"/>
      <c r="BS120" s="238" t="n"/>
      <c r="BT120" s="238" t="n"/>
      <c r="BU120" s="238" t="n"/>
      <c r="BV120" s="238" t="n"/>
      <c r="BW120" s="238" t="n"/>
      <c r="BX120" s="238" t="n"/>
      <c r="BY120" s="238" t="n"/>
      <c r="BZ120" s="238" t="n"/>
      <c r="CA120" s="238" t="n"/>
      <c r="CB120" s="238" t="n"/>
      <c r="CC120" s="238" t="n"/>
      <c r="CD120" s="238" t="n"/>
      <c r="CE120" s="238" t="n"/>
      <c r="CF120" s="238" t="n"/>
      <c r="CG120" s="238" t="n"/>
      <c r="CH120" s="238" t="n"/>
      <c r="CI120" s="238" t="n"/>
      <c r="CJ120" s="238" t="n"/>
      <c r="CK120" s="238" t="n"/>
      <c r="CL120" s="238" t="n"/>
      <c r="CM120" s="238" t="n"/>
      <c r="CN120" s="238" t="n"/>
      <c r="CO120" s="238" t="n"/>
      <c r="CP120" s="238" t="n"/>
      <c r="CQ120" s="238" t="n"/>
      <c r="CR120" s="238" t="n"/>
      <c r="CS120" s="238" t="n"/>
      <c r="CT120" s="238" t="n"/>
      <c r="CU120" s="238" t="n"/>
      <c r="CV120" s="238" t="n"/>
      <c r="CW120" s="238" t="n"/>
      <c r="CX120" s="238" t="n"/>
      <c r="CY120" s="238" t="n"/>
      <c r="CZ120" s="238" t="n"/>
      <c r="DA120" s="238" t="n"/>
      <c r="DB120" s="238" t="n"/>
      <c r="DC120" s="238" t="n"/>
      <c r="DD120" s="238" t="n"/>
      <c r="DE120" s="238" t="n"/>
      <c r="DF120" s="238" t="n"/>
      <c r="DG120" s="238" t="n"/>
      <c r="DH120" s="238" t="n"/>
      <c r="DI120" s="238" t="n"/>
      <c r="DJ120" s="238" t="n"/>
      <c r="DK120" s="238" t="n"/>
      <c r="DL120" s="238" t="n"/>
      <c r="DM120" s="238" t="n"/>
      <c r="DN120" s="238" t="n"/>
      <c r="DO120" s="238" t="n"/>
      <c r="DP120" s="238" t="n"/>
      <c r="DQ120" s="238" t="n"/>
      <c r="DR120" s="238" t="n"/>
      <c r="DS120" s="238" t="n"/>
      <c r="DT120" s="238" t="n"/>
      <c r="DU120" s="238" t="n"/>
      <c r="DV120" s="238" t="n"/>
      <c r="DW120" s="238" t="n"/>
      <c r="DX120" s="238" t="n"/>
      <c r="DY120" s="238" t="n"/>
      <c r="DZ120" s="23" t="n"/>
      <c r="FQ120" s="212" t="n"/>
      <c r="FR120" s="212" t="n"/>
      <c r="FS120" s="212" t="n"/>
      <c r="FT120" s="212" t="n"/>
      <c r="FU120" s="212" t="n"/>
      <c r="FV120" s="212" t="n"/>
      <c r="FW120" s="212" t="n"/>
      <c r="FX120" s="212" t="n"/>
      <c r="FY120" s="212" t="n"/>
      <c r="FZ120" s="212" t="n"/>
    </row>
    <row r="121" hidden="1" ht="36" customFormat="1" customHeight="1" s="5">
      <c r="A121" s="13" t="n"/>
      <c r="C121" s="238" t="n"/>
      <c r="D121" s="238" t="n"/>
      <c r="E121" s="238" t="n"/>
      <c r="F121" s="238" t="n"/>
      <c r="G121" s="238" t="n"/>
      <c r="H121" s="238" t="n"/>
      <c r="I121" s="238" t="n"/>
      <c r="J121" s="238" t="n"/>
      <c r="K121" s="238" t="n"/>
      <c r="L121" s="238" t="n"/>
      <c r="M121" s="238" t="n"/>
      <c r="N121" s="238" t="n"/>
      <c r="O121" s="238" t="n"/>
      <c r="P121" s="238" t="n"/>
      <c r="Q121" s="238" t="n"/>
      <c r="R121" s="238" t="n"/>
      <c r="S121" s="238" t="n"/>
      <c r="T121" s="238" t="n"/>
      <c r="U121" s="238" t="n"/>
      <c r="V121" s="238" t="n"/>
      <c r="W121" s="238" t="n"/>
      <c r="X121" s="238" t="n"/>
      <c r="Y121" s="238" t="n"/>
      <c r="Z121" s="238" t="n"/>
      <c r="AA121" s="238" t="n"/>
      <c r="AB121" s="238" t="n"/>
      <c r="AC121" s="238" t="n"/>
      <c r="AD121" s="238" t="n"/>
      <c r="AE121" s="238" t="n"/>
      <c r="AF121" s="238" t="n"/>
      <c r="AG121" s="238" t="n"/>
      <c r="AH121" s="238" t="n"/>
      <c r="AI121" s="238" t="n"/>
      <c r="AJ121" s="238" t="n"/>
      <c r="AK121" s="238" t="n"/>
      <c r="AL121" s="238" t="n"/>
      <c r="AM121" s="238" t="n"/>
      <c r="AN121" s="238" t="n"/>
      <c r="AO121" s="238" t="n"/>
      <c r="AP121" s="238" t="n"/>
      <c r="AQ121" s="238" t="n"/>
      <c r="AR121" s="238" t="n"/>
      <c r="AS121" s="238" t="n"/>
      <c r="AT121" s="238" t="n"/>
      <c r="AU121" s="238" t="n"/>
      <c r="AV121" s="238" t="n"/>
      <c r="AW121" s="238" t="n"/>
      <c r="AX121" s="238" t="n"/>
      <c r="AY121" s="238" t="n"/>
      <c r="AZ121" s="238" t="n"/>
      <c r="BA121" s="238" t="n"/>
      <c r="BB121" s="238" t="n"/>
      <c r="BC121" s="238" t="n"/>
      <c r="BD121" s="238" t="n"/>
      <c r="BE121" s="238" t="n"/>
      <c r="BF121" s="238" t="n"/>
      <c r="BG121" s="238" t="n"/>
      <c r="BH121" s="238" t="n"/>
      <c r="BI121" s="238" t="n"/>
      <c r="BJ121" s="238" t="n"/>
      <c r="BK121" s="238" t="n"/>
      <c r="BL121" s="238" t="n"/>
      <c r="BM121" s="238" t="n"/>
      <c r="BN121" s="238" t="n"/>
      <c r="BO121" s="238" t="n"/>
      <c r="BP121" s="238" t="n"/>
      <c r="BQ121" s="238" t="n"/>
      <c r="BR121" s="238" t="n"/>
      <c r="BS121" s="238" t="n"/>
      <c r="BT121" s="238" t="n"/>
      <c r="BU121" s="238" t="n"/>
      <c r="BV121" s="238" t="n"/>
      <c r="BW121" s="238" t="n"/>
      <c r="BX121" s="238" t="n"/>
      <c r="BY121" s="238" t="n"/>
      <c r="BZ121" s="238" t="n"/>
      <c r="CA121" s="238" t="n"/>
      <c r="CB121" s="238" t="n"/>
      <c r="CC121" s="238" t="n"/>
      <c r="CD121" s="238" t="n"/>
      <c r="CE121" s="238" t="n"/>
      <c r="CF121" s="238" t="n"/>
      <c r="CG121" s="238" t="n"/>
      <c r="CH121" s="238" t="n"/>
      <c r="CI121" s="238" t="n"/>
      <c r="CJ121" s="238" t="n"/>
      <c r="CK121" s="238" t="n"/>
      <c r="CL121" s="238" t="n"/>
      <c r="CM121" s="238" t="n"/>
      <c r="CN121" s="238" t="n"/>
      <c r="CO121" s="238" t="n"/>
      <c r="CP121" s="238" t="n"/>
      <c r="CQ121" s="238" t="n"/>
      <c r="CR121" s="238" t="n"/>
      <c r="CS121" s="238" t="n"/>
      <c r="CT121" s="238" t="n"/>
      <c r="CU121" s="238" t="n"/>
      <c r="CV121" s="238" t="n"/>
      <c r="CW121" s="238" t="n"/>
      <c r="CX121" s="238" t="n"/>
      <c r="CY121" s="238" t="n"/>
      <c r="CZ121" s="238" t="n"/>
      <c r="DA121" s="238" t="n"/>
      <c r="DB121" s="238" t="n"/>
      <c r="DC121" s="238" t="n"/>
      <c r="DD121" s="238" t="n"/>
      <c r="DE121" s="238" t="n"/>
      <c r="DF121" s="238" t="n"/>
      <c r="DG121" s="238" t="n"/>
      <c r="DH121" s="238" t="n"/>
      <c r="DI121" s="238" t="n"/>
      <c r="DJ121" s="238" t="n"/>
      <c r="DK121" s="238" t="n"/>
      <c r="DL121" s="238" t="n"/>
      <c r="DM121" s="238" t="n"/>
      <c r="DN121" s="238" t="n"/>
      <c r="DO121" s="238" t="n"/>
      <c r="DP121" s="238" t="n"/>
      <c r="DQ121" s="238" t="n"/>
      <c r="DR121" s="238" t="n"/>
      <c r="DS121" s="238" t="n"/>
      <c r="DT121" s="238" t="n"/>
      <c r="DU121" s="238" t="n"/>
      <c r="DV121" s="238" t="n"/>
      <c r="DW121" s="238" t="n"/>
      <c r="DX121" s="238" t="n"/>
      <c r="DY121" s="238" t="n"/>
      <c r="DZ121" s="23" t="n"/>
      <c r="FQ121" s="212" t="n"/>
      <c r="FR121" s="212" t="n"/>
      <c r="FS121" s="212" t="n"/>
      <c r="FT121" s="212" t="n"/>
      <c r="FU121" s="212" t="n"/>
      <c r="FV121" s="212" t="n"/>
      <c r="FW121" s="212" t="n"/>
      <c r="FX121" s="212" t="n"/>
      <c r="FY121" s="212" t="n"/>
      <c r="FZ121" s="212" t="n"/>
    </row>
    <row r="122" hidden="1" ht="36" customFormat="1" customHeight="1" s="5">
      <c r="A122" s="13" t="n"/>
      <c r="C122" s="238" t="n"/>
      <c r="D122" s="238" t="n"/>
      <c r="E122" s="238" t="n"/>
      <c r="F122" s="238" t="n"/>
      <c r="G122" s="238" t="n"/>
      <c r="H122" s="238" t="n"/>
      <c r="I122" s="238" t="n"/>
      <c r="J122" s="238" t="n"/>
      <c r="K122" s="238" t="n"/>
      <c r="L122" s="238" t="n"/>
      <c r="M122" s="238" t="n"/>
      <c r="N122" s="238" t="n"/>
      <c r="O122" s="238" t="n"/>
      <c r="P122" s="238" t="n"/>
      <c r="Q122" s="238" t="n"/>
      <c r="R122" s="238" t="n"/>
      <c r="S122" s="238" t="n"/>
      <c r="T122" s="238" t="n"/>
      <c r="U122" s="238" t="n"/>
      <c r="V122" s="238" t="n"/>
      <c r="W122" s="238" t="n"/>
      <c r="X122" s="238" t="n"/>
      <c r="Y122" s="238" t="n"/>
      <c r="Z122" s="238" t="n"/>
      <c r="AA122" s="238" t="n"/>
      <c r="AB122" s="238" t="n"/>
      <c r="AC122" s="238" t="n"/>
      <c r="AD122" s="238" t="n"/>
      <c r="AE122" s="238" t="n"/>
      <c r="AF122" s="238" t="n"/>
      <c r="AG122" s="238" t="n"/>
      <c r="AH122" s="238" t="n"/>
      <c r="AI122" s="238" t="n"/>
      <c r="AJ122" s="238" t="n"/>
      <c r="AK122" s="238" t="n"/>
      <c r="AL122" s="238" t="n"/>
      <c r="AM122" s="238" t="n"/>
      <c r="AN122" s="238" t="n"/>
      <c r="AO122" s="238" t="n"/>
      <c r="AP122" s="238" t="n"/>
      <c r="AQ122" s="238" t="n"/>
      <c r="AR122" s="238" t="n"/>
      <c r="AS122" s="238" t="n"/>
      <c r="AT122" s="238" t="n"/>
      <c r="AU122" s="238" t="n"/>
      <c r="AV122" s="238" t="n"/>
      <c r="AW122" s="238" t="n"/>
      <c r="AX122" s="238" t="n"/>
      <c r="AY122" s="238" t="n"/>
      <c r="AZ122" s="238" t="n"/>
      <c r="BA122" s="238" t="n"/>
      <c r="BB122" s="238" t="n"/>
      <c r="BC122" s="238" t="n"/>
      <c r="BD122" s="238" t="n"/>
      <c r="BE122" s="238" t="n"/>
      <c r="BF122" s="238" t="n"/>
      <c r="BG122" s="238" t="n"/>
      <c r="BH122" s="238" t="n"/>
      <c r="BI122" s="238" t="n"/>
      <c r="BJ122" s="238" t="n"/>
      <c r="BK122" s="238" t="n"/>
      <c r="BL122" s="238" t="n"/>
      <c r="BM122" s="238" t="n"/>
      <c r="BN122" s="238" t="n"/>
      <c r="BO122" s="238" t="n"/>
      <c r="BP122" s="238" t="n"/>
      <c r="BQ122" s="238" t="n"/>
      <c r="BR122" s="238" t="n"/>
      <c r="BS122" s="238" t="n"/>
      <c r="BT122" s="238" t="n"/>
      <c r="BU122" s="238" t="n"/>
      <c r="BV122" s="238" t="n"/>
      <c r="BW122" s="238" t="n"/>
      <c r="BX122" s="238" t="n"/>
      <c r="BY122" s="238" t="n"/>
      <c r="BZ122" s="238" t="n"/>
      <c r="CA122" s="238" t="n"/>
      <c r="CB122" s="238" t="n"/>
      <c r="CC122" s="238" t="n"/>
      <c r="CD122" s="238" t="n"/>
      <c r="CE122" s="238" t="n"/>
      <c r="CF122" s="238" t="n"/>
      <c r="CG122" s="238" t="n"/>
      <c r="CH122" s="238" t="n"/>
      <c r="CI122" s="238" t="n"/>
      <c r="CJ122" s="238" t="n"/>
      <c r="CK122" s="238" t="n"/>
      <c r="CL122" s="238" t="n"/>
      <c r="CM122" s="238" t="n"/>
      <c r="CN122" s="238" t="n"/>
      <c r="CO122" s="238" t="n"/>
      <c r="CP122" s="238" t="n"/>
      <c r="CQ122" s="238" t="n"/>
      <c r="CR122" s="238" t="n"/>
      <c r="CS122" s="238" t="n"/>
      <c r="CT122" s="238" t="n"/>
      <c r="CU122" s="238" t="n"/>
      <c r="CV122" s="238" t="n"/>
      <c r="CW122" s="238" t="n"/>
      <c r="CX122" s="238" t="n"/>
      <c r="CY122" s="238" t="n"/>
      <c r="CZ122" s="238" t="n"/>
      <c r="DA122" s="238" t="n"/>
      <c r="DB122" s="238" t="n"/>
      <c r="DC122" s="238" t="n"/>
      <c r="DD122" s="238" t="n"/>
      <c r="DE122" s="238" t="n"/>
      <c r="DF122" s="238" t="n"/>
      <c r="DG122" s="238" t="n"/>
      <c r="DH122" s="238" t="n"/>
      <c r="DI122" s="238" t="n"/>
      <c r="DJ122" s="238" t="n"/>
      <c r="DK122" s="238" t="n"/>
      <c r="DL122" s="238" t="n"/>
      <c r="DM122" s="238" t="n"/>
      <c r="DN122" s="238" t="n"/>
      <c r="DO122" s="238" t="n"/>
      <c r="DP122" s="238" t="n"/>
      <c r="DQ122" s="238" t="n"/>
      <c r="DR122" s="238" t="n"/>
      <c r="DS122" s="238" t="n"/>
      <c r="DT122" s="238" t="n"/>
      <c r="DU122" s="238" t="n"/>
      <c r="DV122" s="238" t="n"/>
      <c r="DW122" s="238" t="n"/>
      <c r="DX122" s="238" t="n"/>
      <c r="DY122" s="238" t="n"/>
      <c r="DZ122" s="23" t="n"/>
      <c r="FQ122" s="212" t="n"/>
      <c r="FR122" s="212" t="n"/>
      <c r="FS122" s="212" t="n"/>
      <c r="FT122" s="212" t="n"/>
      <c r="FU122" s="212" t="n"/>
      <c r="FV122" s="212" t="n"/>
      <c r="FW122" s="212" t="n"/>
      <c r="FX122" s="212" t="n"/>
      <c r="FY122" s="212" t="n"/>
      <c r="FZ122" s="212" t="n"/>
    </row>
    <row r="123" hidden="1" ht="36" customFormat="1" customHeight="1" s="5">
      <c r="A123" s="13" t="n"/>
      <c r="C123" s="238" t="n"/>
      <c r="D123" s="238" t="n"/>
      <c r="E123" s="238" t="n"/>
      <c r="F123" s="238" t="n"/>
      <c r="G123" s="238" t="n"/>
      <c r="H123" s="238" t="n"/>
      <c r="I123" s="238" t="n"/>
      <c r="J123" s="238" t="n"/>
      <c r="K123" s="238" t="n"/>
      <c r="L123" s="238" t="n"/>
      <c r="M123" s="238" t="n"/>
      <c r="N123" s="238" t="n"/>
      <c r="O123" s="238" t="n"/>
      <c r="P123" s="238" t="n"/>
      <c r="Q123" s="238" t="n"/>
      <c r="R123" s="238" t="n"/>
      <c r="S123" s="238" t="n"/>
      <c r="T123" s="238" t="n"/>
      <c r="U123" s="238" t="n"/>
      <c r="V123" s="238" t="n"/>
      <c r="W123" s="238" t="n"/>
      <c r="X123" s="238" t="n"/>
      <c r="Y123" s="238" t="n"/>
      <c r="Z123" s="238" t="n"/>
      <c r="AA123" s="238" t="n"/>
      <c r="AB123" s="238" t="n"/>
      <c r="AC123" s="238" t="n"/>
      <c r="AD123" s="238" t="n"/>
      <c r="AE123" s="238" t="n"/>
      <c r="AF123" s="238" t="n"/>
      <c r="AG123" s="238" t="n"/>
      <c r="AH123" s="238" t="n"/>
      <c r="AI123" s="238" t="n"/>
      <c r="AJ123" s="238" t="n"/>
      <c r="AK123" s="238" t="n"/>
      <c r="AL123" s="238" t="n"/>
      <c r="AM123" s="238" t="n"/>
      <c r="AN123" s="238" t="n"/>
      <c r="AO123" s="238" t="n"/>
      <c r="AP123" s="238" t="n"/>
      <c r="AQ123" s="238" t="n"/>
      <c r="AR123" s="238" t="n"/>
      <c r="AS123" s="238" t="n"/>
      <c r="AT123" s="238" t="n"/>
      <c r="AU123" s="238" t="n"/>
      <c r="AV123" s="238" t="n"/>
      <c r="AW123" s="238" t="n"/>
      <c r="AX123" s="238" t="n"/>
      <c r="AY123" s="238" t="n"/>
      <c r="AZ123" s="238" t="n"/>
      <c r="BA123" s="238" t="n"/>
      <c r="BB123" s="238" t="n"/>
      <c r="BC123" s="238" t="n"/>
      <c r="BD123" s="238" t="n"/>
      <c r="BE123" s="238" t="n"/>
      <c r="BF123" s="238" t="n"/>
      <c r="BG123" s="238" t="n"/>
      <c r="BH123" s="238" t="n"/>
      <c r="BI123" s="238" t="n"/>
      <c r="BJ123" s="238" t="n"/>
      <c r="BK123" s="238" t="n"/>
      <c r="BL123" s="238" t="n"/>
      <c r="BM123" s="238" t="n"/>
      <c r="BN123" s="238" t="n"/>
      <c r="BO123" s="238" t="n"/>
      <c r="BP123" s="238" t="n"/>
      <c r="BQ123" s="238" t="n"/>
      <c r="BR123" s="238" t="n"/>
      <c r="BS123" s="238" t="n"/>
      <c r="BT123" s="238" t="n"/>
      <c r="BU123" s="238" t="n"/>
      <c r="BV123" s="238" t="n"/>
      <c r="BW123" s="238" t="n"/>
      <c r="BX123" s="238" t="n"/>
      <c r="BY123" s="238" t="n"/>
      <c r="BZ123" s="238" t="n"/>
      <c r="CA123" s="238" t="n"/>
      <c r="CB123" s="238" t="n"/>
      <c r="CC123" s="238" t="n"/>
      <c r="CD123" s="238" t="n"/>
      <c r="CE123" s="238" t="n"/>
      <c r="CF123" s="238" t="n"/>
      <c r="CG123" s="238" t="n"/>
      <c r="CH123" s="238" t="n"/>
      <c r="CI123" s="238" t="n"/>
      <c r="CJ123" s="238" t="n"/>
      <c r="CK123" s="238" t="n"/>
      <c r="CL123" s="238" t="n"/>
      <c r="CM123" s="238" t="n"/>
      <c r="CN123" s="238" t="n"/>
      <c r="CO123" s="238" t="n"/>
      <c r="CP123" s="238" t="n"/>
      <c r="CQ123" s="238" t="n"/>
      <c r="CR123" s="238" t="n"/>
      <c r="CS123" s="238" t="n"/>
      <c r="CT123" s="238" t="n"/>
      <c r="CU123" s="238" t="n"/>
      <c r="CV123" s="238" t="n"/>
      <c r="CW123" s="238" t="n"/>
      <c r="CX123" s="238" t="n"/>
      <c r="CY123" s="238" t="n"/>
      <c r="CZ123" s="238" t="n"/>
      <c r="DA123" s="238" t="n"/>
      <c r="DB123" s="238" t="n"/>
      <c r="DC123" s="238" t="n"/>
      <c r="DD123" s="238" t="n"/>
      <c r="DE123" s="238" t="n"/>
      <c r="DF123" s="238" t="n"/>
      <c r="DG123" s="238" t="n"/>
      <c r="DH123" s="238" t="n"/>
      <c r="DI123" s="238" t="n"/>
      <c r="DJ123" s="238" t="n"/>
      <c r="DK123" s="238" t="n"/>
      <c r="DL123" s="238" t="n"/>
      <c r="DM123" s="238" t="n"/>
      <c r="DN123" s="238" t="n"/>
      <c r="DO123" s="238" t="n"/>
      <c r="DP123" s="238" t="n"/>
      <c r="DQ123" s="238" t="n"/>
      <c r="DR123" s="238" t="n"/>
      <c r="DS123" s="238" t="n"/>
      <c r="DT123" s="238" t="n"/>
      <c r="DU123" s="238" t="n"/>
      <c r="DV123" s="238" t="n"/>
      <c r="DW123" s="238" t="n"/>
      <c r="DX123" s="238" t="n"/>
      <c r="DY123" s="238" t="n"/>
      <c r="DZ123" s="23" t="n"/>
      <c r="FQ123" s="212" t="n"/>
      <c r="FR123" s="212" t="n"/>
      <c r="FS123" s="212" t="n"/>
      <c r="FT123" s="212" t="n"/>
      <c r="FU123" s="212" t="n"/>
      <c r="FV123" s="212" t="n"/>
      <c r="FW123" s="212" t="n"/>
      <c r="FX123" s="212" t="n"/>
      <c r="FY123" s="212" t="n"/>
      <c r="FZ123" s="212" t="n"/>
    </row>
    <row r="124" hidden="1" ht="36" customFormat="1" customHeight="1" s="5">
      <c r="A124" s="13" t="n"/>
      <c r="C124" s="238" t="n"/>
      <c r="D124" s="238" t="n"/>
      <c r="E124" s="238" t="n"/>
      <c r="F124" s="238" t="n"/>
      <c r="G124" s="238" t="n"/>
      <c r="H124" s="238" t="n"/>
      <c r="I124" s="238" t="n"/>
      <c r="J124" s="238" t="n"/>
      <c r="K124" s="238" t="n"/>
      <c r="L124" s="238" t="n"/>
      <c r="M124" s="238" t="n"/>
      <c r="N124" s="238" t="n"/>
      <c r="O124" s="238" t="n"/>
      <c r="P124" s="238" t="n"/>
      <c r="Q124" s="238" t="n"/>
      <c r="R124" s="238" t="n"/>
      <c r="S124" s="238" t="n"/>
      <c r="T124" s="238" t="n"/>
      <c r="U124" s="238" t="n"/>
      <c r="V124" s="238" t="n"/>
      <c r="W124" s="238" t="n"/>
      <c r="X124" s="238" t="n"/>
      <c r="Y124" s="238" t="n"/>
      <c r="Z124" s="238" t="n"/>
      <c r="AA124" s="238" t="n"/>
      <c r="AB124" s="238" t="n"/>
      <c r="AC124" s="238" t="n"/>
      <c r="AD124" s="238" t="n"/>
      <c r="AE124" s="238" t="n"/>
      <c r="AF124" s="238" t="n"/>
      <c r="AG124" s="238" t="n"/>
      <c r="AH124" s="238" t="n"/>
      <c r="AI124" s="238" t="n"/>
      <c r="AJ124" s="238" t="n"/>
      <c r="AK124" s="238" t="n"/>
      <c r="AL124" s="238" t="n"/>
      <c r="AM124" s="238" t="n"/>
      <c r="AN124" s="238" t="n"/>
      <c r="AO124" s="238" t="n"/>
      <c r="AP124" s="238" t="n"/>
      <c r="AQ124" s="238" t="n"/>
      <c r="AR124" s="238" t="n"/>
      <c r="AS124" s="238" t="n"/>
      <c r="AT124" s="238" t="n"/>
      <c r="AU124" s="238" t="n"/>
      <c r="AV124" s="238" t="n"/>
      <c r="AW124" s="238" t="n"/>
      <c r="AX124" s="238" t="n"/>
      <c r="AY124" s="238" t="n"/>
      <c r="AZ124" s="238" t="n"/>
      <c r="BA124" s="238" t="n"/>
      <c r="BB124" s="238" t="n"/>
      <c r="BC124" s="238" t="n"/>
      <c r="BD124" s="238" t="n"/>
      <c r="BE124" s="238" t="n"/>
      <c r="BF124" s="238" t="n"/>
      <c r="BG124" s="238" t="n"/>
      <c r="BH124" s="238" t="n"/>
      <c r="BI124" s="238" t="n"/>
      <c r="BJ124" s="238" t="n"/>
      <c r="BK124" s="238" t="n"/>
      <c r="BL124" s="238" t="n"/>
      <c r="BM124" s="238" t="n"/>
      <c r="BN124" s="238" t="n"/>
      <c r="BO124" s="238" t="n"/>
      <c r="BP124" s="238" t="n"/>
      <c r="BQ124" s="238" t="n"/>
      <c r="BR124" s="238" t="n"/>
      <c r="BS124" s="238" t="n"/>
      <c r="BT124" s="238" t="n"/>
      <c r="BU124" s="238" t="n"/>
      <c r="BV124" s="238" t="n"/>
      <c r="BW124" s="238" t="n"/>
      <c r="BX124" s="238" t="n"/>
      <c r="BY124" s="238" t="n"/>
      <c r="BZ124" s="238" t="n"/>
      <c r="CA124" s="238" t="n"/>
      <c r="CB124" s="238" t="n"/>
      <c r="CC124" s="238" t="n"/>
      <c r="CD124" s="238" t="n"/>
      <c r="CE124" s="238" t="n"/>
      <c r="CF124" s="238" t="n"/>
      <c r="CG124" s="238" t="n"/>
      <c r="CH124" s="238" t="n"/>
      <c r="CI124" s="238" t="n"/>
      <c r="CJ124" s="238" t="n"/>
      <c r="CK124" s="238" t="n"/>
      <c r="CL124" s="238" t="n"/>
      <c r="CM124" s="238" t="n"/>
      <c r="CN124" s="238" t="n"/>
      <c r="CO124" s="238" t="n"/>
      <c r="CP124" s="238" t="n"/>
      <c r="CQ124" s="238" t="n"/>
      <c r="CR124" s="238" t="n"/>
      <c r="CS124" s="238" t="n"/>
      <c r="CT124" s="238" t="n"/>
      <c r="CU124" s="238" t="n"/>
      <c r="CV124" s="238" t="n"/>
      <c r="CW124" s="238" t="n"/>
      <c r="CX124" s="238" t="n"/>
      <c r="CY124" s="238" t="n"/>
      <c r="CZ124" s="238" t="n"/>
      <c r="DA124" s="238" t="n"/>
      <c r="DB124" s="238" t="n"/>
      <c r="DC124" s="238" t="n"/>
      <c r="DD124" s="238" t="n"/>
      <c r="DE124" s="238" t="n"/>
      <c r="DF124" s="238" t="n"/>
      <c r="DG124" s="238" t="n"/>
      <c r="DH124" s="238" t="n"/>
      <c r="DI124" s="238" t="n"/>
      <c r="DJ124" s="238" t="n"/>
      <c r="DK124" s="238" t="n"/>
      <c r="DL124" s="238" t="n"/>
      <c r="DM124" s="238" t="n"/>
      <c r="DN124" s="238" t="n"/>
      <c r="DO124" s="238" t="n"/>
      <c r="DP124" s="238" t="n"/>
      <c r="DQ124" s="238" t="n"/>
      <c r="DR124" s="238" t="n"/>
      <c r="DS124" s="238" t="n"/>
      <c r="DT124" s="238" t="n"/>
      <c r="DU124" s="238" t="n"/>
      <c r="DV124" s="238" t="n"/>
      <c r="DW124" s="238" t="n"/>
      <c r="DX124" s="238" t="n"/>
      <c r="DY124" s="238" t="n"/>
      <c r="DZ124" s="23" t="n"/>
      <c r="FQ124" s="212" t="n"/>
      <c r="FR124" s="212" t="n"/>
      <c r="FS124" s="212" t="n"/>
      <c r="FT124" s="212" t="n"/>
      <c r="FU124" s="212" t="n"/>
      <c r="FV124" s="212" t="n"/>
      <c r="FW124" s="212" t="n"/>
      <c r="FX124" s="212" t="n"/>
      <c r="FY124" s="212" t="n"/>
      <c r="FZ124" s="212" t="n"/>
    </row>
    <row r="125" hidden="1" ht="36" customFormat="1" customHeight="1" s="5">
      <c r="A125" s="13" t="n"/>
      <c r="C125" s="238" t="n"/>
      <c r="D125" s="238" t="n"/>
      <c r="E125" s="238" t="n"/>
      <c r="F125" s="238" t="n"/>
      <c r="G125" s="238" t="n"/>
      <c r="H125" s="238" t="n"/>
      <c r="I125" s="238" t="n"/>
      <c r="J125" s="238" t="n"/>
      <c r="K125" s="238" t="n"/>
      <c r="L125" s="238" t="n"/>
      <c r="M125" s="238" t="n"/>
      <c r="N125" s="238" t="n"/>
      <c r="O125" s="238" t="n"/>
      <c r="P125" s="238" t="n"/>
      <c r="Q125" s="238" t="n"/>
      <c r="R125" s="238" t="n"/>
      <c r="S125" s="238" t="n"/>
      <c r="T125" s="238" t="n"/>
      <c r="U125" s="238" t="n"/>
      <c r="V125" s="238" t="n"/>
      <c r="W125" s="238" t="n"/>
      <c r="X125" s="238" t="n"/>
      <c r="Y125" s="238" t="n"/>
      <c r="Z125" s="238" t="n"/>
      <c r="AA125" s="238" t="n"/>
      <c r="AB125" s="238" t="n"/>
      <c r="AC125" s="238" t="n"/>
      <c r="AD125" s="238" t="n"/>
      <c r="AE125" s="238" t="n"/>
      <c r="AF125" s="238" t="n"/>
      <c r="AG125" s="238" t="n"/>
      <c r="AH125" s="238" t="n"/>
      <c r="AI125" s="238" t="n"/>
      <c r="AJ125" s="238" t="n"/>
      <c r="AK125" s="238" t="n"/>
      <c r="AL125" s="238" t="n"/>
      <c r="AM125" s="238" t="n"/>
      <c r="AN125" s="238" t="n"/>
      <c r="AO125" s="238" t="n"/>
      <c r="AP125" s="238" t="n"/>
      <c r="AQ125" s="238" t="n"/>
      <c r="AR125" s="238" t="n"/>
      <c r="AS125" s="238" t="n"/>
      <c r="AT125" s="238" t="n"/>
      <c r="AU125" s="238" t="n"/>
      <c r="AV125" s="238" t="n"/>
      <c r="AW125" s="238" t="n"/>
      <c r="AX125" s="238" t="n"/>
      <c r="AY125" s="238" t="n"/>
      <c r="AZ125" s="238" t="n"/>
      <c r="BA125" s="238" t="n"/>
      <c r="BB125" s="238" t="n"/>
      <c r="BC125" s="238" t="n"/>
      <c r="BD125" s="238" t="n"/>
      <c r="BE125" s="238" t="n"/>
      <c r="BF125" s="238" t="n"/>
      <c r="BG125" s="238" t="n"/>
      <c r="BH125" s="238" t="n"/>
      <c r="BI125" s="238" t="n"/>
      <c r="BJ125" s="238" t="n"/>
      <c r="BK125" s="238" t="n"/>
      <c r="BL125" s="238" t="n"/>
      <c r="BM125" s="238" t="n"/>
      <c r="BN125" s="238" t="n"/>
      <c r="BO125" s="238" t="n"/>
      <c r="BP125" s="238" t="n"/>
      <c r="BQ125" s="238" t="n"/>
      <c r="BR125" s="238" t="n"/>
      <c r="BS125" s="238" t="n"/>
      <c r="BT125" s="238" t="n"/>
      <c r="BU125" s="238" t="n"/>
      <c r="BV125" s="238" t="n"/>
      <c r="BW125" s="238" t="n"/>
      <c r="BX125" s="238" t="n"/>
      <c r="BY125" s="238" t="n"/>
      <c r="BZ125" s="238" t="n"/>
      <c r="CA125" s="238" t="n"/>
      <c r="CB125" s="238" t="n"/>
      <c r="CC125" s="238" t="n"/>
      <c r="CD125" s="238" t="n"/>
      <c r="CE125" s="238" t="n"/>
      <c r="CF125" s="238" t="n"/>
      <c r="CG125" s="238" t="n"/>
      <c r="CH125" s="238" t="n"/>
      <c r="CI125" s="238" t="n"/>
      <c r="CJ125" s="238" t="n"/>
      <c r="CK125" s="238" t="n"/>
      <c r="CL125" s="238" t="n"/>
      <c r="CM125" s="238" t="n"/>
      <c r="CN125" s="238" t="n"/>
      <c r="CO125" s="238" t="n"/>
      <c r="CP125" s="238" t="n"/>
      <c r="CQ125" s="238" t="n"/>
      <c r="CR125" s="238" t="n"/>
      <c r="CS125" s="238" t="n"/>
      <c r="CT125" s="238" t="n"/>
      <c r="CU125" s="238" t="n"/>
      <c r="CV125" s="238" t="n"/>
      <c r="CW125" s="238" t="n"/>
      <c r="CX125" s="238" t="n"/>
      <c r="CY125" s="238" t="n"/>
      <c r="CZ125" s="238" t="n"/>
      <c r="DA125" s="238" t="n"/>
      <c r="DB125" s="238" t="n"/>
      <c r="DC125" s="238" t="n"/>
      <c r="DD125" s="238" t="n"/>
      <c r="DE125" s="238" t="n"/>
      <c r="DF125" s="238" t="n"/>
      <c r="DG125" s="238" t="n"/>
      <c r="DH125" s="238" t="n"/>
      <c r="DI125" s="238" t="n"/>
      <c r="DJ125" s="238" t="n"/>
      <c r="DK125" s="238" t="n"/>
      <c r="DL125" s="238" t="n"/>
      <c r="DM125" s="238" t="n"/>
      <c r="DN125" s="238" t="n"/>
      <c r="DO125" s="238" t="n"/>
      <c r="DP125" s="238" t="n"/>
      <c r="DQ125" s="238" t="n"/>
      <c r="DR125" s="238" t="n"/>
      <c r="DS125" s="238" t="n"/>
      <c r="DT125" s="238" t="n"/>
      <c r="DU125" s="238" t="n"/>
      <c r="DV125" s="238" t="n"/>
      <c r="DW125" s="238" t="n"/>
      <c r="DX125" s="238" t="n"/>
      <c r="DY125" s="238" t="n"/>
      <c r="DZ125" s="23" t="n"/>
      <c r="FQ125" s="212" t="n"/>
      <c r="FR125" s="212" t="n"/>
      <c r="FS125" s="212" t="n"/>
      <c r="FT125" s="212" t="n"/>
      <c r="FU125" s="212" t="n"/>
      <c r="FV125" s="212" t="n"/>
      <c r="FW125" s="212" t="n"/>
      <c r="FX125" s="212" t="n"/>
      <c r="FY125" s="212" t="n"/>
      <c r="FZ125" s="212" t="n"/>
    </row>
    <row r="126" ht="36" customFormat="1" customHeight="1" s="5">
      <c r="A126" s="14" t="n"/>
      <c r="C126" s="238" t="n"/>
      <c r="D126" s="238" t="n"/>
      <c r="E126" s="238" t="n"/>
      <c r="F126" s="238" t="n"/>
      <c r="G126" s="238" t="n"/>
      <c r="H126" s="238" t="n"/>
      <c r="I126" s="238" t="n"/>
      <c r="J126" s="238" t="n"/>
      <c r="K126" s="238" t="n"/>
      <c r="L126" s="238" t="n"/>
      <c r="M126" s="238" t="n"/>
      <c r="N126" s="238" t="n"/>
      <c r="O126" s="238" t="n"/>
      <c r="P126" s="238" t="n"/>
      <c r="Q126" s="238" t="n"/>
      <c r="R126" s="238" t="n"/>
      <c r="S126" s="238" t="n"/>
      <c r="T126" s="238" t="n"/>
      <c r="U126" s="238" t="n"/>
      <c r="V126" s="238" t="n"/>
      <c r="W126" s="238" t="n"/>
      <c r="X126" s="238" t="n"/>
      <c r="Y126" s="238" t="n"/>
      <c r="Z126" s="238" t="n"/>
      <c r="AA126" s="238" t="n"/>
      <c r="AB126" s="238" t="n"/>
      <c r="AC126" s="238" t="n"/>
      <c r="AD126" s="238" t="n"/>
      <c r="AE126" s="238" t="n"/>
      <c r="AF126" s="238" t="n"/>
      <c r="AG126" s="238" t="n"/>
      <c r="AH126" s="238" t="n"/>
      <c r="AI126" s="238" t="n"/>
      <c r="AJ126" s="238" t="n"/>
      <c r="AK126" s="238" t="n"/>
      <c r="AL126" s="238" t="n"/>
      <c r="AM126" s="238" t="n"/>
      <c r="AN126" s="238" t="n"/>
      <c r="AO126" s="238" t="n"/>
      <c r="AP126" s="238" t="n"/>
      <c r="AQ126" s="238" t="n"/>
      <c r="AR126" s="238" t="n"/>
      <c r="AS126" s="238" t="n"/>
      <c r="AT126" s="238" t="n"/>
      <c r="AU126" s="238" t="n"/>
      <c r="AV126" s="238" t="n"/>
      <c r="AW126" s="238" t="n"/>
      <c r="AX126" s="238" t="n"/>
      <c r="AY126" s="238" t="n"/>
      <c r="AZ126" s="238" t="n"/>
      <c r="BA126" s="238" t="n"/>
      <c r="BB126" s="238" t="n"/>
      <c r="BC126" s="238" t="n"/>
      <c r="BD126" s="238" t="n"/>
      <c r="BE126" s="238" t="n"/>
      <c r="BF126" s="238" t="n"/>
      <c r="BG126" s="238" t="n"/>
      <c r="BH126" s="238" t="n"/>
      <c r="BI126" s="238" t="n"/>
      <c r="BJ126" s="238" t="n"/>
      <c r="BK126" s="238" t="n"/>
      <c r="BL126" s="238" t="n"/>
      <c r="BM126" s="238" t="n"/>
      <c r="BN126" s="238" t="n"/>
      <c r="BO126" s="238" t="n"/>
      <c r="BP126" s="238" t="n"/>
      <c r="BQ126" s="238" t="n"/>
      <c r="BR126" s="238" t="n"/>
      <c r="BS126" s="238" t="n"/>
      <c r="BT126" s="238" t="n"/>
      <c r="BU126" s="238" t="n"/>
      <c r="BV126" s="238" t="n"/>
      <c r="BW126" s="238" t="n"/>
      <c r="BX126" s="238" t="n"/>
      <c r="BY126" s="238" t="n"/>
      <c r="BZ126" s="238" t="n"/>
      <c r="CA126" s="238" t="n"/>
      <c r="CB126" s="238" t="n"/>
      <c r="CC126" s="238" t="n"/>
      <c r="CD126" s="238" t="n"/>
      <c r="CE126" s="238" t="n"/>
      <c r="CF126" s="238" t="n"/>
      <c r="CG126" s="238" t="n"/>
      <c r="CH126" s="238" t="n"/>
      <c r="CI126" s="238" t="n"/>
      <c r="CJ126" s="238" t="n"/>
      <c r="CK126" s="238" t="n"/>
      <c r="CL126" s="238" t="n"/>
      <c r="CM126" s="238" t="n"/>
      <c r="CN126" s="238" t="n"/>
      <c r="CO126" s="238" t="n"/>
      <c r="CP126" s="238" t="n"/>
      <c r="CQ126" s="238" t="n"/>
      <c r="CR126" s="238" t="n"/>
      <c r="CS126" s="238" t="n"/>
      <c r="CT126" s="238" t="n"/>
      <c r="CU126" s="238" t="n"/>
      <c r="CV126" s="238" t="n"/>
      <c r="CW126" s="238" t="n"/>
      <c r="CX126" s="238" t="n"/>
      <c r="CY126" s="238" t="n"/>
      <c r="CZ126" s="238" t="n"/>
      <c r="DA126" s="238" t="n"/>
      <c r="DB126" s="238" t="n"/>
      <c r="DC126" s="238" t="n"/>
      <c r="DD126" s="238" t="n"/>
      <c r="DE126" s="238" t="n"/>
      <c r="DF126" s="238" t="n"/>
      <c r="DG126" s="238" t="n"/>
      <c r="DH126" s="238" t="n"/>
      <c r="DI126" s="238" t="n"/>
      <c r="DJ126" s="238" t="n"/>
      <c r="DK126" s="238" t="n"/>
      <c r="DL126" s="238" t="n"/>
      <c r="DM126" s="238" t="n"/>
      <c r="DN126" s="238" t="n"/>
      <c r="DO126" s="238" t="n"/>
      <c r="DP126" s="238" t="n"/>
      <c r="DQ126" s="238" t="n"/>
      <c r="DR126" s="238" t="n"/>
      <c r="DS126" s="238" t="n"/>
      <c r="DT126" s="238" t="n"/>
      <c r="DU126" s="238" t="n"/>
      <c r="DV126" s="238" t="n"/>
      <c r="DW126" s="238" t="n"/>
      <c r="DX126" s="238" t="n"/>
      <c r="DY126" s="238" t="n"/>
      <c r="DZ126" s="24" t="n"/>
      <c r="FQ126" s="212" t="n"/>
      <c r="FR126" s="212" t="n"/>
      <c r="FS126" s="212" t="n"/>
      <c r="FT126" s="212" t="n"/>
      <c r="FU126" s="212" t="n"/>
      <c r="FV126" s="212" t="n"/>
      <c r="FW126" s="212" t="n"/>
      <c r="FX126" s="212" t="n"/>
      <c r="FY126" s="212" t="n"/>
      <c r="FZ126" s="212" t="n"/>
    </row>
    <row r="127" ht="36" customFormat="1" customHeight="1" s="5">
      <c r="A127" s="9" t="n"/>
      <c r="B127" s="566" t="inlineStr">
        <is>
          <t>CORROSION RATE (mpy):</t>
        </is>
      </c>
      <c r="C127" s="448" t="n"/>
      <c r="D127" s="448" t="n"/>
      <c r="E127" s="448" t="n"/>
      <c r="F127" s="448" t="n"/>
      <c r="G127" s="448" t="n"/>
      <c r="H127" s="448" t="n"/>
      <c r="I127" s="448" t="n"/>
      <c r="J127" s="448" t="n"/>
      <c r="K127" s="448" t="n"/>
      <c r="L127" s="449" t="n"/>
      <c r="M127" s="567" t="inlineStr">
        <is>
          <t>NOTE:  CORROSION RATES ARE BASED ON COMPARISON OF</t>
        </is>
      </c>
      <c r="N127" s="458" t="n"/>
      <c r="O127" s="458" t="n"/>
      <c r="P127" s="458" t="n"/>
      <c r="Q127" s="458" t="n"/>
      <c r="R127" s="458" t="n"/>
      <c r="S127" s="458" t="n"/>
      <c r="T127" s="458" t="n"/>
      <c r="U127" s="458" t="n"/>
      <c r="V127" s="458" t="n"/>
      <c r="W127" s="458" t="n"/>
      <c r="X127" s="458" t="n"/>
      <c r="Y127" s="458" t="n"/>
      <c r="Z127" s="458" t="n"/>
      <c r="AA127" s="458" t="n"/>
      <c r="AB127" s="458" t="n"/>
      <c r="AC127" s="458" t="n"/>
      <c r="AD127" s="458" t="n"/>
      <c r="AE127" s="458" t="n"/>
      <c r="AF127" s="446" t="n"/>
      <c r="AG127" s="459" t="inlineStr">
        <is>
          <t>TEST RESULTS</t>
        </is>
      </c>
      <c r="AH127" s="458" t="n"/>
      <c r="AI127" s="458" t="n"/>
      <c r="AJ127" s="458" t="n"/>
      <c r="AK127" s="458" t="n"/>
      <c r="AL127" s="458" t="n"/>
      <c r="AM127" s="458" t="n"/>
      <c r="AN127" s="458" t="n"/>
      <c r="AO127" s="458" t="n"/>
      <c r="AP127" s="458" t="n"/>
      <c r="AQ127" s="458" t="n"/>
      <c r="AR127" s="458" t="n"/>
      <c r="AS127" s="458" t="n"/>
      <c r="AT127" s="458" t="n"/>
      <c r="AU127" s="458" t="n"/>
      <c r="AV127" s="446" t="n"/>
      <c r="AW127" s="460" t="n"/>
      <c r="AX127" s="458" t="n"/>
      <c r="AY127" s="458" t="n"/>
      <c r="AZ127" s="458" t="n"/>
      <c r="BA127" s="458" t="n"/>
      <c r="BB127" s="458" t="n"/>
      <c r="BC127" s="458" t="n"/>
      <c r="BD127" s="458" t="n"/>
      <c r="BE127" s="458" t="n"/>
      <c r="BF127" s="458" t="n"/>
      <c r="BG127" s="458" t="n"/>
      <c r="BH127" s="458" t="n"/>
      <c r="BI127" s="458" t="n"/>
      <c r="BJ127" s="458" t="n"/>
      <c r="BK127" s="458" t="n"/>
      <c r="BL127" s="458" t="n"/>
      <c r="BM127" s="458" t="n"/>
      <c r="BN127" s="458" t="n"/>
      <c r="BO127" s="458" t="n"/>
      <c r="BP127" s="458" t="n"/>
      <c r="BQ127" s="458" t="n"/>
      <c r="BR127" s="461" t="inlineStr">
        <is>
          <t>APPLIED TECHNICAL SERVICES 
1049 Triad Court
Marietta, Georgia 30062
Office # (770) 423-1400
Fax # (770) 514-3299
www.atslab.com</t>
        </is>
      </c>
      <c r="BS127" s="458" t="n"/>
      <c r="BT127" s="458" t="n"/>
      <c r="BU127" s="458" t="n"/>
      <c r="BV127" s="458" t="n"/>
      <c r="BW127" s="458" t="n"/>
      <c r="BX127" s="458" t="n"/>
      <c r="BY127" s="458" t="n"/>
      <c r="BZ127" s="458" t="n"/>
      <c r="CA127" s="458" t="n"/>
      <c r="CB127" s="458" t="n"/>
      <c r="CC127" s="458" t="n"/>
      <c r="CD127" s="458" t="n"/>
      <c r="CE127" s="458" t="n"/>
      <c r="CF127" s="458" t="n"/>
      <c r="CG127" s="458" t="n"/>
      <c r="CH127" s="458" t="n"/>
      <c r="CI127" s="458" t="n"/>
      <c r="CJ127" s="458" t="n"/>
      <c r="CK127" s="446" t="n"/>
      <c r="CL127" s="568">
        <f>Thickness!CL127</f>
        <v/>
      </c>
      <c r="CM127" s="458" t="n"/>
      <c r="CN127" s="458" t="n"/>
      <c r="CO127" s="458" t="n"/>
      <c r="CP127" s="458" t="n"/>
      <c r="CQ127" s="458" t="n"/>
      <c r="CR127" s="458" t="n"/>
      <c r="CS127" s="458" t="n"/>
      <c r="CT127" s="458" t="n"/>
      <c r="CU127" s="458" t="n"/>
      <c r="CV127" s="458" t="n"/>
      <c r="CW127" s="458" t="n"/>
      <c r="CX127" s="458" t="n"/>
      <c r="CY127" s="458" t="n"/>
      <c r="CZ127" s="458" t="n"/>
      <c r="DA127" s="458" t="n"/>
      <c r="DB127" s="458" t="n"/>
      <c r="DC127" s="458" t="n"/>
      <c r="DD127" s="458" t="n"/>
      <c r="DE127" s="458" t="n"/>
      <c r="DF127" s="458" t="n"/>
      <c r="DG127" s="458" t="n"/>
      <c r="DH127" s="458" t="n"/>
      <c r="DI127" s="458" t="n"/>
      <c r="DJ127" s="458" t="n"/>
      <c r="DK127" s="458" t="n"/>
      <c r="DL127" s="458" t="n"/>
      <c r="DM127" s="458" t="n"/>
      <c r="DN127" s="458" t="n"/>
      <c r="DO127" s="458" t="n"/>
      <c r="DP127" s="458" t="n"/>
      <c r="DQ127" s="458" t="n"/>
      <c r="DR127" s="458" t="n"/>
      <c r="DS127" s="458" t="n"/>
      <c r="DT127" s="458" t="n"/>
      <c r="DU127" s="458" t="n"/>
      <c r="DV127" s="458" t="n"/>
      <c r="DW127" s="458" t="n"/>
      <c r="DX127" s="458" t="n"/>
      <c r="DY127" s="458" t="n"/>
      <c r="DZ127" s="446" t="n"/>
      <c r="FQ127" s="212" t="n"/>
      <c r="FR127" s="212" t="n"/>
      <c r="FS127" s="212" t="n"/>
      <c r="FT127" s="212" t="n"/>
      <c r="FU127" s="212" t="n"/>
      <c r="FV127" s="212" t="n"/>
      <c r="FW127" s="212" t="n"/>
      <c r="FX127" s="212" t="n"/>
      <c r="FY127" s="212" t="n"/>
      <c r="FZ127" s="212" t="n"/>
    </row>
    <row r="128" ht="36" customFormat="1" customHeight="1" s="5">
      <c r="A128" s="234" t="inlineStr">
        <is>
          <t>LEGEND</t>
        </is>
      </c>
      <c r="B128" s="569" t="inlineStr">
        <is>
          <t>&lt; 0 mpy (LOSS) or no data</t>
        </is>
      </c>
      <c r="C128" s="448" t="n"/>
      <c r="D128" s="448" t="n"/>
      <c r="E128" s="448" t="n"/>
      <c r="F128" s="448" t="n"/>
      <c r="G128" s="448" t="n"/>
      <c r="H128" s="448" t="n"/>
      <c r="I128" s="448" t="n"/>
      <c r="J128" s="448" t="n"/>
      <c r="K128" s="448" t="n"/>
      <c r="L128" s="449" t="n"/>
      <c r="M128" s="13" t="n"/>
      <c r="AF128" s="464" t="n"/>
      <c r="AG128" s="570" t="inlineStr">
        <is>
          <t>OVERALL CORROSION RATE (mils per year):</t>
        </is>
      </c>
      <c r="AH128" s="458" t="n"/>
      <c r="AI128" s="458" t="n"/>
      <c r="AJ128" s="458" t="n"/>
      <c r="AK128" s="458" t="n"/>
      <c r="AL128" s="458" t="n"/>
      <c r="AM128" s="458" t="n"/>
      <c r="AN128" s="458" t="n"/>
      <c r="AO128" s="458" t="n"/>
      <c r="AP128" s="458" t="n"/>
      <c r="AQ128" s="458" t="n"/>
      <c r="AR128" s="458" t="n"/>
      <c r="AS128" s="458" t="n"/>
      <c r="AT128" s="458" t="n"/>
      <c r="AU128" s="458" t="n"/>
      <c r="AV128" s="446" t="n"/>
      <c r="AW128" s="13" t="n"/>
      <c r="CK128" s="464" t="n"/>
      <c r="CL128" s="571">
        <f>Thickness!CL128</f>
        <v/>
      </c>
      <c r="DZ128" s="464" t="n"/>
      <c r="FQ128" s="212" t="n"/>
      <c r="FR128" s="212" t="n"/>
      <c r="FS128" s="212" t="n"/>
      <c r="FT128" s="212" t="n"/>
      <c r="FU128" s="212" t="n"/>
      <c r="FV128" s="212" t="n"/>
      <c r="FW128" s="212" t="n"/>
      <c r="FX128" s="212" t="n"/>
      <c r="FY128" s="212" t="n"/>
      <c r="FZ128" s="212" t="n"/>
    </row>
    <row r="129" ht="36" customHeight="1">
      <c r="A129" s="456" t="n"/>
      <c r="B129" s="572" t="inlineStr">
        <is>
          <t>0-10 mpy (LOSS)</t>
        </is>
      </c>
      <c r="C129" s="448" t="n"/>
      <c r="D129" s="448" t="n"/>
      <c r="E129" s="448" t="n"/>
      <c r="F129" s="448" t="n"/>
      <c r="G129" s="448" t="n"/>
      <c r="H129" s="448" t="n"/>
      <c r="I129" s="448" t="n"/>
      <c r="J129" s="448" t="n"/>
      <c r="K129" s="448" t="n"/>
      <c r="L129" s="449" t="n"/>
      <c r="M129" s="573" t="inlineStr">
        <is>
          <t>2020, 2022, 2023, 2024, 2025</t>
        </is>
      </c>
      <c r="AF129" s="464" t="n"/>
      <c r="AG129" s="13" t="n"/>
      <c r="AV129" s="464" t="n"/>
      <c r="AW129" s="13" t="n"/>
      <c r="CK129" s="464" t="n"/>
      <c r="CL129" s="574" t="inlineStr">
        <is>
          <t>CALCULATED CORROSION RATE</t>
        </is>
      </c>
      <c r="DZ129" s="464" t="n"/>
    </row>
    <row r="130" ht="36" customHeight="1">
      <c r="A130" s="456" t="n"/>
      <c r="B130" s="575" t="inlineStr">
        <is>
          <t>10-20 mpy (LOSS)</t>
        </is>
      </c>
      <c r="C130" s="448" t="n"/>
      <c r="D130" s="448" t="n"/>
      <c r="E130" s="448" t="n"/>
      <c r="F130" s="448" t="n"/>
      <c r="G130" s="448" t="n"/>
      <c r="H130" s="448" t="n"/>
      <c r="I130" s="448" t="n"/>
      <c r="J130" s="448" t="n"/>
      <c r="K130" s="448" t="n"/>
      <c r="L130" s="449" t="n"/>
      <c r="M130" s="576" t="inlineStr">
        <is>
          <t>INSPECTION DATA</t>
        </is>
      </c>
      <c r="AF130" s="464" t="n"/>
      <c r="AG130" s="577" t="n">
        <v>2.847</v>
      </c>
      <c r="AV130" s="464" t="n"/>
      <c r="AW130" s="14" t="n"/>
      <c r="AX130" s="468" t="n"/>
      <c r="AY130" s="468" t="n"/>
      <c r="AZ130" s="468" t="n"/>
      <c r="BA130" s="468" t="n"/>
      <c r="BB130" s="468" t="n"/>
      <c r="BC130" s="468" t="n"/>
      <c r="BD130" s="468" t="n"/>
      <c r="BE130" s="468" t="n"/>
      <c r="BF130" s="468" t="n"/>
      <c r="BG130" s="468" t="n"/>
      <c r="BH130" s="468" t="n"/>
      <c r="BI130" s="468" t="n"/>
      <c r="BJ130" s="468" t="n"/>
      <c r="BK130" s="468" t="n"/>
      <c r="BL130" s="468" t="n"/>
      <c r="BM130" s="468" t="n"/>
      <c r="BN130" s="468" t="n"/>
      <c r="BO130" s="468" t="n"/>
      <c r="BP130" s="468" t="n"/>
      <c r="BQ130" s="468" t="n"/>
      <c r="BR130" s="468" t="n"/>
      <c r="BS130" s="468" t="n"/>
      <c r="BT130" s="468" t="n"/>
      <c r="BU130" s="468" t="n"/>
      <c r="BV130" s="468" t="n"/>
      <c r="BW130" s="468" t="n"/>
      <c r="BX130" s="468" t="n"/>
      <c r="BY130" s="468" t="n"/>
      <c r="BZ130" s="468" t="n"/>
      <c r="CA130" s="468" t="n"/>
      <c r="CB130" s="468" t="n"/>
      <c r="CC130" s="468" t="n"/>
      <c r="CD130" s="468" t="n"/>
      <c r="CE130" s="468" t="n"/>
      <c r="CF130" s="468" t="n"/>
      <c r="CG130" s="468" t="n"/>
      <c r="CH130" s="468" t="n"/>
      <c r="CI130" s="468" t="n"/>
      <c r="CJ130" s="468" t="n"/>
      <c r="CK130" s="451" t="n"/>
      <c r="CL130" s="574">
        <f>Thickness!CL130</f>
        <v/>
      </c>
      <c r="DZ130" s="464" t="n"/>
    </row>
    <row r="131" ht="36" customHeight="1">
      <c r="A131" s="469" t="n"/>
      <c r="B131" s="578" t="inlineStr">
        <is>
          <t>&gt; 20 mpy (LOSS)</t>
        </is>
      </c>
      <c r="C131" s="448" t="n"/>
      <c r="D131" s="448" t="n"/>
      <c r="E131" s="448" t="n"/>
      <c r="F131" s="448" t="n"/>
      <c r="G131" s="448" t="n"/>
      <c r="H131" s="448" t="n"/>
      <c r="I131" s="448" t="n"/>
      <c r="J131" s="448" t="n"/>
      <c r="K131" s="448" t="n"/>
      <c r="L131" s="449" t="n"/>
      <c r="M131" s="579" t="inlineStr">
        <is>
          <t>ND</t>
        </is>
      </c>
      <c r="N131" s="448" t="n"/>
      <c r="O131" s="448" t="n"/>
      <c r="P131" s="448" t="n"/>
      <c r="Q131" s="449" t="n"/>
      <c r="R131" s="331" t="inlineStr">
        <is>
          <t xml:space="preserve"> NO COMPARISON DATA</t>
        </is>
      </c>
      <c r="S131" s="468" t="n"/>
      <c r="T131" s="468" t="n"/>
      <c r="U131" s="468" t="n"/>
      <c r="V131" s="468" t="n"/>
      <c r="W131" s="468" t="n"/>
      <c r="X131" s="468" t="n"/>
      <c r="Y131" s="468" t="n"/>
      <c r="Z131" s="468" t="n"/>
      <c r="AA131" s="468" t="n"/>
      <c r="AB131" s="468" t="n"/>
      <c r="AC131" s="468" t="n"/>
      <c r="AD131" s="468" t="n"/>
      <c r="AE131" s="468" t="n"/>
      <c r="AF131" s="451" t="n"/>
      <c r="AG131" s="14" t="n"/>
      <c r="AH131" s="468" t="n"/>
      <c r="AI131" s="468" t="n"/>
      <c r="AJ131" s="468" t="n"/>
      <c r="AK131" s="468" t="n"/>
      <c r="AL131" s="468" t="n"/>
      <c r="AM131" s="468" t="n"/>
      <c r="AN131" s="468" t="n"/>
      <c r="AO131" s="468" t="n"/>
      <c r="AP131" s="468" t="n"/>
      <c r="AQ131" s="468" t="n"/>
      <c r="AR131" s="468" t="n"/>
      <c r="AS131" s="468" t="n"/>
      <c r="AT131" s="468" t="n"/>
      <c r="AU131" s="468" t="n"/>
      <c r="AV131" s="451" t="n"/>
      <c r="AW131" s="208">
        <f>Thickness!AW131</f>
        <v/>
      </c>
      <c r="AX131" s="448" t="n"/>
      <c r="AY131" s="448" t="n"/>
      <c r="AZ131" s="448" t="n"/>
      <c r="BA131" s="448" t="n"/>
      <c r="BB131" s="448" t="n"/>
      <c r="BC131" s="448" t="n"/>
      <c r="BD131" s="448" t="n"/>
      <c r="BE131" s="448" t="n"/>
      <c r="BF131" s="448" t="n"/>
      <c r="BG131" s="448" t="n"/>
      <c r="BH131" s="448" t="n"/>
      <c r="BI131" s="448" t="n"/>
      <c r="BJ131" s="448" t="n"/>
      <c r="BK131" s="448" t="n"/>
      <c r="BL131" s="448" t="n"/>
      <c r="BM131" s="448" t="n"/>
      <c r="BN131" s="448" t="n"/>
      <c r="BO131" s="448" t="n"/>
      <c r="BP131" s="448" t="n"/>
      <c r="BQ131" s="448" t="n"/>
      <c r="BR131" s="448" t="n"/>
      <c r="BS131" s="448" t="n"/>
      <c r="BT131" s="448" t="n"/>
      <c r="BU131" s="448" t="n"/>
      <c r="BV131" s="448" t="n"/>
      <c r="BW131" s="448" t="n"/>
      <c r="BX131" s="448" t="n"/>
      <c r="BY131" s="448" t="n"/>
      <c r="BZ131" s="448" t="n"/>
      <c r="CA131" s="448" t="n"/>
      <c r="CB131" s="448" t="n"/>
      <c r="CC131" s="448" t="n"/>
      <c r="CD131" s="448" t="n"/>
      <c r="CE131" s="448" t="n"/>
      <c r="CF131" s="448" t="n"/>
      <c r="CG131" s="448" t="n"/>
      <c r="CH131" s="448" t="n"/>
      <c r="CI131" s="448" t="n"/>
      <c r="CJ131" s="448" t="n"/>
      <c r="CK131" s="449" t="n"/>
      <c r="CL131" s="580">
        <f>Thickness!CL131</f>
        <v/>
      </c>
      <c r="CM131" s="468" t="n"/>
      <c r="CN131" s="468" t="n"/>
      <c r="CO131" s="468" t="n"/>
      <c r="CP131" s="468" t="n"/>
      <c r="CQ131" s="468" t="n"/>
      <c r="CR131" s="468" t="n"/>
      <c r="CS131" s="468" t="n"/>
      <c r="CT131" s="468" t="n"/>
      <c r="CU131" s="468" t="n"/>
      <c r="CV131" s="468" t="n"/>
      <c r="CW131" s="468" t="n"/>
      <c r="CX131" s="468" t="n"/>
      <c r="CY131" s="468" t="n"/>
      <c r="CZ131" s="468" t="n"/>
      <c r="DA131" s="468" t="n"/>
      <c r="DB131" s="468" t="n"/>
      <c r="DC131" s="468" t="n"/>
      <c r="DD131" s="468" t="n"/>
      <c r="DE131" s="468" t="n"/>
      <c r="DF131" s="468" t="n"/>
      <c r="DG131" s="468" t="n"/>
      <c r="DH131" s="468" t="n"/>
      <c r="DI131" s="468" t="n"/>
      <c r="DJ131" s="468" t="n"/>
      <c r="DK131" s="468" t="n"/>
      <c r="DL131" s="468" t="n"/>
      <c r="DM131" s="468" t="n"/>
      <c r="DN131" s="468" t="n"/>
      <c r="DO131" s="468" t="n"/>
      <c r="DP131" s="468" t="n"/>
      <c r="DQ131" s="468" t="n"/>
      <c r="DR131" s="468" t="n"/>
      <c r="DS131" s="468" t="n"/>
      <c r="DT131" s="468" t="n"/>
      <c r="DU131" s="468" t="n"/>
      <c r="DV131" s="468" t="n"/>
      <c r="DW131" s="468" t="n"/>
      <c r="DX131" s="468" t="n"/>
      <c r="DY131" s="468" t="n"/>
      <c r="DZ131" s="451" t="n"/>
    </row>
    <row r="132" ht="36" customHeight="1">
      <c r="B132" s="16" t="inlineStr">
        <is>
          <t>CORROSION</t>
        </is>
      </c>
    </row>
    <row r="133" ht="36" customHeight="1">
      <c r="M133" s="266" t="n"/>
    </row>
    <row r="134" ht="36" customHeight="1">
      <c r="V134" s="212" t="n"/>
      <c r="W134" s="212" t="n"/>
      <c r="X134" s="212" t="n"/>
      <c r="Y134" s="212" t="n"/>
      <c r="Z134" s="212" t="n"/>
      <c r="AA134" s="212" t="n"/>
      <c r="AB134" s="212" t="n"/>
      <c r="AC134" s="212" t="n"/>
      <c r="AD134" s="212" t="n"/>
      <c r="AE134" s="212" t="n"/>
      <c r="AF134" s="212" t="n"/>
      <c r="AG134" s="212" t="n"/>
      <c r="AH134" s="212" t="n"/>
      <c r="AI134" s="212" t="n"/>
      <c r="AJ134" s="212" t="n"/>
      <c r="AK134" s="212" t="n"/>
      <c r="AL134" s="212" t="n"/>
      <c r="AM134" s="212" t="n"/>
      <c r="AN134" s="212" t="n"/>
      <c r="AO134" s="212" t="n"/>
      <c r="AP134" s="212" t="n"/>
      <c r="AQ134" s="212" t="n"/>
      <c r="AR134" s="212" t="n"/>
      <c r="AS134" s="212" t="n"/>
      <c r="AT134" s="212" t="n"/>
      <c r="AU134" s="212" t="n"/>
      <c r="BJ134" s="212" t="n"/>
      <c r="BK134" s="212" t="n"/>
      <c r="BL134" s="212" t="n"/>
      <c r="BM134" s="212" t="n"/>
      <c r="BN134" s="212" t="n"/>
      <c r="BO134" s="212" t="n"/>
      <c r="BP134" s="212" t="n"/>
      <c r="BQ134" s="212" t="n"/>
      <c r="BR134" s="212" t="n"/>
      <c r="BS134" s="212" t="n"/>
      <c r="BT134" s="212" t="n"/>
      <c r="BU134" s="212" t="n"/>
      <c r="BV134" s="212" t="n"/>
      <c r="BW134" s="212" t="n"/>
      <c r="BX134" s="212" t="n"/>
      <c r="BY134" s="212" t="n"/>
      <c r="BZ134" s="212" t="n"/>
      <c r="CA134" s="212" t="n"/>
      <c r="CB134" s="212" t="n"/>
      <c r="CC134" s="212" t="n"/>
      <c r="CD134" s="212" t="n"/>
      <c r="CE134" s="212" t="n"/>
      <c r="CF134" s="212" t="n"/>
      <c r="CG134" s="212" t="n"/>
      <c r="CH134" s="212" t="n"/>
      <c r="CI134" s="212" t="n"/>
      <c r="CJ134" s="212" t="n"/>
      <c r="CK134" s="212" t="n"/>
      <c r="CL134" s="212" t="n"/>
      <c r="CM134" s="212" t="n"/>
      <c r="CN134" s="212" t="n"/>
      <c r="CO134" s="212" t="n"/>
      <c r="CP134" s="212" t="n"/>
      <c r="CQ134" s="212" t="n"/>
      <c r="CR134" s="212" t="n"/>
      <c r="CS134" s="212" t="n"/>
      <c r="CT134" s="212" t="n"/>
      <c r="CU134" s="212" t="n"/>
      <c r="CV134" s="212" t="n"/>
      <c r="CW134" s="212" t="n"/>
      <c r="CZ134" s="212" t="n"/>
      <c r="DA134" s="212" t="n"/>
      <c r="DB134" s="212" t="n"/>
      <c r="DC134" s="212" t="n"/>
      <c r="DD134" s="212" t="n"/>
      <c r="DE134" s="212" t="n"/>
      <c r="DF134" s="212" t="n"/>
      <c r="DG134" s="212" t="n"/>
      <c r="DH134" s="212" t="n"/>
      <c r="DI134" s="212" t="n"/>
      <c r="DJ134" s="212" t="n"/>
      <c r="DK134" s="212" t="n"/>
      <c r="DL134" s="212" t="n"/>
      <c r="DM134" s="212" t="n"/>
      <c r="DN134" s="212" t="n"/>
      <c r="DO134" s="212" t="n"/>
      <c r="DP134" s="212" t="n"/>
      <c r="DQ134" s="212" t="n"/>
      <c r="DR134" s="212" t="n"/>
      <c r="DS134" s="212" t="n"/>
      <c r="DT134" s="212" t="n"/>
      <c r="DU134" s="212" t="n"/>
      <c r="DV134" s="212" t="n"/>
    </row>
    <row r="135">
      <c r="V135" s="212" t="n"/>
      <c r="W135" s="212" t="n"/>
      <c r="X135" s="212" t="n"/>
      <c r="Y135" s="212" t="n"/>
      <c r="Z135" s="212" t="n"/>
      <c r="AA135" s="212" t="n"/>
      <c r="AB135" s="212" t="n"/>
      <c r="AC135" s="212" t="n"/>
      <c r="AD135" s="212" t="n"/>
      <c r="AE135" s="212" t="n"/>
      <c r="AF135" s="212" t="n"/>
      <c r="AG135" s="212" t="n"/>
      <c r="AH135" s="212" t="n"/>
      <c r="AI135" s="212" t="n"/>
      <c r="AJ135" s="212" t="n"/>
      <c r="AK135" s="212" t="n"/>
      <c r="AL135" s="212" t="n"/>
      <c r="AM135" s="212" t="n"/>
      <c r="AN135" s="212" t="n"/>
      <c r="AO135" s="212" t="n"/>
      <c r="AP135" s="212" t="n"/>
      <c r="AQ135" s="212" t="n"/>
      <c r="AR135" s="212" t="n"/>
      <c r="AS135" s="212" t="n"/>
      <c r="AT135" s="212" t="n"/>
      <c r="AU135" s="212" t="n"/>
      <c r="BJ135" s="212" t="n"/>
      <c r="BK135" s="212" t="n"/>
      <c r="BL135" s="212" t="n"/>
      <c r="BM135" s="212" t="n"/>
      <c r="BN135" s="212" t="n"/>
      <c r="BO135" s="212" t="n"/>
      <c r="BP135" s="212" t="n"/>
      <c r="BQ135" s="212" t="n"/>
      <c r="BR135" s="461" t="inlineStr">
        <is>
          <t>APPLIED TECHNICAL SERVICES 
1049 Triad Court
Marietta, Georgia 30062
Office # (770) 423-1400
Fax # (770) 514-3299
www.atslab.com</t>
        </is>
      </c>
      <c r="BS135" s="458" t="n"/>
      <c r="BT135" s="458" t="n"/>
      <c r="BU135" s="458" t="n"/>
      <c r="BV135" s="458" t="n"/>
      <c r="BW135" s="458" t="n"/>
      <c r="BX135" s="458" t="n"/>
      <c r="BY135" s="458" t="n"/>
      <c r="BZ135" s="458" t="n"/>
      <c r="CA135" s="458" t="n"/>
      <c r="CB135" s="458" t="n"/>
      <c r="CC135" s="458" t="n"/>
      <c r="CD135" s="458" t="n"/>
      <c r="CE135" s="458" t="n"/>
      <c r="CF135" s="458" t="n"/>
      <c r="CG135" s="458" t="n"/>
      <c r="CH135" s="458" t="n"/>
      <c r="CI135" s="458" t="n"/>
      <c r="CJ135" s="458" t="n"/>
      <c r="CK135" s="446" t="n"/>
      <c r="CL135" s="212" t="n"/>
      <c r="CM135" s="212" t="n"/>
      <c r="CN135" s="212" t="n"/>
      <c r="CO135" s="212" t="n"/>
      <c r="CP135" s="212" t="n"/>
      <c r="CQ135" s="212" t="n"/>
      <c r="CR135" s="212" t="n"/>
      <c r="CS135" s="212" t="n"/>
      <c r="CT135" s="212" t="n"/>
      <c r="CU135" s="212" t="n"/>
      <c r="CV135" s="212" t="n"/>
      <c r="CW135" s="212" t="n"/>
      <c r="CZ135" s="212" t="n"/>
      <c r="DA135" s="212" t="n"/>
      <c r="DB135" s="212" t="n"/>
      <c r="DC135" s="212" t="n"/>
      <c r="DD135" s="212" t="n"/>
      <c r="DE135" s="212" t="n"/>
      <c r="DF135" s="212" t="n"/>
      <c r="DG135" s="212" t="n"/>
      <c r="DH135" s="212" t="n"/>
      <c r="DI135" s="212" t="n"/>
      <c r="DJ135" s="212" t="n"/>
      <c r="DK135" s="212" t="n"/>
      <c r="DL135" s="212" t="n"/>
      <c r="DM135" s="212" t="n"/>
      <c r="DN135" s="212" t="n"/>
      <c r="DO135" s="212" t="n"/>
      <c r="DP135" s="212" t="n"/>
      <c r="DQ135" s="212" t="n"/>
      <c r="DR135" s="212" t="n"/>
      <c r="DS135" s="212" t="n"/>
      <c r="DT135" s="212" t="n"/>
      <c r="DU135" s="212" t="n"/>
      <c r="DV135" s="212" t="n"/>
    </row>
    <row r="136">
      <c r="BJ136" s="212" t="n"/>
      <c r="BK136" s="212" t="n"/>
      <c r="BL136" s="212" t="n"/>
      <c r="BM136" s="212" t="n"/>
      <c r="BN136" s="212" t="n"/>
      <c r="BO136" s="212" t="n"/>
      <c r="BP136" s="212" t="n"/>
      <c r="BQ136" s="212" t="n"/>
      <c r="CK136" s="464" t="n"/>
      <c r="CL136" s="212" t="n"/>
      <c r="CM136" s="212" t="n"/>
      <c r="CN136" s="212" t="n"/>
      <c r="CO136" s="212" t="n"/>
      <c r="CP136" s="212" t="n"/>
      <c r="CQ136" s="212" t="n"/>
      <c r="CR136" s="212" t="n"/>
      <c r="CS136" s="212" t="n"/>
      <c r="CT136" s="212" t="n"/>
      <c r="CU136" s="212" t="n"/>
      <c r="CV136" s="212" t="n"/>
      <c r="CW136" s="212" t="n"/>
      <c r="CZ136" s="212" t="n"/>
      <c r="DA136" s="212" t="n"/>
      <c r="DB136" s="212" t="n"/>
      <c r="DC136" s="212" t="n"/>
      <c r="DD136" s="212" t="n"/>
      <c r="DE136" s="212" t="n"/>
      <c r="DF136" s="212" t="n"/>
      <c r="DG136" s="212" t="n"/>
      <c r="DH136" s="212" t="n"/>
      <c r="DI136" s="212" t="n"/>
      <c r="DJ136" s="212" t="n"/>
      <c r="DK136" s="212" t="n"/>
      <c r="DL136" s="212" t="n"/>
      <c r="DM136" s="212" t="n"/>
      <c r="DN136" s="212" t="n"/>
      <c r="DO136" s="212" t="n"/>
      <c r="DP136" s="212" t="n"/>
      <c r="DQ136" s="212" t="n"/>
      <c r="DR136" s="212" t="n"/>
      <c r="DS136" s="212" t="n"/>
      <c r="DT136" s="212" t="n"/>
      <c r="DU136" s="212" t="n"/>
      <c r="DV136" s="212" t="n"/>
    </row>
    <row r="137">
      <c r="CK137" s="464" t="n"/>
    </row>
    <row r="138">
      <c r="BR138" s="468" t="n"/>
      <c r="BS138" s="468" t="n"/>
      <c r="BT138" s="468" t="n"/>
      <c r="BU138" s="468" t="n"/>
      <c r="BV138" s="468" t="n"/>
      <c r="BW138" s="468" t="n"/>
      <c r="BX138" s="468" t="n"/>
      <c r="BY138" s="468" t="n"/>
      <c r="BZ138" s="468" t="n"/>
      <c r="CA138" s="468" t="n"/>
      <c r="CB138" s="468" t="n"/>
      <c r="CC138" s="468" t="n"/>
      <c r="CD138" s="468" t="n"/>
      <c r="CE138" s="468" t="n"/>
      <c r="CF138" s="468" t="n"/>
      <c r="CG138" s="468" t="n"/>
      <c r="CH138" s="468" t="n"/>
      <c r="CI138" s="468" t="n"/>
      <c r="CJ138" s="468" t="n"/>
      <c r="CK138" s="451" t="n"/>
    </row>
    <row r="139"/>
    <row r="140">
      <c r="BR140" s="461" t="inlineStr">
        <is>
          <t>APPLIED TECHNICAL SERVICES 
1325-B Cavalier Boulevard               Chesapeake, Virginia 23323                (757) 558-0016 Fax (757) 558-0063
www.atslab.com</t>
        </is>
      </c>
      <c r="BS140" s="458" t="n"/>
      <c r="BT140" s="458" t="n"/>
      <c r="BU140" s="458" t="n"/>
      <c r="BV140" s="458" t="n"/>
      <c r="BW140" s="458" t="n"/>
      <c r="BX140" s="458" t="n"/>
      <c r="BY140" s="458" t="n"/>
      <c r="BZ140" s="458" t="n"/>
      <c r="CA140" s="458" t="n"/>
      <c r="CB140" s="458" t="n"/>
      <c r="CC140" s="458" t="n"/>
      <c r="CD140" s="458" t="n"/>
      <c r="CE140" s="458" t="n"/>
      <c r="CF140" s="458" t="n"/>
      <c r="CG140" s="458" t="n"/>
      <c r="CH140" s="458" t="n"/>
      <c r="CI140" s="458" t="n"/>
      <c r="CJ140" s="458" t="n"/>
      <c r="CK140" s="446" t="n"/>
    </row>
    <row r="141">
      <c r="CK141" s="464" t="n"/>
    </row>
    <row r="142">
      <c r="CK142" s="464" t="n"/>
    </row>
    <row r="143">
      <c r="BR143" s="468" t="n"/>
      <c r="BS143" s="468" t="n"/>
      <c r="BT143" s="468" t="n"/>
      <c r="BU143" s="468" t="n"/>
      <c r="BV143" s="468" t="n"/>
      <c r="BW143" s="468" t="n"/>
      <c r="BX143" s="468" t="n"/>
      <c r="BY143" s="468" t="n"/>
      <c r="BZ143" s="468" t="n"/>
      <c r="CA143" s="468" t="n"/>
      <c r="CB143" s="468" t="n"/>
      <c r="CC143" s="468" t="n"/>
      <c r="CD143" s="468" t="n"/>
      <c r="CE143" s="468" t="n"/>
      <c r="CF143" s="468" t="n"/>
      <c r="CG143" s="468" t="n"/>
      <c r="CH143" s="468" t="n"/>
      <c r="CI143" s="468" t="n"/>
      <c r="CJ143" s="468" t="n"/>
      <c r="CK143" s="451" t="n"/>
    </row>
    <row r="144"/>
    <row r="145">
      <c r="BR145" s="461" t="inlineStr">
        <is>
          <t>APPLIED TECHNICAL SERVICES 
2312 Commerce Ctr. Dr., Suite A                           Rockville, Virginia 23146                          (804) 550-7610 Fax (804) 550-7611                           www.atslab.com</t>
        </is>
      </c>
      <c r="BS145" s="458" t="n"/>
      <c r="BT145" s="458" t="n"/>
      <c r="BU145" s="458" t="n"/>
      <c r="BV145" s="458" t="n"/>
      <c r="BW145" s="458" t="n"/>
      <c r="BX145" s="458" t="n"/>
      <c r="BY145" s="458" t="n"/>
      <c r="BZ145" s="458" t="n"/>
      <c r="CA145" s="458" t="n"/>
      <c r="CB145" s="458" t="n"/>
      <c r="CC145" s="458" t="n"/>
      <c r="CD145" s="458" t="n"/>
      <c r="CE145" s="458" t="n"/>
      <c r="CF145" s="458" t="n"/>
      <c r="CG145" s="458" t="n"/>
      <c r="CH145" s="458" t="n"/>
      <c r="CI145" s="458" t="n"/>
      <c r="CJ145" s="458" t="n"/>
      <c r="CK145" s="446" t="n"/>
    </row>
    <row r="146">
      <c r="CK146" s="464" t="n"/>
    </row>
    <row r="147">
      <c r="CK147" s="464" t="n"/>
    </row>
    <row r="148">
      <c r="BR148" s="468" t="n"/>
      <c r="BS148" s="468" t="n"/>
      <c r="BT148" s="468" t="n"/>
      <c r="BU148" s="468" t="n"/>
      <c r="BV148" s="468" t="n"/>
      <c r="BW148" s="468" t="n"/>
      <c r="BX148" s="468" t="n"/>
      <c r="BY148" s="468" t="n"/>
      <c r="BZ148" s="468" t="n"/>
      <c r="CA148" s="468" t="n"/>
      <c r="CB148" s="468" t="n"/>
      <c r="CC148" s="468" t="n"/>
      <c r="CD148" s="468" t="n"/>
      <c r="CE148" s="468" t="n"/>
      <c r="CF148" s="468" t="n"/>
      <c r="CG148" s="468" t="n"/>
      <c r="CH148" s="468" t="n"/>
      <c r="CI148" s="468" t="n"/>
      <c r="CJ148" s="468" t="n"/>
      <c r="CK148" s="451" t="n"/>
    </row>
  </sheetData>
  <mergeCells count="141">
    <mergeCell ref="BV40:BV42"/>
    <mergeCell ref="BV76:BV78"/>
    <mergeCell ref="BV91:BV93"/>
    <mergeCell ref="BV82:BV84"/>
    <mergeCell ref="BU55:BU57"/>
    <mergeCell ref="A71:A72"/>
    <mergeCell ref="BU79:BU81"/>
    <mergeCell ref="DQ1:DZ1"/>
    <mergeCell ref="BV34:BV36"/>
    <mergeCell ref="BU97:BU99"/>
    <mergeCell ref="BU7:BU9"/>
    <mergeCell ref="R131:AF131"/>
    <mergeCell ref="M133:AV133"/>
    <mergeCell ref="BU16:BU18"/>
    <mergeCell ref="BV49:BV51"/>
    <mergeCell ref="BV58:BV60"/>
    <mergeCell ref="C2:DP2"/>
    <mergeCell ref="BV97:BV99"/>
    <mergeCell ref="BU43:BU45"/>
    <mergeCell ref="BU58:BU60"/>
    <mergeCell ref="BR127:CK130"/>
    <mergeCell ref="A20:A21"/>
    <mergeCell ref="A77:A78"/>
    <mergeCell ref="B128:L128"/>
    <mergeCell ref="BV100:BV102"/>
    <mergeCell ref="BV94:BV96"/>
    <mergeCell ref="A53:A54"/>
    <mergeCell ref="A35:A36"/>
    <mergeCell ref="BV22:BV24"/>
    <mergeCell ref="BV31:BV33"/>
    <mergeCell ref="A59:A60"/>
    <mergeCell ref="BU19:BU21"/>
    <mergeCell ref="BU34:BU36"/>
    <mergeCell ref="BU28:BU30"/>
    <mergeCell ref="A110:A111"/>
    <mergeCell ref="AW131:CK131"/>
    <mergeCell ref="B129:L129"/>
    <mergeCell ref="BU37:BU39"/>
    <mergeCell ref="BV70:BV72"/>
    <mergeCell ref="BV106:BV108"/>
    <mergeCell ref="BR145:CK148"/>
    <mergeCell ref="BV7:BV9"/>
    <mergeCell ref="B131:L131"/>
    <mergeCell ref="A128:A131"/>
    <mergeCell ref="M129:AF129"/>
    <mergeCell ref="A65:A66"/>
    <mergeCell ref="BU85:BU87"/>
    <mergeCell ref="C1:DP1"/>
    <mergeCell ref="A74:A75"/>
    <mergeCell ref="BU94:BU96"/>
    <mergeCell ref="A56:A57"/>
    <mergeCell ref="B130:L130"/>
    <mergeCell ref="A26:A27"/>
    <mergeCell ref="BU4:BU6"/>
    <mergeCell ref="A89:A90"/>
    <mergeCell ref="BU46:BU48"/>
    <mergeCell ref="A8:A9"/>
    <mergeCell ref="A17:A18"/>
    <mergeCell ref="BU61:BU63"/>
    <mergeCell ref="A23:A24"/>
    <mergeCell ref="BU70:BU72"/>
    <mergeCell ref="CL128:DZ128"/>
    <mergeCell ref="A68:A69"/>
    <mergeCell ref="BV25:BV27"/>
    <mergeCell ref="BV103:BV105"/>
    <mergeCell ref="BV85:BV87"/>
    <mergeCell ref="B127:L127"/>
    <mergeCell ref="AW127:BQ130"/>
    <mergeCell ref="A92:A93"/>
    <mergeCell ref="BU73:BU75"/>
    <mergeCell ref="BU88:BU90"/>
    <mergeCell ref="BR135:CK138"/>
    <mergeCell ref="A107:A108"/>
    <mergeCell ref="A11:A12"/>
    <mergeCell ref="BV46:BV48"/>
    <mergeCell ref="M131:Q131"/>
    <mergeCell ref="BU10:BU12"/>
    <mergeCell ref="BV52:BV54"/>
    <mergeCell ref="AG128:AV129"/>
    <mergeCell ref="BV61:BV63"/>
    <mergeCell ref="A41:A42"/>
    <mergeCell ref="AG127:AV127"/>
    <mergeCell ref="A50:A51"/>
    <mergeCell ref="BU49:BU51"/>
    <mergeCell ref="A80:A81"/>
    <mergeCell ref="BU76:BU78"/>
    <mergeCell ref="BV13:BV15"/>
    <mergeCell ref="BU91:BU93"/>
    <mergeCell ref="BU100:BU102"/>
    <mergeCell ref="BU109:BU111"/>
    <mergeCell ref="A3:B3"/>
    <mergeCell ref="A14:A15"/>
    <mergeCell ref="BU22:BU24"/>
    <mergeCell ref="BU31:BU33"/>
    <mergeCell ref="A104:A105"/>
    <mergeCell ref="M127:AF128"/>
    <mergeCell ref="BV79:BV81"/>
    <mergeCell ref="BV73:BV75"/>
    <mergeCell ref="BV88:BV90"/>
    <mergeCell ref="A1:B2"/>
    <mergeCell ref="AG130:AV131"/>
    <mergeCell ref="BV10:BV12"/>
    <mergeCell ref="BV16:BV18"/>
    <mergeCell ref="CL127:DZ127"/>
    <mergeCell ref="A38:A39"/>
    <mergeCell ref="A83:A84"/>
    <mergeCell ref="BU13:BU15"/>
    <mergeCell ref="BV43:BV45"/>
    <mergeCell ref="A98:A99"/>
    <mergeCell ref="BR140:CK143"/>
    <mergeCell ref="BU40:BU42"/>
    <mergeCell ref="CL129:DZ129"/>
    <mergeCell ref="M130:AF130"/>
    <mergeCell ref="BU64:BU66"/>
    <mergeCell ref="BV67:BV69"/>
    <mergeCell ref="CL131:DZ131"/>
    <mergeCell ref="BV19:BV21"/>
    <mergeCell ref="BV28:BV30"/>
    <mergeCell ref="BV37:BV39"/>
    <mergeCell ref="A86:A87"/>
    <mergeCell ref="BU106:BU108"/>
    <mergeCell ref="CL130:DZ130"/>
    <mergeCell ref="A95:A96"/>
    <mergeCell ref="BU25:BU27"/>
    <mergeCell ref="A101:A102"/>
    <mergeCell ref="A5:A6"/>
    <mergeCell ref="A32:A33"/>
    <mergeCell ref="BV55:BV57"/>
    <mergeCell ref="DQ2:DZ2"/>
    <mergeCell ref="BV4:BV6"/>
    <mergeCell ref="A29:A30"/>
    <mergeCell ref="A47:A48"/>
    <mergeCell ref="BV64:BV66"/>
    <mergeCell ref="A62:A63"/>
    <mergeCell ref="BU82:BU84"/>
    <mergeCell ref="A44:A45"/>
    <mergeCell ref="BU52:BU54"/>
    <mergeCell ref="BU67:BU69"/>
    <mergeCell ref="A112:B112"/>
    <mergeCell ref="BV109:BV111"/>
    <mergeCell ref="BU103:BU105"/>
  </mergeCells>
  <printOptions horizontalCentered="1"/>
  <pageMargins left="0.25" right="0.25" top="0.75" bottom="0.25" header="0" footer="0"/>
  <pageSetup orientation="portrait" paperSize="3" scale="35" pageOrder="overThenDown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Z148"/>
  <sheetViews>
    <sheetView topLeftCell="A95" zoomScale="40" zoomScaleNormal="40" workbookViewId="0">
      <selection activeCell="CH8" sqref="CH8"/>
    </sheetView>
  </sheetViews>
  <sheetFormatPr baseColWidth="8" defaultColWidth="11.7109375" defaultRowHeight="12.75"/>
  <cols>
    <col width="5.7109375" customWidth="1" style="212" min="1" max="1"/>
    <col width="30.7109375" customWidth="1" style="1" min="2" max="2"/>
    <col width="7.28515625" bestFit="1" customWidth="1" style="2" min="3" max="3"/>
    <col width="2.5703125" customWidth="1" style="1" min="4" max="128"/>
    <col width="2.7109375" customWidth="1" style="1" min="129" max="130"/>
    <col hidden="1" width="2.42578125" customWidth="1" style="1" min="131" max="131"/>
    <col hidden="1" width="8.7109375" customWidth="1" style="2" min="132" max="132"/>
    <col hidden="1" style="2" min="133" max="172"/>
    <col hidden="1" width="11.5703125" customWidth="1" style="212" min="173" max="173"/>
    <col hidden="1" width="10.5703125" customWidth="1" style="212" min="174" max="174"/>
    <col hidden="1" width="10.85546875" customWidth="1" style="212" min="175" max="175"/>
    <col hidden="1" width="10.5703125" customWidth="1" style="212" min="176" max="177"/>
    <col hidden="1" width="10.85546875" customWidth="1" style="212" min="178" max="178"/>
    <col hidden="1" width="9.5703125" customWidth="1" style="212" min="179" max="179"/>
    <col hidden="1" width="11.7109375" customWidth="1" style="212" min="180" max="245"/>
    <col width="11.7109375" customWidth="1" style="212" min="246" max="247"/>
    <col width="11.7109375" customWidth="1" style="212" min="248" max="16384"/>
  </cols>
  <sheetData>
    <row r="1" ht="36" customHeight="1">
      <c r="A1" s="581">
        <f>Thickness!A1</f>
        <v/>
      </c>
      <c r="B1" s="446" t="n"/>
      <c r="C1" s="473">
        <f>IF(ISBLANK(Thickness!C1),"",(Thickness!C1))</f>
        <v/>
      </c>
      <c r="D1" s="448" t="n"/>
      <c r="E1" s="448" t="n"/>
      <c r="F1" s="448" t="n"/>
      <c r="G1" s="448" t="n"/>
      <c r="H1" s="448" t="n"/>
      <c r="I1" s="448" t="n"/>
      <c r="J1" s="448" t="n"/>
      <c r="K1" s="448" t="n"/>
      <c r="L1" s="448" t="n"/>
      <c r="M1" s="448" t="n"/>
      <c r="N1" s="448" t="n"/>
      <c r="O1" s="448" t="n"/>
      <c r="P1" s="448" t="n"/>
      <c r="Q1" s="448" t="n"/>
      <c r="R1" s="448" t="n"/>
      <c r="S1" s="448" t="n"/>
      <c r="T1" s="448" t="n"/>
      <c r="U1" s="448" t="n"/>
      <c r="V1" s="448" t="n"/>
      <c r="W1" s="448" t="n"/>
      <c r="X1" s="448" t="n"/>
      <c r="Y1" s="448" t="n"/>
      <c r="Z1" s="448" t="n"/>
      <c r="AA1" s="448" t="n"/>
      <c r="AB1" s="448" t="n"/>
      <c r="AC1" s="448" t="n"/>
      <c r="AD1" s="448" t="n"/>
      <c r="AE1" s="448" t="n"/>
      <c r="AF1" s="448" t="n"/>
      <c r="AG1" s="448" t="n"/>
      <c r="AH1" s="448" t="n"/>
      <c r="AI1" s="448" t="n"/>
      <c r="AJ1" s="448" t="n"/>
      <c r="AK1" s="448" t="n"/>
      <c r="AL1" s="448" t="n"/>
      <c r="AM1" s="448" t="n"/>
      <c r="AN1" s="448" t="n"/>
      <c r="AO1" s="448" t="n"/>
      <c r="AP1" s="448" t="n"/>
      <c r="AQ1" s="448" t="n"/>
      <c r="AR1" s="448" t="n"/>
      <c r="AS1" s="448" t="n"/>
      <c r="AT1" s="448" t="n"/>
      <c r="AU1" s="448" t="n"/>
      <c r="AV1" s="448" t="n"/>
      <c r="AW1" s="448" t="n"/>
      <c r="AX1" s="448" t="n"/>
      <c r="AY1" s="448" t="n"/>
      <c r="AZ1" s="448" t="n"/>
      <c r="BA1" s="448" t="n"/>
      <c r="BB1" s="448" t="n"/>
      <c r="BC1" s="448" t="n"/>
      <c r="BD1" s="448" t="n"/>
      <c r="BE1" s="448" t="n"/>
      <c r="BF1" s="448" t="n"/>
      <c r="BG1" s="448" t="n"/>
      <c r="BH1" s="448" t="n"/>
      <c r="BI1" s="448" t="n"/>
      <c r="BJ1" s="448" t="n"/>
      <c r="BK1" s="448" t="n"/>
      <c r="BL1" s="448" t="n"/>
      <c r="BM1" s="448" t="n"/>
      <c r="BN1" s="448" t="n"/>
      <c r="BO1" s="448" t="n"/>
      <c r="BP1" s="448" t="n"/>
      <c r="BQ1" s="448" t="n"/>
      <c r="BR1" s="448" t="n"/>
      <c r="BS1" s="448" t="n"/>
      <c r="BT1" s="448" t="n"/>
      <c r="BU1" s="448" t="n"/>
      <c r="BV1" s="448" t="n"/>
      <c r="BW1" s="448" t="n"/>
      <c r="BX1" s="448" t="n"/>
      <c r="BY1" s="448" t="n"/>
      <c r="BZ1" s="448" t="n"/>
      <c r="CA1" s="448" t="n"/>
      <c r="CB1" s="448" t="n"/>
      <c r="CC1" s="448" t="n"/>
      <c r="CD1" s="448" t="n"/>
      <c r="CE1" s="448" t="n"/>
      <c r="CF1" s="448" t="n"/>
      <c r="CG1" s="448" t="n"/>
      <c r="CH1" s="448" t="n"/>
      <c r="CI1" s="448" t="n"/>
      <c r="CJ1" s="448" t="n"/>
      <c r="CK1" s="448" t="n"/>
      <c r="CL1" s="448" t="n"/>
      <c r="CM1" s="448" t="n"/>
      <c r="CN1" s="448" t="n"/>
      <c r="CO1" s="448" t="n"/>
      <c r="CP1" s="448" t="n"/>
      <c r="CQ1" s="448" t="n"/>
      <c r="CR1" s="448" t="n"/>
      <c r="CS1" s="448" t="n"/>
      <c r="CT1" s="448" t="n"/>
      <c r="CU1" s="448" t="n"/>
      <c r="CV1" s="448" t="n"/>
      <c r="CW1" s="448" t="n"/>
      <c r="CX1" s="448" t="n"/>
      <c r="CY1" s="448" t="n"/>
      <c r="CZ1" s="448" t="n"/>
      <c r="DA1" s="448" t="n"/>
      <c r="DB1" s="448" t="n"/>
      <c r="DC1" s="448" t="n"/>
      <c r="DD1" s="448" t="n"/>
      <c r="DE1" s="448" t="n"/>
      <c r="DF1" s="448" t="n"/>
      <c r="DG1" s="448" t="n"/>
      <c r="DH1" s="448" t="n"/>
      <c r="DI1" s="448" t="n"/>
      <c r="DJ1" s="448" t="n"/>
      <c r="DK1" s="448" t="n"/>
      <c r="DL1" s="448" t="n"/>
      <c r="DM1" s="448" t="n"/>
      <c r="DN1" s="448" t="n"/>
      <c r="DO1" s="448" t="n"/>
      <c r="DP1" s="449" t="n"/>
      <c r="DQ1" s="450" t="inlineStr">
        <is>
          <t>OBSTRUCTION</t>
        </is>
      </c>
      <c r="DR1" s="448" t="n"/>
      <c r="DS1" s="448" t="n"/>
      <c r="DT1" s="448" t="n"/>
      <c r="DU1" s="448" t="n"/>
      <c r="DV1" s="448" t="n"/>
      <c r="DW1" s="448" t="n"/>
      <c r="DX1" s="448" t="n"/>
      <c r="DY1" s="448" t="n"/>
      <c r="DZ1" s="449" t="n"/>
    </row>
    <row r="2" ht="36" customFormat="1" customHeight="1" s="5">
      <c r="A2" s="14" t="n"/>
      <c r="B2" s="451" t="n"/>
      <c r="C2" s="452" t="inlineStr">
        <is>
          <t>TUBES NUMBERED LEFT TO RIGHT FACING WALL. PROJECTED THICKNESS MEASUREMENTS ARE IN INCHES.</t>
        </is>
      </c>
      <c r="D2" s="448" t="n"/>
      <c r="E2" s="448" t="n"/>
      <c r="F2" s="448" t="n"/>
      <c r="G2" s="448" t="n"/>
      <c r="H2" s="448" t="n"/>
      <c r="I2" s="448" t="n"/>
      <c r="J2" s="448" t="n"/>
      <c r="K2" s="448" t="n"/>
      <c r="L2" s="448" t="n"/>
      <c r="M2" s="448" t="n"/>
      <c r="N2" s="448" t="n"/>
      <c r="O2" s="448" t="n"/>
      <c r="P2" s="448" t="n"/>
      <c r="Q2" s="448" t="n"/>
      <c r="R2" s="448" t="n"/>
      <c r="S2" s="448" t="n"/>
      <c r="T2" s="448" t="n"/>
      <c r="U2" s="448" t="n"/>
      <c r="V2" s="448" t="n"/>
      <c r="W2" s="448" t="n"/>
      <c r="X2" s="448" t="n"/>
      <c r="Y2" s="448" t="n"/>
      <c r="Z2" s="448" t="n"/>
      <c r="AA2" s="448" t="n"/>
      <c r="AB2" s="448" t="n"/>
      <c r="AC2" s="448" t="n"/>
      <c r="AD2" s="448" t="n"/>
      <c r="AE2" s="448" t="n"/>
      <c r="AF2" s="448" t="n"/>
      <c r="AG2" s="448" t="n"/>
      <c r="AH2" s="448" t="n"/>
      <c r="AI2" s="448" t="n"/>
      <c r="AJ2" s="448" t="n"/>
      <c r="AK2" s="448" t="n"/>
      <c r="AL2" s="448" t="n"/>
      <c r="AM2" s="448" t="n"/>
      <c r="AN2" s="448" t="n"/>
      <c r="AO2" s="448" t="n"/>
      <c r="AP2" s="448" t="n"/>
      <c r="AQ2" s="448" t="n"/>
      <c r="AR2" s="448" t="n"/>
      <c r="AS2" s="448" t="n"/>
      <c r="AT2" s="448" t="n"/>
      <c r="AU2" s="448" t="n"/>
      <c r="AV2" s="448" t="n"/>
      <c r="AW2" s="448" t="n"/>
      <c r="AX2" s="448" t="n"/>
      <c r="AY2" s="448" t="n"/>
      <c r="AZ2" s="448" t="n"/>
      <c r="BA2" s="448" t="n"/>
      <c r="BB2" s="448" t="n"/>
      <c r="BC2" s="448" t="n"/>
      <c r="BD2" s="448" t="n"/>
      <c r="BE2" s="448" t="n"/>
      <c r="BF2" s="448" t="n"/>
      <c r="BG2" s="448" t="n"/>
      <c r="BH2" s="448" t="n"/>
      <c r="BI2" s="448" t="n"/>
      <c r="BJ2" s="448" t="n"/>
      <c r="BK2" s="448" t="n"/>
      <c r="BL2" s="448" t="n"/>
      <c r="BM2" s="448" t="n"/>
      <c r="BN2" s="448" t="n"/>
      <c r="BO2" s="448" t="n"/>
      <c r="BP2" s="448" t="n"/>
      <c r="BQ2" s="448" t="n"/>
      <c r="BR2" s="448" t="n"/>
      <c r="BS2" s="448" t="n"/>
      <c r="BT2" s="448" t="n"/>
      <c r="BU2" s="448" t="n"/>
      <c r="BV2" s="448" t="n"/>
      <c r="BW2" s="448" t="n"/>
      <c r="BX2" s="448" t="n"/>
      <c r="BY2" s="448" t="n"/>
      <c r="BZ2" s="448" t="n"/>
      <c r="CA2" s="448" t="n"/>
      <c r="CB2" s="448" t="n"/>
      <c r="CC2" s="448" t="n"/>
      <c r="CD2" s="448" t="n"/>
      <c r="CE2" s="448" t="n"/>
      <c r="CF2" s="448" t="n"/>
      <c r="CG2" s="448" t="n"/>
      <c r="CH2" s="448" t="n"/>
      <c r="CI2" s="448" t="n"/>
      <c r="CJ2" s="448" t="n"/>
      <c r="CK2" s="448" t="n"/>
      <c r="CL2" s="448" t="n"/>
      <c r="CM2" s="448" t="n"/>
      <c r="CN2" s="448" t="n"/>
      <c r="CO2" s="448" t="n"/>
      <c r="CP2" s="448" t="n"/>
      <c r="CQ2" s="448" t="n"/>
      <c r="CR2" s="448" t="n"/>
      <c r="CS2" s="448" t="n"/>
      <c r="CT2" s="448" t="n"/>
      <c r="CU2" s="448" t="n"/>
      <c r="CV2" s="448" t="n"/>
      <c r="CW2" s="448" t="n"/>
      <c r="CX2" s="448" t="n"/>
      <c r="CY2" s="448" t="n"/>
      <c r="CZ2" s="448" t="n"/>
      <c r="DA2" s="448" t="n"/>
      <c r="DB2" s="448" t="n"/>
      <c r="DC2" s="448" t="n"/>
      <c r="DD2" s="448" t="n"/>
      <c r="DE2" s="448" t="n"/>
      <c r="DF2" s="448" t="n"/>
      <c r="DG2" s="448" t="n"/>
      <c r="DH2" s="448" t="n"/>
      <c r="DI2" s="448" t="n"/>
      <c r="DJ2" s="448" t="n"/>
      <c r="DK2" s="448" t="n"/>
      <c r="DL2" s="448" t="n"/>
      <c r="DM2" s="448" t="n"/>
      <c r="DN2" s="448" t="n"/>
      <c r="DO2" s="448" t="n"/>
      <c r="DP2" s="449" t="n"/>
      <c r="DQ2" s="450" t="inlineStr">
        <is>
          <t>ORIENTATION</t>
        </is>
      </c>
      <c r="DR2" s="448" t="n"/>
      <c r="DS2" s="448" t="n"/>
      <c r="DT2" s="448" t="n"/>
      <c r="DU2" s="448" t="n"/>
      <c r="DV2" s="448" t="n"/>
      <c r="DW2" s="448" t="n"/>
      <c r="DX2" s="448" t="n"/>
      <c r="DY2" s="448" t="n"/>
      <c r="DZ2" s="449" t="n"/>
      <c r="EA2" s="4" t="n"/>
    </row>
    <row r="3" ht="36" customFormat="1" customHeight="1" s="5">
      <c r="A3" s="453" t="inlineStr">
        <is>
          <t>ELEVATION</t>
        </is>
      </c>
      <c r="B3" s="449" t="n"/>
      <c r="C3" s="18" t="inlineStr">
        <is>
          <t>LOC</t>
        </is>
      </c>
      <c r="D3" s="25" t="n">
        <v>1</v>
      </c>
      <c r="E3" s="19" t="n">
        <v>2</v>
      </c>
      <c r="F3" s="19" t="n">
        <v>3</v>
      </c>
      <c r="G3" s="19" t="n">
        <v>4</v>
      </c>
      <c r="H3" s="19" t="n">
        <v>5</v>
      </c>
      <c r="I3" s="19" t="n">
        <v>6</v>
      </c>
      <c r="J3" s="19" t="n">
        <v>7</v>
      </c>
      <c r="K3" s="19" t="n">
        <v>8</v>
      </c>
      <c r="L3" s="19" t="n">
        <v>9</v>
      </c>
      <c r="M3" s="19" t="n">
        <v>10</v>
      </c>
      <c r="N3" s="19" t="n">
        <v>11</v>
      </c>
      <c r="O3" s="19" t="n">
        <v>12</v>
      </c>
      <c r="P3" s="19" t="n">
        <v>13</v>
      </c>
      <c r="Q3" s="19" t="n">
        <v>14</v>
      </c>
      <c r="R3" s="19" t="n">
        <v>15</v>
      </c>
      <c r="S3" s="19" t="n">
        <v>16</v>
      </c>
      <c r="T3" s="19" t="n">
        <v>17</v>
      </c>
      <c r="U3" s="19" t="n">
        <v>18</v>
      </c>
      <c r="V3" s="19" t="n">
        <v>19</v>
      </c>
      <c r="W3" s="19" t="n">
        <v>20</v>
      </c>
      <c r="X3" s="19" t="n">
        <v>21</v>
      </c>
      <c r="Y3" s="19" t="n">
        <v>22</v>
      </c>
      <c r="Z3" s="19" t="n">
        <v>23</v>
      </c>
      <c r="AA3" s="19" t="n">
        <v>24</v>
      </c>
      <c r="AB3" s="19" t="n">
        <v>25</v>
      </c>
      <c r="AC3" s="19" t="n">
        <v>26</v>
      </c>
      <c r="AD3" s="19" t="n">
        <v>27</v>
      </c>
      <c r="AE3" s="19" t="n">
        <v>28</v>
      </c>
      <c r="AF3" s="19" t="n">
        <v>29</v>
      </c>
      <c r="AG3" s="19" t="n">
        <v>30</v>
      </c>
      <c r="AH3" s="19" t="n">
        <v>31</v>
      </c>
      <c r="AI3" s="19" t="n">
        <v>32</v>
      </c>
      <c r="AJ3" s="19" t="n">
        <v>33</v>
      </c>
      <c r="AK3" s="19" t="n">
        <v>34</v>
      </c>
      <c r="AL3" s="19" t="n">
        <v>35</v>
      </c>
      <c r="AM3" s="19" t="n">
        <v>36</v>
      </c>
      <c r="AN3" s="19" t="n">
        <v>37</v>
      </c>
      <c r="AO3" s="19" t="n">
        <v>38</v>
      </c>
      <c r="AP3" s="19" t="n">
        <v>39</v>
      </c>
      <c r="AQ3" s="19" t="n">
        <v>40</v>
      </c>
      <c r="AR3" s="19" t="n">
        <v>41</v>
      </c>
      <c r="AS3" s="19" t="n">
        <v>42</v>
      </c>
      <c r="AT3" s="19" t="n">
        <v>43</v>
      </c>
      <c r="AU3" s="19" t="n">
        <v>44</v>
      </c>
      <c r="AV3" s="19" t="n">
        <v>45</v>
      </c>
      <c r="AW3" s="19" t="n">
        <v>46</v>
      </c>
      <c r="AX3" s="19" t="n">
        <v>47</v>
      </c>
      <c r="AY3" s="19" t="n">
        <v>48</v>
      </c>
      <c r="AZ3" s="19" t="n">
        <v>49</v>
      </c>
      <c r="BA3" s="19" t="n">
        <v>50</v>
      </c>
      <c r="BB3" s="19" t="n">
        <v>51</v>
      </c>
      <c r="BC3" s="19" t="n">
        <v>52</v>
      </c>
      <c r="BD3" s="19" t="n">
        <v>53</v>
      </c>
      <c r="BE3" s="19" t="n">
        <v>54</v>
      </c>
      <c r="BF3" s="19" t="n">
        <v>55</v>
      </c>
      <c r="BG3" s="19" t="n">
        <v>56</v>
      </c>
      <c r="BH3" s="19" t="n">
        <v>57</v>
      </c>
      <c r="BI3" s="19" t="n">
        <v>58</v>
      </c>
      <c r="BJ3" s="19" t="n">
        <v>59</v>
      </c>
      <c r="BK3" s="19" t="n">
        <v>60</v>
      </c>
      <c r="BL3" s="19" t="n">
        <v>61</v>
      </c>
      <c r="BM3" s="19" t="n">
        <v>62</v>
      </c>
      <c r="BN3" s="19" t="n">
        <v>63</v>
      </c>
      <c r="BO3" s="19" t="n">
        <v>64</v>
      </c>
      <c r="BP3" s="19" t="n">
        <v>65</v>
      </c>
      <c r="BQ3" s="19" t="n">
        <v>66</v>
      </c>
      <c r="BR3" s="19" t="n">
        <v>67</v>
      </c>
      <c r="BS3" s="19" t="n">
        <v>68</v>
      </c>
      <c r="BT3" s="94" t="n">
        <v>69</v>
      </c>
      <c r="BU3" s="29" t="inlineStr">
        <is>
          <t>AVG</t>
        </is>
      </c>
      <c r="BV3" s="30" t="inlineStr">
        <is>
          <t>MIN</t>
        </is>
      </c>
      <c r="BW3" s="19" t="n"/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19" t="n"/>
      <c r="CL3" s="19" t="n"/>
      <c r="CM3" s="19" t="n"/>
      <c r="CN3" s="19" t="n"/>
      <c r="CO3" s="19" t="n"/>
      <c r="CP3" s="19" t="n"/>
      <c r="CQ3" s="19" t="n"/>
      <c r="CR3" s="19" t="n"/>
      <c r="CS3" s="19" t="n"/>
      <c r="CT3" s="19" t="n"/>
      <c r="CU3" s="19" t="n"/>
      <c r="CV3" s="19" t="n"/>
      <c r="CW3" s="19" t="n"/>
      <c r="CX3" s="19" t="n"/>
      <c r="CY3" s="19" t="n"/>
      <c r="CZ3" s="19" t="n"/>
      <c r="DA3" s="19" t="n"/>
      <c r="DB3" s="19" t="n"/>
      <c r="DC3" s="19" t="n"/>
      <c r="DD3" s="19" t="n"/>
      <c r="DE3" s="19" t="n"/>
      <c r="DF3" s="19" t="n"/>
      <c r="DG3" s="19" t="n"/>
      <c r="DH3" s="19" t="n"/>
      <c r="DI3" s="19" t="n"/>
      <c r="DJ3" s="19" t="n"/>
      <c r="DK3" s="19" t="n"/>
      <c r="DL3" s="19" t="n"/>
      <c r="DM3" s="19" t="n"/>
      <c r="DN3" s="19" t="n"/>
      <c r="DO3" s="20" t="n"/>
      <c r="DP3" s="20" t="n"/>
      <c r="DQ3" s="20" t="n"/>
      <c r="DR3" s="20" t="n"/>
      <c r="DS3" s="20" t="n"/>
      <c r="DT3" s="20" t="n"/>
      <c r="DU3" s="20" t="n"/>
      <c r="DV3" s="20" t="n"/>
      <c r="DW3" s="20" t="n"/>
      <c r="DX3" s="20" t="n"/>
      <c r="DY3" s="20" t="n"/>
      <c r="DZ3" s="21" t="n"/>
    </row>
    <row r="4" ht="36" customFormat="1" customHeight="1" s="5">
      <c r="A4" s="10" t="inlineStr">
        <is>
          <t>A</t>
        </is>
      </c>
      <c r="B4" s="6" t="n"/>
      <c r="C4" s="11" t="inlineStr">
        <is>
          <t>L</t>
        </is>
      </c>
      <c r="D4" s="433" t="n">
        <v>0.151</v>
      </c>
      <c r="E4" s="436" t="n">
        <v>0.221</v>
      </c>
      <c r="F4" s="436" t="n">
        <v>0.218</v>
      </c>
      <c r="G4" s="436" t="n">
        <v>0.217</v>
      </c>
      <c r="H4" s="439" t="n">
        <v>0.197</v>
      </c>
      <c r="I4" s="98" t="n">
        <v>0.268</v>
      </c>
      <c r="J4" s="436" t="n">
        <v>0.275</v>
      </c>
      <c r="K4" s="99" t="n">
        <v>0.267</v>
      </c>
      <c r="L4" s="436" t="n">
        <v>0.19</v>
      </c>
      <c r="M4" s="100" t="n">
        <v>0.259</v>
      </c>
      <c r="N4" s="98" t="n">
        <v>0.266</v>
      </c>
      <c r="O4" s="436" t="n">
        <v>0.219</v>
      </c>
      <c r="P4" s="436" t="n">
        <v>0.213</v>
      </c>
      <c r="Q4" s="436" t="n">
        <v>0.174</v>
      </c>
      <c r="R4" s="439" t="n">
        <v>0.212</v>
      </c>
      <c r="S4" s="442" t="n">
        <v>0.22</v>
      </c>
      <c r="T4" s="436" t="n">
        <v>0.213</v>
      </c>
      <c r="U4" s="436" t="n">
        <v>0.215</v>
      </c>
      <c r="V4" s="99" t="n">
        <v>0.21</v>
      </c>
      <c r="W4" s="397" t="n">
        <v>0.189</v>
      </c>
      <c r="X4" s="442" t="n">
        <v>0.189</v>
      </c>
      <c r="Y4" s="99" t="n">
        <v>0.217</v>
      </c>
      <c r="Z4" s="436" t="n">
        <v>0.217</v>
      </c>
      <c r="AA4" s="99" t="n">
        <v>0.216</v>
      </c>
      <c r="AB4" s="439" t="n">
        <v>0.214</v>
      </c>
      <c r="AC4" s="442" t="n">
        <v>0.209</v>
      </c>
      <c r="AD4" s="436" t="n">
        <v>0.214</v>
      </c>
      <c r="AE4" s="436" t="n">
        <v>0.206</v>
      </c>
      <c r="AF4" s="436" t="n">
        <v>0.179</v>
      </c>
      <c r="AG4" s="439" t="n">
        <v>0.212</v>
      </c>
      <c r="AH4" s="442" t="n">
        <v>0.191</v>
      </c>
      <c r="AI4" s="99" t="n">
        <v>0.224</v>
      </c>
      <c r="AJ4" s="99" t="n">
        <v>0.232</v>
      </c>
      <c r="AK4" s="394" t="n">
        <v>0.232</v>
      </c>
      <c r="AL4" s="100" t="n">
        <v>0.223</v>
      </c>
      <c r="AM4" s="442" t="n">
        <v>0.208</v>
      </c>
      <c r="AN4" s="436" t="n">
        <v>0.191</v>
      </c>
      <c r="AO4" s="436" t="n">
        <v>0.174</v>
      </c>
      <c r="AP4" s="436" t="n">
        <v>0.159</v>
      </c>
      <c r="AQ4" s="100" t="n">
        <v>0.209</v>
      </c>
      <c r="AR4" s="400" t="n">
        <v>0.221</v>
      </c>
      <c r="AS4" s="99" t="n">
        <v>0.229</v>
      </c>
      <c r="AT4" s="436" t="n">
        <v>0.209</v>
      </c>
      <c r="AU4" s="436" t="n">
        <v>0.195</v>
      </c>
      <c r="AV4" s="100" t="n">
        <v>0.221</v>
      </c>
      <c r="AW4" s="400" t="n">
        <v>0.22</v>
      </c>
      <c r="AX4" s="394" t="n">
        <v>0.222</v>
      </c>
      <c r="AY4" s="436" t="n">
        <v>0.213</v>
      </c>
      <c r="AZ4" s="99" t="n">
        <v>0.221</v>
      </c>
      <c r="BA4" s="100" t="n">
        <v>0.214</v>
      </c>
      <c r="BB4" s="98" t="n">
        <v>0.234</v>
      </c>
      <c r="BC4" s="436" t="n">
        <v>0.21</v>
      </c>
      <c r="BD4" s="99" t="n">
        <v>0.219</v>
      </c>
      <c r="BE4" s="436" t="n">
        <v>0.213</v>
      </c>
      <c r="BF4" s="439" t="n">
        <v>0.183</v>
      </c>
      <c r="BG4" s="98" t="n">
        <v>0.214</v>
      </c>
      <c r="BH4" s="99" t="n">
        <v>0.218</v>
      </c>
      <c r="BI4" s="394" t="n">
        <v>0.232</v>
      </c>
      <c r="BJ4" s="99" t="n">
        <v>0.217</v>
      </c>
      <c r="BK4" s="397" t="n">
        <v>0.226</v>
      </c>
      <c r="BL4" s="442" t="n">
        <v>0.214</v>
      </c>
      <c r="BM4" s="436" t="n">
        <v>0.219</v>
      </c>
      <c r="BN4" s="99" t="n">
        <v>0.22</v>
      </c>
      <c r="BO4" s="99" t="n">
        <v>0.22</v>
      </c>
      <c r="BP4" s="100" t="n">
        <v>0.228</v>
      </c>
      <c r="BQ4" s="442" t="n">
        <v>0.219</v>
      </c>
      <c r="BR4" s="394" t="n">
        <v>0.226</v>
      </c>
      <c r="BS4" s="394" t="n">
        <v>0.239</v>
      </c>
      <c r="BT4" s="439" t="n">
        <v>0.197</v>
      </c>
      <c r="BU4" s="454">
        <f>IFERROR(AVERAGE(D4:BT6),0)</f>
        <v/>
      </c>
      <c r="BV4" s="454">
        <f>MIN(D4:BT6)</f>
        <v/>
      </c>
      <c r="BW4" s="437" t="n"/>
      <c r="BX4" s="437" t="n"/>
      <c r="BY4" s="437" t="n"/>
      <c r="BZ4" s="437" t="n"/>
      <c r="CA4" s="437" t="n"/>
      <c r="CB4" s="437" t="n"/>
      <c r="CC4" s="437" t="n"/>
      <c r="CD4" s="437" t="n"/>
      <c r="CE4" s="437" t="n"/>
      <c r="CF4" s="437" t="n"/>
      <c r="CG4" s="437" t="n"/>
      <c r="CH4" s="437" t="n"/>
      <c r="CI4" s="437" t="n"/>
      <c r="CJ4" s="437" t="n"/>
      <c r="CK4" s="437" t="n"/>
      <c r="CL4" s="437" t="n"/>
      <c r="CM4" s="437" t="n"/>
      <c r="CN4" s="437" t="n"/>
      <c r="CO4" s="437" t="n"/>
      <c r="CP4" s="437" t="n"/>
      <c r="CQ4" s="437" t="n"/>
      <c r="CR4" s="437" t="n"/>
      <c r="CS4" s="437" t="n"/>
      <c r="CT4" s="437" t="n"/>
      <c r="CU4" s="437" t="n"/>
      <c r="CV4" s="437" t="n"/>
      <c r="CW4" s="437" t="n"/>
      <c r="CX4" s="437" t="n"/>
      <c r="CY4" s="437" t="n"/>
      <c r="CZ4" s="437" t="n"/>
      <c r="DA4" s="437" t="n"/>
      <c r="DB4" s="437" t="n"/>
      <c r="DC4" s="437" t="n"/>
      <c r="DD4" s="437" t="n"/>
      <c r="DE4" s="437" t="n"/>
      <c r="DF4" s="437" t="n"/>
      <c r="DG4" s="437" t="n"/>
      <c r="DH4" s="437" t="n"/>
      <c r="DI4" s="437" t="n"/>
      <c r="DJ4" s="437" t="n"/>
      <c r="DK4" s="437" t="n"/>
      <c r="DL4" s="437" t="n"/>
      <c r="DM4" s="437" t="n"/>
      <c r="DN4" s="437" t="n"/>
      <c r="DO4" s="437" t="n"/>
      <c r="DP4" s="437" t="n"/>
      <c r="DQ4" s="437" t="n"/>
      <c r="DR4" s="437" t="n"/>
      <c r="DS4" s="437" t="n"/>
      <c r="DT4" s="437" t="n"/>
      <c r="DU4" s="437" t="n"/>
      <c r="DV4" s="437" t="n"/>
      <c r="DW4" s="437" t="n"/>
      <c r="DX4" s="437" t="n"/>
      <c r="DY4" s="238" t="n"/>
      <c r="DZ4" s="23" t="n"/>
      <c r="FQ4" s="212" t="n"/>
      <c r="FR4" s="212" t="n"/>
      <c r="FS4" s="212" t="n"/>
      <c r="FT4" s="212" t="n"/>
      <c r="FU4" s="212" t="n"/>
      <c r="FV4" s="212" t="n"/>
      <c r="FW4" s="212" t="n"/>
      <c r="FX4" s="212" t="n"/>
      <c r="FY4" s="212" t="n"/>
      <c r="FZ4" s="212" t="n"/>
    </row>
    <row r="5" ht="36" customFormat="1" customHeight="1" s="5">
      <c r="A5" s="182" t="n">
        <v>0.083</v>
      </c>
      <c r="B5" s="7" t="inlineStr">
        <is>
          <t>+16 FT 6 IN</t>
        </is>
      </c>
      <c r="C5" s="11" t="inlineStr">
        <is>
          <t>C</t>
        </is>
      </c>
      <c r="D5" s="392" t="n">
        <v>0.188</v>
      </c>
      <c r="E5" s="437" t="n">
        <v>0.201</v>
      </c>
      <c r="F5" s="437" t="n">
        <v>0.215</v>
      </c>
      <c r="G5" s="101" t="n">
        <v>0.224</v>
      </c>
      <c r="H5" s="398" t="n">
        <v>0.225</v>
      </c>
      <c r="I5" s="443" t="n">
        <v>0.262</v>
      </c>
      <c r="J5" s="101" t="n">
        <v>0.266</v>
      </c>
      <c r="K5" s="395" t="n">
        <v>0.274</v>
      </c>
      <c r="L5" s="395" t="n">
        <v>0.276</v>
      </c>
      <c r="M5" s="440" t="n">
        <v>0.263</v>
      </c>
      <c r="N5" s="443" t="n">
        <v>0.258</v>
      </c>
      <c r="O5" s="101" t="n">
        <v>0.218</v>
      </c>
      <c r="P5" s="437" t="n">
        <v>0.222</v>
      </c>
      <c r="Q5" s="101" t="n">
        <v>0.235</v>
      </c>
      <c r="R5" s="102" t="n">
        <v>0.212</v>
      </c>
      <c r="S5" s="443" t="n">
        <v>0.219</v>
      </c>
      <c r="T5" s="101" t="n">
        <v>0.218</v>
      </c>
      <c r="U5" s="437" t="n">
        <v>0.213</v>
      </c>
      <c r="V5" s="437" t="n">
        <v>0.209</v>
      </c>
      <c r="W5" s="102" t="n">
        <v>0.217</v>
      </c>
      <c r="X5" s="103" t="n">
        <v>0.226</v>
      </c>
      <c r="Y5" s="437" t="n">
        <v>0.21</v>
      </c>
      <c r="Z5" s="101" t="n">
        <v>0.216</v>
      </c>
      <c r="AA5" s="101" t="n">
        <v>0.213</v>
      </c>
      <c r="AB5" s="440" t="n">
        <v>0.215</v>
      </c>
      <c r="AC5" s="103" t="n">
        <v>0.206</v>
      </c>
      <c r="AD5" s="437" t="n">
        <v>0.207</v>
      </c>
      <c r="AE5" s="101" t="n">
        <v>0.23</v>
      </c>
      <c r="AF5" s="437" t="n">
        <v>0.169</v>
      </c>
      <c r="AG5" s="440" t="n">
        <v>0.184</v>
      </c>
      <c r="AH5" s="443" t="n">
        <v>0.182</v>
      </c>
      <c r="AI5" s="101" t="n">
        <v>0.222</v>
      </c>
      <c r="AJ5" s="101" t="n">
        <v>0.223</v>
      </c>
      <c r="AK5" s="395" t="n">
        <v>0.23</v>
      </c>
      <c r="AL5" s="102" t="n">
        <v>0.222</v>
      </c>
      <c r="AM5" s="401" t="n">
        <v>0.223</v>
      </c>
      <c r="AN5" s="437" t="n">
        <v>0.183</v>
      </c>
      <c r="AO5" s="437" t="n">
        <v>0.195</v>
      </c>
      <c r="AP5" s="437" t="n">
        <v>0.204</v>
      </c>
      <c r="AQ5" s="102" t="n">
        <v>0.228</v>
      </c>
      <c r="AR5" s="401" t="n">
        <v>0.232</v>
      </c>
      <c r="AS5" s="101" t="n">
        <v>0.233</v>
      </c>
      <c r="AT5" s="101" t="n">
        <v>0.222</v>
      </c>
      <c r="AU5" s="437" t="n">
        <v>0.21</v>
      </c>
      <c r="AV5" s="102" t="n">
        <v>0.228</v>
      </c>
      <c r="AW5" s="103" t="n">
        <v>0.217</v>
      </c>
      <c r="AX5" s="101" t="n">
        <v>0.227</v>
      </c>
      <c r="AY5" s="437" t="n">
        <v>0.172</v>
      </c>
      <c r="AZ5" s="437" t="n">
        <v>0.216</v>
      </c>
      <c r="BA5" s="102" t="n">
        <v>0.216</v>
      </c>
      <c r="BB5" s="443" t="n">
        <v>0.215</v>
      </c>
      <c r="BC5" s="437" t="n">
        <v>0.211</v>
      </c>
      <c r="BD5" s="101" t="n">
        <v>0.219</v>
      </c>
      <c r="BE5" s="437" t="n">
        <v>0.205</v>
      </c>
      <c r="BF5" s="440" t="n">
        <v>0.211</v>
      </c>
      <c r="BG5" s="443" t="n">
        <v>0.209</v>
      </c>
      <c r="BH5" s="101" t="n">
        <v>0.219</v>
      </c>
      <c r="BI5" s="101" t="n">
        <v>0.227</v>
      </c>
      <c r="BJ5" s="101" t="n">
        <v>0.217</v>
      </c>
      <c r="BK5" s="102" t="n">
        <v>0.219</v>
      </c>
      <c r="BL5" s="443" t="n">
        <v>0.216</v>
      </c>
      <c r="BM5" s="101" t="n">
        <v>0.224</v>
      </c>
      <c r="BN5" s="395" t="n">
        <v>0.226</v>
      </c>
      <c r="BO5" s="101" t="n">
        <v>0.219</v>
      </c>
      <c r="BP5" s="398" t="n">
        <v>0.225</v>
      </c>
      <c r="BQ5" s="443" t="n">
        <v>0.22</v>
      </c>
      <c r="BR5" s="395" t="n">
        <v>0.229</v>
      </c>
      <c r="BS5" s="101" t="n">
        <v>0.226</v>
      </c>
      <c r="BT5" s="440" t="n">
        <v>0.204</v>
      </c>
      <c r="BU5" s="455" t="n"/>
      <c r="BV5" s="455" t="n"/>
      <c r="BW5" s="437" t="n"/>
      <c r="BX5" s="437" t="n"/>
      <c r="BY5" s="437" t="n"/>
      <c r="BZ5" s="437" t="n"/>
      <c r="CA5" s="437" t="n"/>
      <c r="CB5" s="437" t="n"/>
      <c r="CC5" s="437" t="n"/>
      <c r="CD5" s="437" t="n"/>
      <c r="CE5" s="437" t="n"/>
      <c r="CF5" s="437" t="n"/>
      <c r="CG5" s="437" t="n"/>
      <c r="CH5" s="437" t="n"/>
      <c r="CI5" s="437" t="n"/>
      <c r="CJ5" s="437" t="n"/>
      <c r="CK5" s="437" t="n"/>
      <c r="CL5" s="437" t="n"/>
      <c r="CM5" s="437" t="n"/>
      <c r="CN5" s="437" t="n"/>
      <c r="CO5" s="437" t="n"/>
      <c r="CP5" s="437" t="n"/>
      <c r="CQ5" s="437" t="n"/>
      <c r="CR5" s="437" t="n"/>
      <c r="CS5" s="437" t="n"/>
      <c r="CT5" s="437" t="n"/>
      <c r="CU5" s="437" t="n"/>
      <c r="CV5" s="437" t="n"/>
      <c r="CW5" s="437" t="n"/>
      <c r="CX5" s="437" t="n"/>
      <c r="CY5" s="437" t="n"/>
      <c r="CZ5" s="437" t="n"/>
      <c r="DA5" s="437" t="n"/>
      <c r="DB5" s="437" t="n"/>
      <c r="DC5" s="437" t="n"/>
      <c r="DD5" s="437" t="n"/>
      <c r="DE5" s="437" t="n"/>
      <c r="DF5" s="437" t="n"/>
      <c r="DG5" s="437" t="n"/>
      <c r="DH5" s="437" t="n"/>
      <c r="DI5" s="437" t="n"/>
      <c r="DJ5" s="437" t="n"/>
      <c r="DK5" s="437" t="n"/>
      <c r="DL5" s="437" t="n"/>
      <c r="DM5" s="437" t="n"/>
      <c r="DN5" s="437" t="n"/>
      <c r="DO5" s="437" t="n"/>
      <c r="DP5" s="437" t="n"/>
      <c r="DQ5" s="437" t="n"/>
      <c r="DR5" s="437" t="n"/>
      <c r="DS5" s="437" t="n"/>
      <c r="DT5" s="437" t="n"/>
      <c r="DU5" s="437" t="n"/>
      <c r="DV5" s="437" t="n"/>
      <c r="DW5" s="437" t="n"/>
      <c r="DX5" s="437" t="n"/>
      <c r="DY5" s="238" t="n"/>
      <c r="DZ5" s="23" t="n"/>
      <c r="FQ5" s="212" t="n"/>
      <c r="FR5" s="212" t="n"/>
      <c r="FS5" s="212" t="n"/>
      <c r="FT5" s="212" t="n"/>
      <c r="FU5" s="212" t="n"/>
      <c r="FV5" s="212" t="n"/>
      <c r="FW5" s="212" t="n"/>
      <c r="FX5" s="212" t="n"/>
      <c r="FY5" s="212" t="n"/>
      <c r="FZ5" s="212" t="n"/>
    </row>
    <row r="6" ht="36" customFormat="1" customHeight="1" s="5">
      <c r="A6" s="456" t="n"/>
      <c r="B6" s="8" t="n"/>
      <c r="C6" s="12" t="inlineStr">
        <is>
          <t>R</t>
        </is>
      </c>
      <c r="D6" s="435" t="n">
        <v>0.205</v>
      </c>
      <c r="E6" s="438" t="n">
        <v>0.194</v>
      </c>
      <c r="F6" s="104" t="n">
        <v>0.223</v>
      </c>
      <c r="G6" s="104" t="n">
        <v>0.223</v>
      </c>
      <c r="H6" s="399" t="n">
        <v>0.23</v>
      </c>
      <c r="I6" s="444" t="n">
        <v>0.268</v>
      </c>
      <c r="J6" s="438" t="n">
        <v>0.153</v>
      </c>
      <c r="K6" s="438" t="n">
        <v>0.186</v>
      </c>
      <c r="L6" s="396" t="n">
        <v>0.273</v>
      </c>
      <c r="M6" s="105" t="n">
        <v>0.262</v>
      </c>
      <c r="N6" s="444" t="n">
        <v>0.205</v>
      </c>
      <c r="O6" s="104" t="n">
        <v>0.219</v>
      </c>
      <c r="P6" s="104" t="n">
        <v>0.221</v>
      </c>
      <c r="Q6" s="104" t="n">
        <v>0.236</v>
      </c>
      <c r="R6" s="441" t="n">
        <v>0.206</v>
      </c>
      <c r="S6" s="106" t="n">
        <v>0.229</v>
      </c>
      <c r="T6" s="438" t="n">
        <v>0.216</v>
      </c>
      <c r="U6" s="438" t="n">
        <v>0.211</v>
      </c>
      <c r="V6" s="438" t="n">
        <v>0.2</v>
      </c>
      <c r="W6" s="441" t="n">
        <v>0.167</v>
      </c>
      <c r="X6" s="402" t="n">
        <v>0.222</v>
      </c>
      <c r="Y6" s="104" t="n">
        <v>0.211</v>
      </c>
      <c r="Z6" s="104" t="n">
        <v>0.21</v>
      </c>
      <c r="AA6" s="396" t="n">
        <v>0.214</v>
      </c>
      <c r="AB6" s="441" t="n">
        <v>0.216</v>
      </c>
      <c r="AC6" s="444" t="n">
        <v>0.189</v>
      </c>
      <c r="AD6" s="438" t="n">
        <v>0.217</v>
      </c>
      <c r="AE6" s="438" t="n">
        <v>0.219</v>
      </c>
      <c r="AF6" s="438" t="n">
        <v>0.188</v>
      </c>
      <c r="AG6" s="441" t="n">
        <v>0.204</v>
      </c>
      <c r="AH6" s="444" t="n">
        <v>0.184</v>
      </c>
      <c r="AI6" s="438" t="n">
        <v>0.191</v>
      </c>
      <c r="AJ6" s="396" t="n">
        <v>0.221</v>
      </c>
      <c r="AK6" s="396" t="n">
        <v>0.229</v>
      </c>
      <c r="AL6" s="105" t="n">
        <v>0.226</v>
      </c>
      <c r="AM6" s="402" t="n">
        <v>0.236</v>
      </c>
      <c r="AN6" s="438" t="n">
        <v>0.192</v>
      </c>
      <c r="AO6" s="396" t="n">
        <v>0.212</v>
      </c>
      <c r="AP6" s="438" t="n">
        <v>0.209</v>
      </c>
      <c r="AQ6" s="399" t="n">
        <v>0.212</v>
      </c>
      <c r="AR6" s="402" t="n">
        <v>0.227</v>
      </c>
      <c r="AS6" s="396" t="n">
        <v>0.224</v>
      </c>
      <c r="AT6" s="438" t="n">
        <v>0.177</v>
      </c>
      <c r="AU6" s="104" t="n">
        <v>0.226</v>
      </c>
      <c r="AV6" s="105" t="n">
        <v>0.222</v>
      </c>
      <c r="AW6" s="106" t="n">
        <v>0.222</v>
      </c>
      <c r="AX6" s="104" t="n">
        <v>0.23</v>
      </c>
      <c r="AY6" s="438" t="n">
        <v>0.216</v>
      </c>
      <c r="AZ6" s="438" t="n">
        <v>0.213</v>
      </c>
      <c r="BA6" s="441" t="n">
        <v>0.189</v>
      </c>
      <c r="BB6" s="444" t="n">
        <v>0.21</v>
      </c>
      <c r="BC6" s="438" t="n">
        <v>0.204</v>
      </c>
      <c r="BD6" s="104" t="n">
        <v>0.217</v>
      </c>
      <c r="BE6" s="438" t="n">
        <v>0.213</v>
      </c>
      <c r="BF6" s="441" t="n">
        <v>0.208</v>
      </c>
      <c r="BG6" s="444" t="n">
        <v>0.209</v>
      </c>
      <c r="BH6" s="396" t="n">
        <v>0.223</v>
      </c>
      <c r="BI6" s="104" t="n">
        <v>0.222</v>
      </c>
      <c r="BJ6" s="438" t="n">
        <v>0.193</v>
      </c>
      <c r="BK6" s="441" t="n">
        <v>0.217</v>
      </c>
      <c r="BL6" s="402" t="n">
        <v>0.224</v>
      </c>
      <c r="BM6" s="438" t="n">
        <v>0.216</v>
      </c>
      <c r="BN6" s="438" t="n">
        <v>0.222</v>
      </c>
      <c r="BO6" s="104" t="n">
        <v>0.226</v>
      </c>
      <c r="BP6" s="399" t="n">
        <v>0.229</v>
      </c>
      <c r="BQ6" s="402" t="n">
        <v>0.228</v>
      </c>
      <c r="BR6" s="396" t="n">
        <v>0.237</v>
      </c>
      <c r="BS6" s="104" t="n">
        <v>0.227</v>
      </c>
      <c r="BT6" s="105" t="n">
        <v>0.221</v>
      </c>
      <c r="BU6" s="457" t="n"/>
      <c r="BV6" s="457" t="n"/>
      <c r="BW6" s="437" t="n"/>
      <c r="BX6" s="437" t="n"/>
      <c r="BY6" s="437" t="n"/>
      <c r="BZ6" s="437" t="n"/>
      <c r="CA6" s="437" t="n"/>
      <c r="CB6" s="437" t="n"/>
      <c r="CC6" s="437" t="n"/>
      <c r="CD6" s="437" t="n"/>
      <c r="CE6" s="437" t="n"/>
      <c r="CF6" s="437" t="n"/>
      <c r="CG6" s="437" t="n"/>
      <c r="CH6" s="437" t="n"/>
      <c r="CI6" s="437" t="n"/>
      <c r="CJ6" s="437" t="n"/>
      <c r="CK6" s="437" t="n"/>
      <c r="CL6" s="437" t="n"/>
      <c r="CM6" s="437" t="n"/>
      <c r="CN6" s="437" t="n"/>
      <c r="CO6" s="437" t="n"/>
      <c r="CP6" s="437" t="n"/>
      <c r="CQ6" s="437" t="n"/>
      <c r="CR6" s="437" t="n"/>
      <c r="CS6" s="437" t="n"/>
      <c r="CT6" s="437" t="n"/>
      <c r="CU6" s="437" t="n"/>
      <c r="CV6" s="437" t="n"/>
      <c r="CW6" s="437" t="n"/>
      <c r="CX6" s="437" t="n"/>
      <c r="CY6" s="437" t="n"/>
      <c r="CZ6" s="437" t="n"/>
      <c r="DA6" s="437" t="n"/>
      <c r="DB6" s="437" t="n"/>
      <c r="DC6" s="437" t="n"/>
      <c r="DD6" s="437" t="n"/>
      <c r="DE6" s="437" t="n"/>
      <c r="DF6" s="437" t="n"/>
      <c r="DG6" s="437" t="n"/>
      <c r="DH6" s="437" t="n"/>
      <c r="DI6" s="437" t="n"/>
      <c r="DJ6" s="437" t="n"/>
      <c r="DK6" s="437" t="n"/>
      <c r="DL6" s="437" t="n"/>
      <c r="DM6" s="437" t="n"/>
      <c r="DN6" s="437" t="n"/>
      <c r="DO6" s="437" t="n"/>
      <c r="DP6" s="437" t="n"/>
      <c r="DQ6" s="437" t="n"/>
      <c r="DR6" s="437" t="n"/>
      <c r="DS6" s="437" t="n"/>
      <c r="DT6" s="437" t="n"/>
      <c r="DU6" s="437" t="n"/>
      <c r="DV6" s="437" t="n"/>
      <c r="DW6" s="437" t="n"/>
      <c r="DX6" s="437" t="n"/>
      <c r="DY6" s="238" t="n"/>
      <c r="DZ6" s="23" t="n"/>
      <c r="FQ6" s="212" t="n"/>
      <c r="FR6" s="212" t="n"/>
      <c r="FS6" s="212" t="n"/>
      <c r="FT6" s="212" t="n"/>
      <c r="FU6" s="212" t="n"/>
      <c r="FV6" s="212" t="n"/>
      <c r="FW6" s="212" t="n"/>
      <c r="FX6" s="212" t="n"/>
      <c r="FY6" s="212" t="n"/>
      <c r="FZ6" s="212" t="n"/>
    </row>
    <row r="7" ht="39.95" customFormat="1" customHeight="1" s="5">
      <c r="A7" s="10" t="inlineStr">
        <is>
          <t>A</t>
        </is>
      </c>
      <c r="B7" s="6" t="n"/>
      <c r="C7" s="11" t="inlineStr">
        <is>
          <t>L</t>
        </is>
      </c>
      <c r="D7" s="391" t="inlineStr">
        <is>
          <t>RF</t>
        </is>
      </c>
      <c r="E7" s="99" t="n">
        <v>0.217</v>
      </c>
      <c r="F7" s="99" t="n">
        <v>0.233</v>
      </c>
      <c r="G7" s="436" t="n">
        <v>0.208</v>
      </c>
      <c r="H7" s="439" t="n">
        <v>0.19</v>
      </c>
      <c r="I7" s="98" t="n">
        <v>0.27</v>
      </c>
      <c r="J7" s="436" t="n">
        <v>0.256</v>
      </c>
      <c r="K7" s="436" t="n">
        <v>0.255</v>
      </c>
      <c r="L7" s="436" t="n">
        <v>0.25</v>
      </c>
      <c r="M7" s="439" t="n">
        <v>0.263</v>
      </c>
      <c r="N7" s="442" t="n">
        <v>0.25</v>
      </c>
      <c r="O7" s="436" t="n">
        <v>0.218</v>
      </c>
      <c r="P7" s="99" t="n">
        <v>0.229</v>
      </c>
      <c r="Q7" s="436" t="n">
        <v>0.214</v>
      </c>
      <c r="R7" s="439" t="n">
        <v>0.191</v>
      </c>
      <c r="S7" s="442" t="n">
        <v>0.207</v>
      </c>
      <c r="T7" s="436" t="n">
        <v>0.209</v>
      </c>
      <c r="U7" s="436" t="n">
        <v>0.21</v>
      </c>
      <c r="V7" s="436" t="n">
        <v>0.216</v>
      </c>
      <c r="W7" s="439" t="n">
        <v>0.2</v>
      </c>
      <c r="X7" s="442" t="n">
        <v>0.205</v>
      </c>
      <c r="Y7" s="436" t="n">
        <v>0.208</v>
      </c>
      <c r="Z7" s="99" t="n">
        <v>0.221</v>
      </c>
      <c r="AA7" s="436" t="n">
        <v>0.21</v>
      </c>
      <c r="AB7" s="439" t="n">
        <v>0.19</v>
      </c>
      <c r="AC7" s="442" t="n">
        <v>0.214</v>
      </c>
      <c r="AD7" s="99" t="n">
        <v>0.213</v>
      </c>
      <c r="AE7" s="436" t="n">
        <v>0.208</v>
      </c>
      <c r="AF7" s="99" t="n">
        <v>0.213</v>
      </c>
      <c r="AG7" s="100" t="n">
        <v>0.205</v>
      </c>
      <c r="AH7" s="442" t="n">
        <v>0.187</v>
      </c>
      <c r="AI7" s="99" t="n">
        <v>0.215</v>
      </c>
      <c r="AJ7" s="436" t="n">
        <v>0.17</v>
      </c>
      <c r="AK7" s="99" t="n">
        <v>0.228</v>
      </c>
      <c r="AL7" s="100" t="n">
        <v>0.226</v>
      </c>
      <c r="AM7" s="98" t="n">
        <v>0.215</v>
      </c>
      <c r="AN7" s="436" t="n">
        <v>0.198</v>
      </c>
      <c r="AO7" s="436" t="n">
        <v>0.202</v>
      </c>
      <c r="AP7" s="436" t="n">
        <v>0.2</v>
      </c>
      <c r="AQ7" s="439" t="n">
        <v>0.189</v>
      </c>
      <c r="AR7" s="98" t="n">
        <v>0.207</v>
      </c>
      <c r="AS7" s="436" t="n">
        <v>0.182</v>
      </c>
      <c r="AT7" s="99" t="n">
        <v>0.217</v>
      </c>
      <c r="AU7" s="436" t="n">
        <v>0.198</v>
      </c>
      <c r="AV7" s="439" t="n">
        <v>0.205</v>
      </c>
      <c r="AW7" s="442" t="n">
        <v>0.198</v>
      </c>
      <c r="AX7" s="436" t="n">
        <v>0.209</v>
      </c>
      <c r="AY7" s="436" t="n">
        <v>0.194</v>
      </c>
      <c r="AZ7" s="394" t="n">
        <v>0.228</v>
      </c>
      <c r="BA7" s="439" t="n">
        <v>0.179</v>
      </c>
      <c r="BB7" s="98" t="n">
        <v>0.226</v>
      </c>
      <c r="BC7" s="436" t="n">
        <v>0.199</v>
      </c>
      <c r="BD7" s="99" t="n">
        <v>0.209</v>
      </c>
      <c r="BE7" s="436" t="n">
        <v>0.159</v>
      </c>
      <c r="BF7" s="439" t="n">
        <v>0.169</v>
      </c>
      <c r="BG7" s="400" t="n">
        <v>0.224</v>
      </c>
      <c r="BH7" s="99" t="n">
        <v>0.215</v>
      </c>
      <c r="BI7" s="436" t="n">
        <v>0.209</v>
      </c>
      <c r="BJ7" s="394" t="n">
        <v>0.204</v>
      </c>
      <c r="BK7" s="439" t="n">
        <v>0.203</v>
      </c>
      <c r="BL7" s="400" t="n">
        <v>0.212</v>
      </c>
      <c r="BM7" s="436" t="n">
        <v>0.22</v>
      </c>
      <c r="BN7" s="436" t="n">
        <v>0.21</v>
      </c>
      <c r="BO7" s="436" t="n">
        <v>0.22</v>
      </c>
      <c r="BP7" s="100" t="n">
        <v>0.24</v>
      </c>
      <c r="BQ7" s="98" t="n">
        <v>0.227</v>
      </c>
      <c r="BR7" s="436" t="n">
        <v>0.215</v>
      </c>
      <c r="BS7" s="436" t="n">
        <v>0.229</v>
      </c>
      <c r="BT7" s="397" t="inlineStr">
        <is>
          <t>RF</t>
        </is>
      </c>
      <c r="BU7" s="454">
        <f>IFERROR(AVERAGE(D7:BT9),0)</f>
        <v/>
      </c>
      <c r="BV7" s="454">
        <f>MIN(D7:BT9)</f>
        <v/>
      </c>
      <c r="BW7" s="238" t="n"/>
      <c r="BX7" s="238" t="n"/>
      <c r="BY7" s="238" t="n"/>
      <c r="BZ7" s="238" t="n"/>
      <c r="CA7" s="238" t="n"/>
      <c r="CB7" s="238" t="n"/>
      <c r="CC7" s="238" t="n"/>
      <c r="CD7" s="238" t="n"/>
      <c r="CE7" s="238" t="n"/>
      <c r="CF7" s="238" t="n"/>
      <c r="CG7" s="238" t="n"/>
      <c r="CH7" s="238" t="n"/>
      <c r="CI7" s="238" t="n"/>
      <c r="CJ7" s="238" t="n"/>
      <c r="CK7" s="238" t="n"/>
      <c r="CL7" s="238" t="n"/>
      <c r="CM7" s="238" t="n"/>
      <c r="CN7" s="238" t="n"/>
      <c r="CO7" s="238" t="n"/>
      <c r="CP7" s="238" t="n"/>
      <c r="CQ7" s="238" t="n"/>
      <c r="CR7" s="238" t="n"/>
      <c r="CS7" s="238" t="n"/>
      <c r="CT7" s="238" t="n"/>
      <c r="CU7" s="238" t="n"/>
      <c r="CV7" s="238" t="n"/>
      <c r="CW7" s="238" t="n"/>
      <c r="CX7" s="238" t="n"/>
      <c r="CY7" s="238" t="n"/>
      <c r="CZ7" s="238" t="n"/>
      <c r="DA7" s="238" t="n"/>
      <c r="DB7" s="238" t="n"/>
      <c r="DC7" s="238" t="n"/>
      <c r="DD7" s="238" t="n"/>
      <c r="DE7" s="238" t="n"/>
      <c r="DF7" s="238" t="n"/>
      <c r="DG7" s="238" t="n"/>
      <c r="DH7" s="238" t="n"/>
      <c r="DI7" s="238" t="n"/>
      <c r="DJ7" s="238" t="n"/>
      <c r="DK7" s="238" t="n"/>
      <c r="DL7" s="238" t="n"/>
      <c r="DM7" s="238" t="n"/>
      <c r="DN7" s="238" t="n"/>
      <c r="DO7" s="238" t="n"/>
      <c r="DP7" s="238" t="n"/>
      <c r="DQ7" s="238" t="n"/>
      <c r="DR7" s="238" t="n"/>
      <c r="DS7" s="238" t="n"/>
      <c r="DT7" s="238" t="n"/>
      <c r="DU7" s="238" t="n"/>
      <c r="DV7" s="238" t="n"/>
      <c r="DW7" s="238" t="n"/>
      <c r="DX7" s="238" t="n"/>
      <c r="DY7" s="238" t="n"/>
      <c r="DZ7" s="23" t="n"/>
      <c r="FQ7" s="212" t="n"/>
      <c r="FR7" s="212" t="n"/>
      <c r="FS7" s="212" t="n"/>
      <c r="FT7" s="212" t="n"/>
      <c r="FU7" s="212" t="n"/>
      <c r="FV7" s="212" t="n"/>
      <c r="FW7" s="212" t="n"/>
      <c r="FX7" s="212" t="n"/>
      <c r="FY7" s="212" t="n"/>
      <c r="FZ7" s="212" t="n"/>
    </row>
    <row r="8" ht="39.95" customFormat="1" customHeight="1" s="5">
      <c r="A8" s="182" t="n">
        <v>0.083</v>
      </c>
      <c r="B8" s="7" t="inlineStr">
        <is>
          <t>+15 FT</t>
        </is>
      </c>
      <c r="C8" s="11" t="inlineStr">
        <is>
          <t>C</t>
        </is>
      </c>
      <c r="D8" s="392" t="inlineStr">
        <is>
          <t>RF</t>
        </is>
      </c>
      <c r="E8" s="101" t="n">
        <v>0.216</v>
      </c>
      <c r="F8" s="437" t="n">
        <v>0.224</v>
      </c>
      <c r="G8" s="437" t="n">
        <v>0.219</v>
      </c>
      <c r="H8" s="440" t="n">
        <v>0.188</v>
      </c>
      <c r="I8" s="103" t="n">
        <v>0.274</v>
      </c>
      <c r="J8" s="101" t="n">
        <v>0.263</v>
      </c>
      <c r="K8" s="437" t="n">
        <v>0.26</v>
      </c>
      <c r="L8" s="101" t="n">
        <v>0.265</v>
      </c>
      <c r="M8" s="440" t="n">
        <v>0.256</v>
      </c>
      <c r="N8" s="443" t="n">
        <v>0.245</v>
      </c>
      <c r="O8" s="101" t="n">
        <v>0.23</v>
      </c>
      <c r="P8" s="101" t="n">
        <v>0.224</v>
      </c>
      <c r="Q8" s="437" t="n">
        <v>0.211</v>
      </c>
      <c r="R8" s="102" t="n">
        <v>0.221</v>
      </c>
      <c r="S8" s="103" t="n">
        <v>0.212</v>
      </c>
      <c r="T8" s="101" t="n">
        <v>0.212</v>
      </c>
      <c r="U8" s="101" t="n">
        <v>0.211</v>
      </c>
      <c r="V8" s="437" t="n">
        <v>0.206</v>
      </c>
      <c r="W8" s="440" t="n">
        <v>0.199</v>
      </c>
      <c r="X8" s="103" t="n">
        <v>0.23</v>
      </c>
      <c r="Y8" s="437" t="n">
        <v>0.18</v>
      </c>
      <c r="Z8" s="437" t="n">
        <v>0.167</v>
      </c>
      <c r="AA8" s="101" t="n">
        <v>0.217</v>
      </c>
      <c r="AB8" s="440" t="n">
        <v>0.173</v>
      </c>
      <c r="AC8" s="443" t="n">
        <v>0.203</v>
      </c>
      <c r="AD8" s="437" t="n">
        <v>0.182</v>
      </c>
      <c r="AE8" s="437" t="n">
        <v>0.201</v>
      </c>
      <c r="AF8" s="101" t="n">
        <v>0.207</v>
      </c>
      <c r="AG8" s="440" t="n">
        <v>0.193</v>
      </c>
      <c r="AH8" s="103" t="n">
        <v>0.223</v>
      </c>
      <c r="AI8" s="101" t="n">
        <v>0.216</v>
      </c>
      <c r="AJ8" s="395" t="n">
        <v>0.22</v>
      </c>
      <c r="AK8" s="437" t="n">
        <v>0.211</v>
      </c>
      <c r="AL8" s="440" t="n">
        <v>0.172</v>
      </c>
      <c r="AM8" s="103" t="n">
        <v>0.213</v>
      </c>
      <c r="AN8" s="437" t="n">
        <v>0.209</v>
      </c>
      <c r="AO8" s="437" t="n">
        <v>0.203</v>
      </c>
      <c r="AP8" s="437" t="n">
        <v>0.197</v>
      </c>
      <c r="AQ8" s="102" t="n">
        <v>0.208</v>
      </c>
      <c r="AR8" s="103" t="n">
        <v>0.212</v>
      </c>
      <c r="AS8" s="437" t="n">
        <v>0.205</v>
      </c>
      <c r="AT8" s="437" t="n">
        <v>0.202</v>
      </c>
      <c r="AU8" s="101" t="n">
        <v>0.223</v>
      </c>
      <c r="AV8" s="440" t="n">
        <v>0.198</v>
      </c>
      <c r="AW8" s="443" t="n">
        <v>0.198</v>
      </c>
      <c r="AX8" s="437" t="n">
        <v>0.201</v>
      </c>
      <c r="AY8" s="101" t="n">
        <v>0.21</v>
      </c>
      <c r="AZ8" s="437" t="n">
        <v>0.21</v>
      </c>
      <c r="BA8" s="102" t="n">
        <v>0.218</v>
      </c>
      <c r="BB8" s="443" t="n">
        <v>0.217</v>
      </c>
      <c r="BC8" s="437" t="n">
        <v>0.166</v>
      </c>
      <c r="BD8" s="101" t="n">
        <v>0.214</v>
      </c>
      <c r="BE8" s="437" t="n">
        <v>0.187</v>
      </c>
      <c r="BF8" s="440" t="n">
        <v>0.188</v>
      </c>
      <c r="BG8" s="443" t="n">
        <v>0.171</v>
      </c>
      <c r="BH8" s="437" t="n">
        <v>0.196</v>
      </c>
      <c r="BI8" s="101" t="n">
        <v>0.22</v>
      </c>
      <c r="BJ8" s="395" t="n">
        <v>0.221</v>
      </c>
      <c r="BK8" s="102" t="n">
        <v>0.22</v>
      </c>
      <c r="BL8" s="443" t="n">
        <v>0.214</v>
      </c>
      <c r="BM8" s="437" t="n">
        <v>0.217</v>
      </c>
      <c r="BN8" s="395" t="n">
        <v>0.226</v>
      </c>
      <c r="BO8" s="437" t="n">
        <v>0.217</v>
      </c>
      <c r="BP8" s="102" t="n">
        <v>0.228</v>
      </c>
      <c r="BQ8" s="103" t="n">
        <v>0.233</v>
      </c>
      <c r="BR8" s="437" t="n">
        <v>0.211</v>
      </c>
      <c r="BS8" s="437" t="n">
        <v>0.223</v>
      </c>
      <c r="BT8" s="398" t="inlineStr">
        <is>
          <t>RF</t>
        </is>
      </c>
      <c r="BU8" s="455" t="n"/>
      <c r="BV8" s="455" t="n"/>
      <c r="BW8" s="238" t="n"/>
      <c r="BX8" s="238" t="n"/>
      <c r="BY8" s="238" t="n"/>
      <c r="BZ8" s="238" t="n"/>
      <c r="CA8" s="238" t="n"/>
      <c r="CB8" s="238" t="n"/>
      <c r="CC8" s="238" t="n"/>
      <c r="CD8" s="238" t="n"/>
      <c r="CE8" s="238" t="n"/>
      <c r="CF8" s="238" t="n"/>
      <c r="CG8" s="238" t="n"/>
      <c r="CH8" s="238" t="n"/>
      <c r="CI8" s="238" t="n"/>
      <c r="CJ8" s="238" t="n"/>
      <c r="CK8" s="238" t="n"/>
      <c r="CL8" s="238" t="n"/>
      <c r="CM8" s="238" t="n"/>
      <c r="CN8" s="238" t="n"/>
      <c r="CO8" s="238" t="n"/>
      <c r="CP8" s="238" t="n"/>
      <c r="CQ8" s="238" t="n"/>
      <c r="CR8" s="238" t="n"/>
      <c r="CS8" s="238" t="n"/>
      <c r="CT8" s="238" t="n"/>
      <c r="CU8" s="238" t="n"/>
      <c r="CV8" s="238" t="n"/>
      <c r="CW8" s="238" t="n"/>
      <c r="CX8" s="238" t="n"/>
      <c r="CY8" s="238" t="n"/>
      <c r="CZ8" s="238" t="n"/>
      <c r="DA8" s="238" t="n"/>
      <c r="DB8" s="238" t="n"/>
      <c r="DC8" s="238" t="n"/>
      <c r="DD8" s="238" t="n"/>
      <c r="DE8" s="238" t="n"/>
      <c r="DF8" s="238" t="n"/>
      <c r="DG8" s="238" t="n"/>
      <c r="DH8" s="238" t="n"/>
      <c r="DI8" s="238" t="n"/>
      <c r="DJ8" s="238" t="n"/>
      <c r="DK8" s="238" t="n"/>
      <c r="DL8" s="238" t="n"/>
      <c r="DM8" s="238" t="n"/>
      <c r="DN8" s="238" t="n"/>
      <c r="DO8" s="238" t="n"/>
      <c r="DP8" s="238" t="n"/>
      <c r="DQ8" s="238" t="n"/>
      <c r="DR8" s="238" t="n"/>
      <c r="DS8" s="238" t="n"/>
      <c r="DT8" s="238" t="n"/>
      <c r="DU8" s="238" t="n"/>
      <c r="DV8" s="238" t="n"/>
      <c r="DW8" s="238" t="n"/>
      <c r="DX8" s="238" t="n"/>
      <c r="DY8" s="238" t="n"/>
      <c r="DZ8" s="23" t="n"/>
      <c r="FQ8" s="212" t="n"/>
      <c r="FR8" s="212" t="n"/>
      <c r="FS8" s="212" t="n"/>
      <c r="FT8" s="212" t="n"/>
      <c r="FU8" s="212" t="n"/>
      <c r="FV8" s="212" t="n"/>
      <c r="FW8" s="212" t="n"/>
      <c r="FX8" s="212" t="n"/>
      <c r="FY8" s="212" t="n"/>
      <c r="FZ8" s="212" t="n"/>
    </row>
    <row r="9" ht="39.95" customFormat="1" customHeight="1" s="5">
      <c r="A9" s="456" t="n"/>
      <c r="B9" s="8" t="n"/>
      <c r="C9" s="12" t="inlineStr">
        <is>
          <t>R</t>
        </is>
      </c>
      <c r="D9" s="393" t="inlineStr">
        <is>
          <t>RF</t>
        </is>
      </c>
      <c r="E9" s="438" t="n">
        <v>0.213</v>
      </c>
      <c r="F9" s="438" t="n">
        <v>0.219</v>
      </c>
      <c r="G9" s="438" t="n">
        <v>0.213</v>
      </c>
      <c r="H9" s="441" t="n">
        <v>0.182</v>
      </c>
      <c r="I9" s="106" t="n">
        <v>0.268</v>
      </c>
      <c r="J9" s="104" t="n">
        <v>0.271</v>
      </c>
      <c r="K9" s="438" t="n">
        <v>0.251</v>
      </c>
      <c r="L9" s="104" t="n">
        <v>0.272</v>
      </c>
      <c r="M9" s="441" t="n">
        <v>0.252</v>
      </c>
      <c r="N9" s="106" t="n">
        <v>0.271</v>
      </c>
      <c r="O9" s="438" t="n">
        <v>0.2</v>
      </c>
      <c r="P9" s="438" t="n">
        <v>0.218</v>
      </c>
      <c r="Q9" s="438" t="n">
        <v>0.202</v>
      </c>
      <c r="R9" s="441" t="n">
        <v>0.201</v>
      </c>
      <c r="S9" s="106" t="n">
        <v>0.215</v>
      </c>
      <c r="T9" s="104" t="n">
        <v>0.218</v>
      </c>
      <c r="U9" s="438" t="n">
        <v>0.2</v>
      </c>
      <c r="V9" s="438" t="n">
        <v>0.209</v>
      </c>
      <c r="W9" s="441" t="n">
        <v>0.194</v>
      </c>
      <c r="X9" s="444" t="n">
        <v>0.211</v>
      </c>
      <c r="Y9" s="438" t="n">
        <v>0.129</v>
      </c>
      <c r="Z9" s="438" t="n">
        <v>0.168</v>
      </c>
      <c r="AA9" s="104" t="n">
        <v>0.213</v>
      </c>
      <c r="AB9" s="441" t="n">
        <v>0.174</v>
      </c>
      <c r="AC9" s="444" t="n">
        <v>0.188</v>
      </c>
      <c r="AD9" s="438" t="n">
        <v>0.214</v>
      </c>
      <c r="AE9" s="438" t="n">
        <v>0.203</v>
      </c>
      <c r="AF9" s="438" t="n">
        <v>0.203</v>
      </c>
      <c r="AG9" s="105" t="n">
        <v>0.217</v>
      </c>
      <c r="AH9" s="444" t="n">
        <v>0.198</v>
      </c>
      <c r="AI9" s="438" t="n">
        <v>0.188</v>
      </c>
      <c r="AJ9" s="396" t="n">
        <v>0.219</v>
      </c>
      <c r="AK9" s="438" t="n">
        <v>0.201</v>
      </c>
      <c r="AL9" s="105" t="n">
        <v>0.223</v>
      </c>
      <c r="AM9" s="444" t="n">
        <v>0.208</v>
      </c>
      <c r="AN9" s="104" t="n">
        <v>0.221</v>
      </c>
      <c r="AO9" s="438" t="n">
        <v>0.182</v>
      </c>
      <c r="AP9" s="438" t="n">
        <v>0.19</v>
      </c>
      <c r="AQ9" s="441" t="n">
        <v>0.194</v>
      </c>
      <c r="AR9" s="444" t="n">
        <v>0.205</v>
      </c>
      <c r="AS9" s="438" t="n">
        <v>0.209</v>
      </c>
      <c r="AT9" s="438" t="n">
        <v>0.207</v>
      </c>
      <c r="AU9" s="438" t="n">
        <v>0.206</v>
      </c>
      <c r="AV9" s="441" t="n">
        <v>0.182</v>
      </c>
      <c r="AW9" s="444" t="n">
        <v>0.186</v>
      </c>
      <c r="AX9" s="438" t="n">
        <v>0.207</v>
      </c>
      <c r="AY9" s="438" t="n">
        <v>0.209</v>
      </c>
      <c r="AZ9" s="438" t="n">
        <v>0.196</v>
      </c>
      <c r="BA9" s="441" t="n">
        <v>0.208</v>
      </c>
      <c r="BB9" s="106" t="n">
        <v>0.216</v>
      </c>
      <c r="BC9" s="104" t="n">
        <v>0.217</v>
      </c>
      <c r="BD9" s="438" t="n">
        <v>0.204</v>
      </c>
      <c r="BE9" s="438" t="n">
        <v>0.217</v>
      </c>
      <c r="BF9" s="441" t="n">
        <v>0.164</v>
      </c>
      <c r="BG9" s="444" t="n">
        <v>0.209</v>
      </c>
      <c r="BH9" s="438" t="n">
        <v>0.211</v>
      </c>
      <c r="BI9" s="104" t="n">
        <v>0.219</v>
      </c>
      <c r="BJ9" s="396" t="n">
        <v>0.207</v>
      </c>
      <c r="BK9" s="441" t="n">
        <v>0.215</v>
      </c>
      <c r="BL9" s="444" t="n">
        <v>0.189</v>
      </c>
      <c r="BM9" s="104" t="n">
        <v>0.224</v>
      </c>
      <c r="BN9" s="104" t="n">
        <v>0.232</v>
      </c>
      <c r="BO9" s="438" t="n">
        <v>0.224</v>
      </c>
      <c r="BP9" s="105" t="n">
        <v>0.222</v>
      </c>
      <c r="BQ9" s="402" t="n">
        <v>0.243</v>
      </c>
      <c r="BR9" s="438" t="n">
        <v>0.225</v>
      </c>
      <c r="BS9" s="438" t="n">
        <v>0.214</v>
      </c>
      <c r="BT9" s="105" t="inlineStr">
        <is>
          <t>RF</t>
        </is>
      </c>
      <c r="BU9" s="457" t="n"/>
      <c r="BV9" s="457" t="n"/>
      <c r="BW9" s="238" t="n"/>
      <c r="BX9" s="238" t="n"/>
      <c r="BY9" s="238" t="n"/>
      <c r="BZ9" s="238" t="n"/>
      <c r="CA9" s="238" t="n"/>
      <c r="CB9" s="238" t="n"/>
      <c r="CC9" s="238" t="n"/>
      <c r="CD9" s="238" t="n"/>
      <c r="CE9" s="238" t="n"/>
      <c r="CF9" s="238" t="n"/>
      <c r="CG9" s="238" t="n"/>
      <c r="CH9" s="238" t="n"/>
      <c r="CI9" s="238" t="n"/>
      <c r="CJ9" s="238" t="n"/>
      <c r="CK9" s="238" t="n"/>
      <c r="CL9" s="238" t="n"/>
      <c r="CM9" s="238" t="n"/>
      <c r="CN9" s="238" t="n"/>
      <c r="CO9" s="238" t="n"/>
      <c r="CP9" s="238" t="n"/>
      <c r="CQ9" s="238" t="n"/>
      <c r="CR9" s="238" t="n"/>
      <c r="CS9" s="238" t="n"/>
      <c r="CT9" s="238" t="n"/>
      <c r="CU9" s="238" t="n"/>
      <c r="CV9" s="238" t="n"/>
      <c r="CW9" s="238" t="n"/>
      <c r="CX9" s="238" t="n"/>
      <c r="CY9" s="238" t="n"/>
      <c r="CZ9" s="238" t="n"/>
      <c r="DA9" s="238" t="n"/>
      <c r="DB9" s="238" t="n"/>
      <c r="DC9" s="238" t="n"/>
      <c r="DD9" s="238" t="n"/>
      <c r="DE9" s="238" t="n"/>
      <c r="DF9" s="238" t="n"/>
      <c r="DG9" s="238" t="n"/>
      <c r="DH9" s="238" t="n"/>
      <c r="DI9" s="238" t="n"/>
      <c r="DJ9" s="238" t="n"/>
      <c r="DK9" s="238" t="n"/>
      <c r="DL9" s="238" t="n"/>
      <c r="DM9" s="238" t="n"/>
      <c r="DN9" s="238" t="n"/>
      <c r="DO9" s="238" t="n"/>
      <c r="DP9" s="238" t="n"/>
      <c r="DQ9" s="238" t="n"/>
      <c r="DR9" s="238" t="n"/>
      <c r="DS9" s="238" t="n"/>
      <c r="DT9" s="238" t="n"/>
      <c r="DU9" s="238" t="n"/>
      <c r="DV9" s="238" t="n"/>
      <c r="DW9" s="238" t="n"/>
      <c r="DX9" s="238" t="n"/>
      <c r="DY9" s="238" t="n"/>
      <c r="DZ9" s="23" t="n"/>
      <c r="FQ9" s="212" t="n"/>
      <c r="FR9" s="212" t="n"/>
      <c r="FS9" s="212" t="n"/>
      <c r="FT9" s="212" t="n"/>
      <c r="FU9" s="212" t="n"/>
      <c r="FV9" s="212" t="n"/>
      <c r="FW9" s="212" t="n"/>
      <c r="FX9" s="212" t="n"/>
      <c r="FY9" s="212" t="n"/>
      <c r="FZ9" s="212" t="n"/>
    </row>
    <row r="10" ht="39.95" customFormat="1" customHeight="1" s="5">
      <c r="A10" s="10" t="inlineStr">
        <is>
          <t>A</t>
        </is>
      </c>
      <c r="B10" s="6" t="n"/>
      <c r="C10" s="11" t="inlineStr">
        <is>
          <t>L</t>
        </is>
      </c>
      <c r="D10" s="433" t="n">
        <v>0.113</v>
      </c>
      <c r="E10" s="436" t="n">
        <v>0.206</v>
      </c>
      <c r="F10" s="436" t="n">
        <v>0.205</v>
      </c>
      <c r="G10" s="99" t="n">
        <v>0.235</v>
      </c>
      <c r="H10" s="439" t="n">
        <v>0.215</v>
      </c>
      <c r="I10" s="442" t="n">
        <v>0.268</v>
      </c>
      <c r="J10" s="99" t="n">
        <v>0.278</v>
      </c>
      <c r="K10" s="394" t="n">
        <v>0.262</v>
      </c>
      <c r="L10" s="394" t="n">
        <v>0.277</v>
      </c>
      <c r="M10" s="397" t="n">
        <v>0.271</v>
      </c>
      <c r="N10" s="400" t="n">
        <v>0.255</v>
      </c>
      <c r="O10" s="394" t="n">
        <v>0.223</v>
      </c>
      <c r="P10" s="436" t="n">
        <v>0.203</v>
      </c>
      <c r="Q10" s="436" t="n">
        <v>0.143</v>
      </c>
      <c r="R10" s="439" t="n">
        <v>0.193</v>
      </c>
      <c r="S10" s="442" t="n">
        <v>0.202</v>
      </c>
      <c r="T10" s="436" t="n">
        <v>0.214</v>
      </c>
      <c r="U10" s="436" t="n">
        <v>0.198</v>
      </c>
      <c r="V10" s="436" t="n">
        <v>0.205</v>
      </c>
      <c r="W10" s="439" t="n">
        <v>0.216</v>
      </c>
      <c r="X10" s="442" t="n">
        <v>0.21</v>
      </c>
      <c r="Y10" s="436" t="n">
        <v>0.196</v>
      </c>
      <c r="Z10" s="436" t="n">
        <v>0.181</v>
      </c>
      <c r="AA10" s="436" t="n">
        <v>0.2</v>
      </c>
      <c r="AB10" s="100" t="n">
        <v>0.209</v>
      </c>
      <c r="AC10" s="442" t="n">
        <v>0.195</v>
      </c>
      <c r="AD10" s="436" t="n">
        <v>0.201</v>
      </c>
      <c r="AE10" s="99" t="n">
        <v>0.21</v>
      </c>
      <c r="AF10" s="436" t="n">
        <v>0.192</v>
      </c>
      <c r="AG10" s="439" t="n">
        <v>0.179</v>
      </c>
      <c r="AH10" s="442" t="n">
        <v>0.194</v>
      </c>
      <c r="AI10" s="99" t="n">
        <v>0.225</v>
      </c>
      <c r="AJ10" s="436" t="n">
        <v>0.172</v>
      </c>
      <c r="AK10" s="436" t="n">
        <v>0.207</v>
      </c>
      <c r="AL10" s="397" t="n">
        <v>0.189</v>
      </c>
      <c r="AM10" s="442" t="n">
        <v>0.181</v>
      </c>
      <c r="AN10" s="436" t="n">
        <v>0.205</v>
      </c>
      <c r="AO10" s="99" t="n">
        <v>0.209</v>
      </c>
      <c r="AP10" s="436" t="n">
        <v>0.097</v>
      </c>
      <c r="AQ10" s="439" t="n">
        <v>0.168</v>
      </c>
      <c r="AR10" s="442" t="n">
        <v>0.197</v>
      </c>
      <c r="AS10" s="394" t="n">
        <v>0.147</v>
      </c>
      <c r="AT10" s="436" t="n">
        <v>0.152</v>
      </c>
      <c r="AU10" s="436" t="n">
        <v>0.199</v>
      </c>
      <c r="AV10" s="439" t="n">
        <v>0.198</v>
      </c>
      <c r="AW10" s="442" t="n">
        <v>0.153</v>
      </c>
      <c r="AX10" s="99" t="n">
        <v>0.222</v>
      </c>
      <c r="AY10" s="394" t="n">
        <v>0.2</v>
      </c>
      <c r="AZ10" s="436" t="n">
        <v>0.166</v>
      </c>
      <c r="BA10" s="439" t="n">
        <v>0.192</v>
      </c>
      <c r="BB10" s="442" t="n">
        <v>0.115</v>
      </c>
      <c r="BC10" s="436" t="n">
        <v>0.193</v>
      </c>
      <c r="BD10" s="436" t="n">
        <v>0.163</v>
      </c>
      <c r="BE10" s="394" t="n">
        <v>0.183</v>
      </c>
      <c r="BF10" s="397" t="n">
        <v>0.208</v>
      </c>
      <c r="BG10" s="442" t="n">
        <v>0.191</v>
      </c>
      <c r="BH10" s="436" t="n">
        <v>0.196</v>
      </c>
      <c r="BI10" s="436" t="n">
        <v>0.128</v>
      </c>
      <c r="BJ10" s="436" t="n">
        <v>0.141</v>
      </c>
      <c r="BK10" s="397" t="n">
        <v>0.216</v>
      </c>
      <c r="BL10" s="400" t="n">
        <v>0.199</v>
      </c>
      <c r="BM10" s="436" t="n">
        <v>0.212</v>
      </c>
      <c r="BN10" s="394" t="n">
        <v>0.235</v>
      </c>
      <c r="BO10" s="436" t="n">
        <v>0.219</v>
      </c>
      <c r="BP10" s="100" t="n">
        <v>0.23</v>
      </c>
      <c r="BQ10" s="442" t="n">
        <v>0.21</v>
      </c>
      <c r="BR10" s="436" t="n">
        <v>0.225</v>
      </c>
      <c r="BS10" s="436" t="n">
        <v>0.226</v>
      </c>
      <c r="BT10" s="397" t="inlineStr">
        <is>
          <t>RF</t>
        </is>
      </c>
      <c r="BU10" s="454">
        <f>IFERROR(AVERAGE(D10:BT12),0)</f>
        <v/>
      </c>
      <c r="BV10" s="454">
        <f>MIN(D10:BT12)</f>
        <v/>
      </c>
      <c r="BW10" s="238" t="n"/>
      <c r="BX10" s="238" t="n"/>
      <c r="BY10" s="238" t="n"/>
      <c r="BZ10" s="238" t="n"/>
      <c r="CA10" s="238" t="n"/>
      <c r="CB10" s="238" t="n"/>
      <c r="CC10" s="238" t="n"/>
      <c r="CD10" s="238" t="n"/>
      <c r="CE10" s="238" t="n"/>
      <c r="CF10" s="238" t="n"/>
      <c r="CG10" s="238" t="n"/>
      <c r="CH10" s="238" t="n"/>
      <c r="CI10" s="238" t="n"/>
      <c r="CJ10" s="238" t="n"/>
      <c r="CK10" s="238" t="n"/>
      <c r="CL10" s="238" t="n"/>
      <c r="CM10" s="238" t="n"/>
      <c r="CN10" s="238" t="n"/>
      <c r="CO10" s="238" t="n"/>
      <c r="CP10" s="238" t="n"/>
      <c r="CQ10" s="238" t="n"/>
      <c r="CR10" s="238" t="n"/>
      <c r="CS10" s="238" t="n"/>
      <c r="CT10" s="238" t="n"/>
      <c r="CU10" s="238" t="n"/>
      <c r="CV10" s="238" t="n"/>
      <c r="CW10" s="238" t="n"/>
      <c r="CX10" s="238" t="n"/>
      <c r="CY10" s="238" t="n"/>
      <c r="CZ10" s="238" t="n"/>
      <c r="DA10" s="238" t="n"/>
      <c r="DB10" s="238" t="n"/>
      <c r="DC10" s="238" t="n"/>
      <c r="DD10" s="238" t="n"/>
      <c r="DE10" s="238" t="n"/>
      <c r="DF10" s="238" t="n"/>
      <c r="DG10" s="238" t="n"/>
      <c r="DH10" s="238" t="n"/>
      <c r="DI10" s="238" t="n"/>
      <c r="DJ10" s="238" t="n"/>
      <c r="DK10" s="238" t="n"/>
      <c r="DL10" s="238" t="n"/>
      <c r="DM10" s="238" t="n"/>
      <c r="DN10" s="238" t="n"/>
      <c r="DO10" s="238" t="n"/>
      <c r="DP10" s="238" t="n"/>
      <c r="DQ10" s="238" t="n"/>
      <c r="DR10" s="238" t="n"/>
      <c r="DS10" s="238" t="n"/>
      <c r="DT10" s="238" t="n"/>
      <c r="DU10" s="238" t="n"/>
      <c r="DV10" s="238" t="n"/>
      <c r="DW10" s="238" t="n"/>
      <c r="DX10" s="238" t="n"/>
      <c r="DY10" s="238" t="n"/>
      <c r="DZ10" s="23" t="n"/>
      <c r="FQ10" s="212" t="n"/>
      <c r="FR10" s="212" t="n"/>
      <c r="FS10" s="212" t="n"/>
      <c r="FT10" s="212" t="n"/>
      <c r="FU10" s="212" t="n"/>
      <c r="FV10" s="212" t="n"/>
      <c r="FW10" s="212" t="n"/>
      <c r="FX10" s="212" t="n"/>
      <c r="FY10" s="212" t="n"/>
      <c r="FZ10" s="212" t="n"/>
    </row>
    <row r="11" ht="39.95" customFormat="1" customHeight="1" s="5">
      <c r="A11" s="182" t="n">
        <v>0.083</v>
      </c>
      <c r="B11" s="7" t="inlineStr">
        <is>
          <t>+13 FT 6 IN</t>
        </is>
      </c>
      <c r="C11" s="11" t="inlineStr">
        <is>
          <t>C</t>
        </is>
      </c>
      <c r="D11" s="107" t="inlineStr">
        <is>
          <t>RF</t>
        </is>
      </c>
      <c r="E11" s="101" t="n">
        <v>0.224</v>
      </c>
      <c r="F11" s="437" t="n">
        <v>0.201</v>
      </c>
      <c r="G11" s="437" t="n">
        <v>0.218</v>
      </c>
      <c r="H11" s="440" t="n">
        <v>0.208</v>
      </c>
      <c r="I11" s="103" t="n">
        <v>0.275</v>
      </c>
      <c r="J11" s="101" t="n">
        <v>0.276</v>
      </c>
      <c r="K11" s="395" t="n">
        <v>0.264</v>
      </c>
      <c r="L11" s="395" t="n">
        <v>0.259</v>
      </c>
      <c r="M11" s="398" t="n">
        <v>0.259</v>
      </c>
      <c r="N11" s="401" t="n">
        <v>0.215</v>
      </c>
      <c r="O11" s="437" t="n">
        <v>0.214</v>
      </c>
      <c r="P11" s="437" t="n">
        <v>0.21</v>
      </c>
      <c r="Q11" s="437" t="n">
        <v>0.219</v>
      </c>
      <c r="R11" s="398" t="n">
        <v>0.205</v>
      </c>
      <c r="S11" s="443" t="n">
        <v>0.204</v>
      </c>
      <c r="T11" s="437" t="n">
        <v>0.212</v>
      </c>
      <c r="U11" s="437" t="n">
        <v>0.207</v>
      </c>
      <c r="V11" s="437" t="n">
        <v>0.186</v>
      </c>
      <c r="W11" s="440" t="n">
        <v>0.179</v>
      </c>
      <c r="X11" s="103" t="n">
        <v>0.208</v>
      </c>
      <c r="Y11" s="101" t="n">
        <v>0.217</v>
      </c>
      <c r="Z11" s="437" t="n">
        <v>0.222</v>
      </c>
      <c r="AA11" s="101" t="n">
        <v>0.227</v>
      </c>
      <c r="AB11" s="440" t="n">
        <v>0.182</v>
      </c>
      <c r="AC11" s="443" t="n">
        <v>0.157</v>
      </c>
      <c r="AD11" s="437" t="n">
        <v>0.177</v>
      </c>
      <c r="AE11" s="437" t="n">
        <v>0.205</v>
      </c>
      <c r="AF11" s="437" t="n">
        <v>0.204</v>
      </c>
      <c r="AG11" s="440" t="n">
        <v>0.134</v>
      </c>
      <c r="AH11" s="443" t="n">
        <v>0.189</v>
      </c>
      <c r="AI11" s="437" t="n">
        <v>0.189</v>
      </c>
      <c r="AJ11" s="437" t="n">
        <v>0.169</v>
      </c>
      <c r="AK11" s="101" t="n">
        <v>0.228</v>
      </c>
      <c r="AL11" s="440" t="n">
        <v>0.202</v>
      </c>
      <c r="AM11" s="443" t="n">
        <v>0.193</v>
      </c>
      <c r="AN11" s="437" t="n">
        <v>0.145</v>
      </c>
      <c r="AO11" s="437" t="n">
        <v>0.198</v>
      </c>
      <c r="AP11" s="437" t="n">
        <v>0.189</v>
      </c>
      <c r="AQ11" s="440" t="n">
        <v>0.183</v>
      </c>
      <c r="AR11" s="443" t="n">
        <v>0.155</v>
      </c>
      <c r="AS11" s="101" t="n">
        <v>0.205</v>
      </c>
      <c r="AT11" s="437" t="n">
        <v>0.199</v>
      </c>
      <c r="AU11" s="437" t="n">
        <v>0.165</v>
      </c>
      <c r="AV11" s="440" t="n">
        <v>0.191</v>
      </c>
      <c r="AW11" s="443" t="n">
        <v>0.2</v>
      </c>
      <c r="AX11" s="437" t="n">
        <v>0.156</v>
      </c>
      <c r="AY11" s="101" t="n">
        <v>0.218</v>
      </c>
      <c r="AZ11" s="437" t="n">
        <v>0.168</v>
      </c>
      <c r="BA11" s="440" t="n">
        <v>0.183</v>
      </c>
      <c r="BB11" s="103" t="n">
        <v>0.219</v>
      </c>
      <c r="BC11" s="101" t="n">
        <v>0.205</v>
      </c>
      <c r="BD11" s="437" t="n">
        <v>0.178</v>
      </c>
      <c r="BE11" s="395" t="n">
        <v>0.201</v>
      </c>
      <c r="BF11" s="398" t="n">
        <v>0.168</v>
      </c>
      <c r="BG11" s="443" t="n">
        <v>0.19</v>
      </c>
      <c r="BH11" s="395" t="n">
        <v>0.235</v>
      </c>
      <c r="BI11" s="395" t="n">
        <v>0.218</v>
      </c>
      <c r="BJ11" s="437" t="n">
        <v>0.198</v>
      </c>
      <c r="BK11" s="398" t="n">
        <v>0.207</v>
      </c>
      <c r="BL11" s="103" t="n">
        <v>0.21</v>
      </c>
      <c r="BM11" s="437" t="n">
        <v>0.208</v>
      </c>
      <c r="BN11" s="437" t="n">
        <v>0.198</v>
      </c>
      <c r="BO11" s="437" t="n">
        <v>0.189</v>
      </c>
      <c r="BP11" s="398" t="n">
        <v>0.222</v>
      </c>
      <c r="BQ11" s="103" t="n">
        <v>0.234</v>
      </c>
      <c r="BR11" s="437" t="n">
        <v>0.218</v>
      </c>
      <c r="BS11" s="437" t="n">
        <v>0.216</v>
      </c>
      <c r="BT11" s="398" t="inlineStr">
        <is>
          <t>RF</t>
        </is>
      </c>
      <c r="BU11" s="455" t="n"/>
      <c r="BV11" s="455" t="n"/>
      <c r="BW11" s="238" t="n"/>
      <c r="BX11" s="238" t="n"/>
      <c r="BY11" s="238" t="n"/>
      <c r="BZ11" s="238" t="n"/>
      <c r="CA11" s="238" t="n"/>
      <c r="CB11" s="238" t="n"/>
      <c r="CC11" s="238" t="n"/>
      <c r="CD11" s="238" t="n"/>
      <c r="CE11" s="238" t="n"/>
      <c r="CF11" s="238" t="n"/>
      <c r="CG11" s="238" t="n"/>
      <c r="CH11" s="238" t="n"/>
      <c r="CI11" s="238" t="n"/>
      <c r="CJ11" s="238" t="n"/>
      <c r="CK11" s="238" t="n"/>
      <c r="CL11" s="238" t="n"/>
      <c r="CM11" s="238" t="n"/>
      <c r="CN11" s="238" t="n"/>
      <c r="CO11" s="238" t="n"/>
      <c r="CP11" s="238" t="n"/>
      <c r="CQ11" s="238" t="n"/>
      <c r="CR11" s="238" t="n"/>
      <c r="CS11" s="238" t="n"/>
      <c r="CT11" s="238" t="n"/>
      <c r="CU11" s="238" t="n"/>
      <c r="CV11" s="238" t="n"/>
      <c r="CW11" s="238" t="n"/>
      <c r="CX11" s="238" t="n"/>
      <c r="CY11" s="238" t="n"/>
      <c r="CZ11" s="238" t="n"/>
      <c r="DA11" s="238" t="n"/>
      <c r="DB11" s="238" t="n"/>
      <c r="DC11" s="238" t="n"/>
      <c r="DD11" s="238" t="n"/>
      <c r="DE11" s="238" t="n"/>
      <c r="DF11" s="238" t="n"/>
      <c r="DG11" s="238" t="n"/>
      <c r="DH11" s="238" t="n"/>
      <c r="DI11" s="238" t="n"/>
      <c r="DJ11" s="238" t="n"/>
      <c r="DK11" s="238" t="n"/>
      <c r="DL11" s="238" t="n"/>
      <c r="DM11" s="238" t="n"/>
      <c r="DN11" s="238" t="n"/>
      <c r="DO11" s="238" t="n"/>
      <c r="DP11" s="238" t="n"/>
      <c r="DQ11" s="238" t="n"/>
      <c r="DR11" s="238" t="n"/>
      <c r="DS11" s="238" t="n"/>
      <c r="DT11" s="238" t="n"/>
      <c r="DU11" s="238" t="n"/>
      <c r="DV11" s="238" t="n"/>
      <c r="DW11" s="238" t="n"/>
      <c r="DX11" s="238" t="n"/>
      <c r="DY11" s="238" t="n"/>
      <c r="DZ11" s="23" t="n"/>
      <c r="FQ11" s="212" t="n"/>
      <c r="FR11" s="212" t="n"/>
      <c r="FS11" s="212" t="n"/>
      <c r="FT11" s="212" t="n"/>
      <c r="FU11" s="212" t="n"/>
      <c r="FV11" s="212" t="n"/>
      <c r="FW11" s="212" t="n"/>
      <c r="FX11" s="212" t="n"/>
      <c r="FY11" s="212" t="n"/>
      <c r="FZ11" s="212" t="n"/>
    </row>
    <row r="12" ht="39.95" customFormat="1" customHeight="1" s="5">
      <c r="A12" s="456" t="n"/>
      <c r="B12" s="8" t="n"/>
      <c r="C12" s="12" t="inlineStr">
        <is>
          <t>R</t>
        </is>
      </c>
      <c r="D12" s="435" t="n">
        <v>0.181</v>
      </c>
      <c r="E12" s="438" t="n">
        <v>0.207</v>
      </c>
      <c r="F12" s="438" t="n">
        <v>0.201</v>
      </c>
      <c r="G12" s="438" t="n">
        <v>0.206</v>
      </c>
      <c r="H12" s="441" t="n">
        <v>0.207</v>
      </c>
      <c r="I12" s="106" t="n">
        <v>0.272</v>
      </c>
      <c r="J12" s="396" t="n">
        <v>0.288</v>
      </c>
      <c r="K12" s="396" t="n">
        <v>0.252</v>
      </c>
      <c r="L12" s="396" t="n">
        <v>0.267</v>
      </c>
      <c r="M12" s="441" t="n">
        <v>0.258</v>
      </c>
      <c r="N12" s="402" t="n">
        <v>0.249</v>
      </c>
      <c r="O12" s="438" t="n">
        <v>0.221</v>
      </c>
      <c r="P12" s="438" t="n">
        <v>0.202</v>
      </c>
      <c r="Q12" s="438" t="n">
        <v>0.199</v>
      </c>
      <c r="R12" s="441" t="n">
        <v>0.196</v>
      </c>
      <c r="S12" s="444" t="n">
        <v>0.196</v>
      </c>
      <c r="T12" s="438" t="n">
        <v>0.197</v>
      </c>
      <c r="U12" s="438" t="n">
        <v>0.179</v>
      </c>
      <c r="V12" s="438" t="n">
        <v>0.19</v>
      </c>
      <c r="W12" s="441" t="n">
        <v>0.193</v>
      </c>
      <c r="X12" s="444" t="n">
        <v>0.192</v>
      </c>
      <c r="Y12" s="104" t="n">
        <v>0.21</v>
      </c>
      <c r="Z12" s="438" t="n">
        <v>0.2</v>
      </c>
      <c r="AA12" s="396" t="n">
        <v>0.177</v>
      </c>
      <c r="AB12" s="441" t="n">
        <v>0.187</v>
      </c>
      <c r="AC12" s="444" t="n">
        <v>0.192</v>
      </c>
      <c r="AD12" s="438" t="n">
        <v>0.177</v>
      </c>
      <c r="AE12" s="438" t="n">
        <v>0.198</v>
      </c>
      <c r="AF12" s="396" t="n">
        <v>0.125</v>
      </c>
      <c r="AG12" s="441" t="n">
        <v>0.147</v>
      </c>
      <c r="AH12" s="444" t="n">
        <v>0.109</v>
      </c>
      <c r="AI12" s="438" t="n">
        <v>0.199</v>
      </c>
      <c r="AJ12" s="438" t="n">
        <v>0.17</v>
      </c>
      <c r="AK12" s="438" t="n">
        <v>0.211</v>
      </c>
      <c r="AL12" s="441" t="n">
        <v>0.191</v>
      </c>
      <c r="AM12" s="444" t="n">
        <v>0.2</v>
      </c>
      <c r="AN12" s="438" t="n">
        <v>0.119</v>
      </c>
      <c r="AO12" s="438" t="n">
        <v>0.201</v>
      </c>
      <c r="AP12" s="438" t="n">
        <v>0.111</v>
      </c>
      <c r="AQ12" s="441" t="n">
        <v>0.175</v>
      </c>
      <c r="AR12" s="444" t="n">
        <v>0.171</v>
      </c>
      <c r="AS12" s="396" t="n">
        <v>0.21</v>
      </c>
      <c r="AT12" s="438" t="n">
        <v>0.093</v>
      </c>
      <c r="AU12" s="438" t="n">
        <v>0.167</v>
      </c>
      <c r="AV12" s="441" t="n">
        <v>0.125</v>
      </c>
      <c r="AW12" s="106" t="n">
        <v>0.205</v>
      </c>
      <c r="AX12" s="104" t="n">
        <v>0.207</v>
      </c>
      <c r="AY12" s="438" t="n">
        <v>0.147</v>
      </c>
      <c r="AZ12" s="104" t="n">
        <v>0.209</v>
      </c>
      <c r="BA12" s="399" t="n">
        <v>0.213</v>
      </c>
      <c r="BB12" s="444" t="n">
        <v>0.161</v>
      </c>
      <c r="BC12" s="438" t="n">
        <v>0.21</v>
      </c>
      <c r="BD12" s="438" t="n">
        <v>0.188</v>
      </c>
      <c r="BE12" s="438" t="n">
        <v>0.199</v>
      </c>
      <c r="BF12" s="399" t="n">
        <v>0.196</v>
      </c>
      <c r="BG12" s="444" t="n">
        <v>0.19</v>
      </c>
      <c r="BH12" s="396" t="n">
        <v>0.231</v>
      </c>
      <c r="BI12" s="438" t="n">
        <v>0.133</v>
      </c>
      <c r="BJ12" s="438" t="n">
        <v>0.172</v>
      </c>
      <c r="BK12" s="441" t="n">
        <v>0.212</v>
      </c>
      <c r="BL12" s="444" t="n">
        <v>0.2</v>
      </c>
      <c r="BM12" s="104" t="n">
        <v>0.227</v>
      </c>
      <c r="BN12" s="438" t="n">
        <v>0.201</v>
      </c>
      <c r="BO12" s="438" t="n">
        <v>0.183</v>
      </c>
      <c r="BP12" s="399" t="n">
        <v>0.222</v>
      </c>
      <c r="BQ12" s="444" t="n">
        <v>0.215</v>
      </c>
      <c r="BR12" s="438" t="n">
        <v>0.188</v>
      </c>
      <c r="BS12" s="438" t="n">
        <v>0.193</v>
      </c>
      <c r="BT12" s="399" t="inlineStr">
        <is>
          <t>RF</t>
        </is>
      </c>
      <c r="BU12" s="457" t="n"/>
      <c r="BV12" s="457" t="n"/>
      <c r="BW12" s="238" t="n"/>
      <c r="BX12" s="238" t="n"/>
      <c r="BY12" s="238" t="n"/>
      <c r="BZ12" s="238" t="n"/>
      <c r="CA12" s="238" t="n"/>
      <c r="CB12" s="238" t="n"/>
      <c r="CC12" s="238" t="n"/>
      <c r="CD12" s="238" t="n"/>
      <c r="CE12" s="238" t="n"/>
      <c r="CF12" s="238" t="n"/>
      <c r="CG12" s="238" t="n"/>
      <c r="CH12" s="238" t="n"/>
      <c r="CI12" s="238" t="n"/>
      <c r="CJ12" s="238" t="n"/>
      <c r="CK12" s="238" t="n"/>
      <c r="CL12" s="238" t="n"/>
      <c r="CM12" s="238" t="n"/>
      <c r="CN12" s="238" t="n"/>
      <c r="CO12" s="238" t="n"/>
      <c r="CP12" s="238" t="n"/>
      <c r="CQ12" s="238" t="n"/>
      <c r="CR12" s="238" t="n"/>
      <c r="CS12" s="238" t="n"/>
      <c r="CT12" s="238" t="n"/>
      <c r="CU12" s="238" t="n"/>
      <c r="CV12" s="238" t="n"/>
      <c r="CW12" s="238" t="n"/>
      <c r="CX12" s="238" t="n"/>
      <c r="CY12" s="238" t="n"/>
      <c r="CZ12" s="238" t="n"/>
      <c r="DA12" s="238" t="n"/>
      <c r="DB12" s="238" t="n"/>
      <c r="DC12" s="238" t="n"/>
      <c r="DD12" s="238" t="n"/>
      <c r="DE12" s="238" t="n"/>
      <c r="DF12" s="238" t="n"/>
      <c r="DG12" s="238" t="n"/>
      <c r="DH12" s="238" t="n"/>
      <c r="DI12" s="238" t="n"/>
      <c r="DJ12" s="238" t="n"/>
      <c r="DK12" s="238" t="n"/>
      <c r="DL12" s="238" t="n"/>
      <c r="DM12" s="238" t="n"/>
      <c r="DN12" s="238" t="n"/>
      <c r="DO12" s="238" t="n"/>
      <c r="DP12" s="238" t="n"/>
      <c r="DQ12" s="238" t="n"/>
      <c r="DR12" s="238" t="n"/>
      <c r="DS12" s="238" t="n"/>
      <c r="DT12" s="238" t="n"/>
      <c r="DU12" s="238" t="n"/>
      <c r="DV12" s="238" t="n"/>
      <c r="DW12" s="238" t="n"/>
      <c r="DX12" s="238" t="n"/>
      <c r="DY12" s="238" t="n"/>
      <c r="DZ12" s="23" t="n"/>
      <c r="FQ12" s="212" t="n"/>
      <c r="FR12" s="212" t="n"/>
      <c r="FS12" s="212" t="n"/>
      <c r="FT12" s="212" t="n"/>
      <c r="FU12" s="212" t="n"/>
      <c r="FV12" s="212" t="n"/>
      <c r="FW12" s="212" t="n"/>
      <c r="FX12" s="212" t="n"/>
      <c r="FY12" s="212" t="n"/>
      <c r="FZ12" s="212" t="n"/>
    </row>
    <row r="13" ht="39.95" customFormat="1" customHeight="1" s="5">
      <c r="A13" s="10" t="inlineStr">
        <is>
          <t>A</t>
        </is>
      </c>
      <c r="B13" s="6" t="n"/>
      <c r="C13" s="11" t="inlineStr">
        <is>
          <t>L</t>
        </is>
      </c>
      <c r="D13" s="433" t="n">
        <v>0.178</v>
      </c>
      <c r="E13" s="436" t="n">
        <v>0.211</v>
      </c>
      <c r="F13" s="436" t="n">
        <v>0.218</v>
      </c>
      <c r="G13" s="99" t="n">
        <v>0.225</v>
      </c>
      <c r="H13" s="100" t="n">
        <v>0.223</v>
      </c>
      <c r="I13" s="442" t="n">
        <v>0.227</v>
      </c>
      <c r="J13" s="99" t="n">
        <v>0.276</v>
      </c>
      <c r="K13" s="436" t="n">
        <v>0.245</v>
      </c>
      <c r="L13" s="436" t="n">
        <v>0.222</v>
      </c>
      <c r="M13" s="439" t="n">
        <v>0.209</v>
      </c>
      <c r="N13" s="442" t="n">
        <v>0.228</v>
      </c>
      <c r="O13" s="436" t="n">
        <v>0.204</v>
      </c>
      <c r="P13" s="436" t="n">
        <v>0.204</v>
      </c>
      <c r="Q13" s="436" t="n">
        <v>0.192</v>
      </c>
      <c r="R13" s="439" t="n">
        <v>0.198</v>
      </c>
      <c r="S13" s="442" t="n">
        <v>0.193</v>
      </c>
      <c r="T13" s="436" t="n">
        <v>0.158</v>
      </c>
      <c r="U13" s="99" t="n">
        <v>0.208</v>
      </c>
      <c r="V13" s="436" t="n">
        <v>0.197</v>
      </c>
      <c r="W13" s="439" t="n">
        <v>0.177</v>
      </c>
      <c r="X13" s="442" t="n">
        <v>0.186</v>
      </c>
      <c r="Y13" s="436" t="n">
        <v>0.194</v>
      </c>
      <c r="Z13" s="436" t="n">
        <v>0.199</v>
      </c>
      <c r="AA13" s="436" t="n">
        <v>0.187</v>
      </c>
      <c r="AB13" s="439" t="n">
        <v>0.191</v>
      </c>
      <c r="AC13" s="442" t="n">
        <v>0.197</v>
      </c>
      <c r="AD13" s="436" t="n">
        <v>0.203</v>
      </c>
      <c r="AE13" s="436" t="n">
        <v>0.189</v>
      </c>
      <c r="AF13" s="436" t="n">
        <v>0.198</v>
      </c>
      <c r="AG13" s="439" t="n">
        <v>0.2</v>
      </c>
      <c r="AH13" s="442" t="n">
        <v>0.21</v>
      </c>
      <c r="AI13" s="394" t="n">
        <v>0.207</v>
      </c>
      <c r="AJ13" s="436" t="n">
        <v>0.178</v>
      </c>
      <c r="AK13" s="436" t="n">
        <v>0.202</v>
      </c>
      <c r="AL13" s="397" t="n">
        <v>0.209</v>
      </c>
      <c r="AM13" s="400" t="n">
        <v>0.202</v>
      </c>
      <c r="AN13" s="436" t="n">
        <v>0.184</v>
      </c>
      <c r="AO13" s="436" t="n">
        <v>0.163</v>
      </c>
      <c r="AP13" s="436" t="n">
        <v>0.143</v>
      </c>
      <c r="AQ13" s="439" t="n">
        <v>0.167</v>
      </c>
      <c r="AR13" s="442" t="n">
        <v>0.138</v>
      </c>
      <c r="AS13" s="436" t="n">
        <v>0.146</v>
      </c>
      <c r="AT13" s="436" t="n">
        <v>0.148</v>
      </c>
      <c r="AU13" s="436" t="n">
        <v>0.13</v>
      </c>
      <c r="AV13" s="439" t="n">
        <v>0.173</v>
      </c>
      <c r="AW13" s="442" t="n">
        <v>0.161</v>
      </c>
      <c r="AX13" s="394" t="n">
        <v>0.193</v>
      </c>
      <c r="AY13" s="436" t="n">
        <v>0.165</v>
      </c>
      <c r="AZ13" s="436" t="n">
        <v>0.135</v>
      </c>
      <c r="BA13" s="439" t="n">
        <v>0.182</v>
      </c>
      <c r="BB13" s="442" t="n">
        <v>0.125</v>
      </c>
      <c r="BC13" s="436" t="n">
        <v>0.184</v>
      </c>
      <c r="BD13" s="436" t="n">
        <v>0.157</v>
      </c>
      <c r="BE13" s="436" t="n">
        <v>0.15</v>
      </c>
      <c r="BF13" s="439" t="n">
        <v>0.182</v>
      </c>
      <c r="BG13" s="442" t="n">
        <v>0.176</v>
      </c>
      <c r="BH13" s="436" t="n">
        <v>0.19</v>
      </c>
      <c r="BI13" s="436" t="n">
        <v>0.201</v>
      </c>
      <c r="BJ13" s="436" t="n">
        <v>0.174</v>
      </c>
      <c r="BK13" s="439" t="n">
        <v>0.159</v>
      </c>
      <c r="BL13" s="442" t="n">
        <v>0.195</v>
      </c>
      <c r="BM13" s="436" t="n">
        <v>0.2</v>
      </c>
      <c r="BN13" s="436" t="n">
        <v>0.221</v>
      </c>
      <c r="BO13" s="436" t="n">
        <v>0.187</v>
      </c>
      <c r="BP13" s="439" t="n">
        <v>0.185</v>
      </c>
      <c r="BQ13" s="400" t="n">
        <v>0.234</v>
      </c>
      <c r="BR13" s="394" t="n">
        <v>0.229</v>
      </c>
      <c r="BS13" s="436" t="n">
        <v>0.217</v>
      </c>
      <c r="BT13" s="439" t="n">
        <v>0.216</v>
      </c>
      <c r="BU13" s="454">
        <f>IFERROR(AVERAGE(D13:BT15),0)</f>
        <v/>
      </c>
      <c r="BV13" s="454">
        <f>MIN(D13:BT15)</f>
        <v/>
      </c>
      <c r="BW13" s="238" t="n"/>
      <c r="BX13" s="238" t="n"/>
      <c r="BY13" s="238" t="n"/>
      <c r="BZ13" s="238" t="n"/>
      <c r="CA13" s="238" t="n"/>
      <c r="CB13" s="238" t="n"/>
      <c r="CC13" s="238" t="n"/>
      <c r="CD13" s="238" t="n"/>
      <c r="CE13" s="238" t="n"/>
      <c r="CF13" s="238" t="n"/>
      <c r="CG13" s="238" t="n"/>
      <c r="CH13" s="238" t="n"/>
      <c r="CI13" s="238" t="n"/>
      <c r="CJ13" s="238" t="n"/>
      <c r="CK13" s="238" t="n"/>
      <c r="CL13" s="238" t="n"/>
      <c r="CM13" s="238" t="n"/>
      <c r="CN13" s="238" t="n"/>
      <c r="CO13" s="238" t="n"/>
      <c r="CP13" s="238" t="n"/>
      <c r="CQ13" s="238" t="n"/>
      <c r="CR13" s="238" t="n"/>
      <c r="CS13" s="238" t="n"/>
      <c r="CT13" s="238" t="n"/>
      <c r="CU13" s="238" t="n"/>
      <c r="CV13" s="238" t="n"/>
      <c r="CW13" s="238" t="n"/>
      <c r="CX13" s="238" t="n"/>
      <c r="CY13" s="238" t="n"/>
      <c r="CZ13" s="238" t="n"/>
      <c r="DA13" s="238" t="n"/>
      <c r="DB13" s="238" t="n"/>
      <c r="DC13" s="238" t="n"/>
      <c r="DD13" s="238" t="n"/>
      <c r="DE13" s="238" t="n"/>
      <c r="DF13" s="238" t="n"/>
      <c r="DG13" s="238" t="n"/>
      <c r="DH13" s="238" t="n"/>
      <c r="DI13" s="238" t="n"/>
      <c r="DJ13" s="238" t="n"/>
      <c r="DK13" s="238" t="n"/>
      <c r="DL13" s="238" t="n"/>
      <c r="DM13" s="238" t="n"/>
      <c r="DN13" s="238" t="n"/>
      <c r="DO13" s="238" t="n"/>
      <c r="DP13" s="238" t="n"/>
      <c r="DQ13" s="238" t="n"/>
      <c r="DR13" s="238" t="n"/>
      <c r="DS13" s="238" t="n"/>
      <c r="DT13" s="238" t="n"/>
      <c r="DU13" s="238" t="n"/>
      <c r="DV13" s="238" t="n"/>
      <c r="DW13" s="238" t="n"/>
      <c r="DX13" s="238" t="n"/>
      <c r="DY13" s="238" t="n"/>
      <c r="DZ13" s="23" t="n"/>
      <c r="FQ13" s="212" t="n"/>
      <c r="FR13" s="212" t="n"/>
      <c r="FS13" s="212" t="n"/>
      <c r="FT13" s="212" t="n"/>
      <c r="FU13" s="212" t="n"/>
      <c r="FV13" s="212" t="n"/>
      <c r="FW13" s="212" t="n"/>
      <c r="FX13" s="212" t="n"/>
      <c r="FY13" s="212" t="n"/>
      <c r="FZ13" s="212" t="n"/>
    </row>
    <row r="14" ht="39.95" customFormat="1" customHeight="1" s="5">
      <c r="A14" s="182" t="n">
        <v>0.083</v>
      </c>
      <c r="B14" s="7" t="inlineStr">
        <is>
          <t>+12 FT</t>
        </is>
      </c>
      <c r="C14" s="11" t="inlineStr">
        <is>
          <t>C</t>
        </is>
      </c>
      <c r="D14" s="434" t="n">
        <v>0.193</v>
      </c>
      <c r="E14" s="395" t="n">
        <v>0.229</v>
      </c>
      <c r="F14" s="437" t="n">
        <v>0.219</v>
      </c>
      <c r="G14" s="101" t="n">
        <v>0.22</v>
      </c>
      <c r="H14" s="440" t="n">
        <v>0.208</v>
      </c>
      <c r="I14" s="103" t="n">
        <v>0.252</v>
      </c>
      <c r="J14" s="437" t="n">
        <v>0.24</v>
      </c>
      <c r="K14" s="437" t="n">
        <v>0.251</v>
      </c>
      <c r="L14" s="437" t="n">
        <v>0.218</v>
      </c>
      <c r="M14" s="440" t="n">
        <v>0.216</v>
      </c>
      <c r="N14" s="443" t="n">
        <v>0.214</v>
      </c>
      <c r="O14" s="437" t="n">
        <v>0.211</v>
      </c>
      <c r="P14" s="437" t="n">
        <v>0.211</v>
      </c>
      <c r="Q14" s="101" t="n">
        <v>0.222</v>
      </c>
      <c r="R14" s="440" t="n">
        <v>0.199</v>
      </c>
      <c r="S14" s="443" t="n">
        <v>0.195</v>
      </c>
      <c r="T14" s="437" t="n">
        <v>0.201</v>
      </c>
      <c r="U14" s="101" t="n">
        <v>0.214</v>
      </c>
      <c r="V14" s="101" t="n">
        <v>0.219</v>
      </c>
      <c r="W14" s="440" t="n">
        <v>0.193</v>
      </c>
      <c r="X14" s="443" t="n">
        <v>0.187</v>
      </c>
      <c r="Y14" s="437" t="n">
        <v>0.203</v>
      </c>
      <c r="Z14" s="437" t="n">
        <v>0.138</v>
      </c>
      <c r="AA14" s="437" t="n">
        <v>0.169</v>
      </c>
      <c r="AB14" s="440" t="n">
        <v>0.203</v>
      </c>
      <c r="AC14" s="443" t="n">
        <v>0.193</v>
      </c>
      <c r="AD14" s="437" t="n">
        <v>0.179</v>
      </c>
      <c r="AE14" s="437" t="n">
        <v>0.193</v>
      </c>
      <c r="AF14" s="437" t="n">
        <v>0.194</v>
      </c>
      <c r="AG14" s="440" t="n">
        <v>0.191</v>
      </c>
      <c r="AH14" s="443" t="n">
        <v>0.108</v>
      </c>
      <c r="AI14" s="437" t="n">
        <v>0.17</v>
      </c>
      <c r="AJ14" s="437" t="n">
        <v>0.19</v>
      </c>
      <c r="AK14" s="437" t="n">
        <v>0.197</v>
      </c>
      <c r="AL14" s="440" t="n">
        <v>0.202</v>
      </c>
      <c r="AM14" s="401" t="n">
        <v>0.19</v>
      </c>
      <c r="AN14" s="101" t="n">
        <v>0.207</v>
      </c>
      <c r="AO14" s="437" t="n">
        <v>0.173</v>
      </c>
      <c r="AP14" s="437" t="n">
        <v>0.157</v>
      </c>
      <c r="AQ14" s="440" t="n">
        <v>0.115</v>
      </c>
      <c r="AR14" s="443" t="n">
        <v>0.174</v>
      </c>
      <c r="AS14" s="101" t="n">
        <v>0.225</v>
      </c>
      <c r="AT14" s="437" t="n">
        <v>0.156</v>
      </c>
      <c r="AU14" s="437" t="n">
        <v>0.167</v>
      </c>
      <c r="AV14" s="440" t="n">
        <v>0.142</v>
      </c>
      <c r="AW14" s="443" t="n">
        <v>0.183</v>
      </c>
      <c r="AX14" s="395" t="n">
        <v>0.192</v>
      </c>
      <c r="AY14" s="437" t="n">
        <v>0.178</v>
      </c>
      <c r="AZ14" s="437" t="n">
        <v>0.176</v>
      </c>
      <c r="BA14" s="440" t="n">
        <v>0.179</v>
      </c>
      <c r="BB14" s="443" t="n">
        <v>0.16</v>
      </c>
      <c r="BC14" s="437" t="n">
        <v>0.167</v>
      </c>
      <c r="BD14" s="437" t="n">
        <v>0.169</v>
      </c>
      <c r="BE14" s="437" t="n">
        <v>0.173</v>
      </c>
      <c r="BF14" s="440" t="n">
        <v>0.17</v>
      </c>
      <c r="BG14" s="443" t="n">
        <v>0.168</v>
      </c>
      <c r="BH14" s="437" t="n">
        <v>0.189</v>
      </c>
      <c r="BI14" s="437" t="n">
        <v>0.204</v>
      </c>
      <c r="BJ14" s="437" t="n">
        <v>0.195</v>
      </c>
      <c r="BK14" s="440" t="n">
        <v>0.174</v>
      </c>
      <c r="BL14" s="103" t="n">
        <v>0.214</v>
      </c>
      <c r="BM14" s="437" t="n">
        <v>0.186</v>
      </c>
      <c r="BN14" s="101" t="n">
        <v>0.218</v>
      </c>
      <c r="BO14" s="437" t="n">
        <v>0.206</v>
      </c>
      <c r="BP14" s="440" t="n">
        <v>0.22</v>
      </c>
      <c r="BQ14" s="401" t="n">
        <v>0.235</v>
      </c>
      <c r="BR14" s="437" t="n">
        <v>0.197</v>
      </c>
      <c r="BS14" s="437" t="n">
        <v>0.219</v>
      </c>
      <c r="BT14" s="440" t="n">
        <v>0.181</v>
      </c>
      <c r="BU14" s="455" t="n"/>
      <c r="BV14" s="455" t="n"/>
      <c r="BW14" s="238" t="n"/>
      <c r="BX14" s="238" t="n"/>
      <c r="BY14" s="238" t="n"/>
      <c r="BZ14" s="238" t="n"/>
      <c r="CA14" s="238" t="n"/>
      <c r="CB14" s="238" t="n"/>
      <c r="CC14" s="238" t="n"/>
      <c r="CD14" s="238" t="n"/>
      <c r="CE14" s="238" t="n"/>
      <c r="CF14" s="238" t="n"/>
      <c r="CG14" s="238" t="n"/>
      <c r="CH14" s="238" t="n"/>
      <c r="CI14" s="238" t="n"/>
      <c r="CJ14" s="238" t="n"/>
      <c r="CK14" s="238" t="n"/>
      <c r="CL14" s="238" t="n"/>
      <c r="CM14" s="238" t="n"/>
      <c r="CN14" s="238" t="n"/>
      <c r="CO14" s="238" t="n"/>
      <c r="CP14" s="238" t="n"/>
      <c r="CQ14" s="238" t="n"/>
      <c r="CR14" s="238" t="n"/>
      <c r="CS14" s="238" t="n"/>
      <c r="CT14" s="238" t="n"/>
      <c r="CU14" s="238" t="n"/>
      <c r="CV14" s="238" t="n"/>
      <c r="CW14" s="238" t="n"/>
      <c r="CX14" s="238" t="n"/>
      <c r="CY14" s="238" t="n"/>
      <c r="CZ14" s="238" t="n"/>
      <c r="DA14" s="238" t="n"/>
      <c r="DB14" s="238" t="n"/>
      <c r="DC14" s="238" t="n"/>
      <c r="DD14" s="238" t="n"/>
      <c r="DE14" s="238" t="n"/>
      <c r="DF14" s="238" t="n"/>
      <c r="DG14" s="238" t="n"/>
      <c r="DH14" s="238" t="n"/>
      <c r="DI14" s="238" t="n"/>
      <c r="DJ14" s="238" t="n"/>
      <c r="DK14" s="238" t="n"/>
      <c r="DL14" s="238" t="n"/>
      <c r="DM14" s="238" t="n"/>
      <c r="DN14" s="238" t="n"/>
      <c r="DO14" s="238" t="n"/>
      <c r="DP14" s="238" t="n"/>
      <c r="DQ14" s="238" t="n"/>
      <c r="DR14" s="238" t="n"/>
      <c r="DS14" s="238" t="n"/>
      <c r="DT14" s="238" t="n"/>
      <c r="DU14" s="238" t="n"/>
      <c r="DV14" s="238" t="n"/>
      <c r="DW14" s="238" t="n"/>
      <c r="DX14" s="238" t="n"/>
      <c r="DY14" s="238" t="n"/>
      <c r="DZ14" s="23" t="n"/>
      <c r="FQ14" s="212" t="n"/>
      <c r="FR14" s="212" t="n"/>
      <c r="FS14" s="212" t="n"/>
      <c r="FT14" s="212" t="n"/>
      <c r="FU14" s="212" t="n"/>
      <c r="FV14" s="212" t="n"/>
      <c r="FW14" s="212" t="n"/>
      <c r="FX14" s="212" t="n"/>
      <c r="FY14" s="212" t="n"/>
      <c r="FZ14" s="212" t="n"/>
    </row>
    <row r="15" ht="39.95" customFormat="1" customHeight="1" s="5">
      <c r="A15" s="456" t="n"/>
      <c r="B15" s="8" t="n"/>
      <c r="C15" s="12" t="inlineStr">
        <is>
          <t>R</t>
        </is>
      </c>
      <c r="D15" s="393" t="n">
        <v>0.096</v>
      </c>
      <c r="E15" s="438" t="n">
        <v>0.219</v>
      </c>
      <c r="F15" s="438" t="n">
        <v>0.207</v>
      </c>
      <c r="G15" s="438" t="n">
        <v>0.209</v>
      </c>
      <c r="H15" s="105" t="n">
        <v>0.219</v>
      </c>
      <c r="I15" s="444" t="n">
        <v>0.213</v>
      </c>
      <c r="J15" s="438" t="n">
        <v>0.24</v>
      </c>
      <c r="K15" s="104" t="n">
        <v>0.261</v>
      </c>
      <c r="L15" s="438" t="n">
        <v>0.224</v>
      </c>
      <c r="M15" s="441" t="n">
        <v>0.214</v>
      </c>
      <c r="N15" s="444" t="n">
        <v>0.199</v>
      </c>
      <c r="O15" s="438" t="n">
        <v>0.217</v>
      </c>
      <c r="P15" s="438" t="n">
        <v>0.192</v>
      </c>
      <c r="Q15" s="438" t="n">
        <v>0.207</v>
      </c>
      <c r="R15" s="441" t="n">
        <v>0.198</v>
      </c>
      <c r="S15" s="444" t="n">
        <v>0.205</v>
      </c>
      <c r="T15" s="438" t="n">
        <v>0.186</v>
      </c>
      <c r="U15" s="104" t="n">
        <v>0.213</v>
      </c>
      <c r="V15" s="438" t="n">
        <v>0.172</v>
      </c>
      <c r="W15" s="441" t="n">
        <v>0.175</v>
      </c>
      <c r="X15" s="444" t="n">
        <v>0.187</v>
      </c>
      <c r="Y15" s="438" t="n">
        <v>0.132</v>
      </c>
      <c r="Z15" s="438" t="n">
        <v>0.157</v>
      </c>
      <c r="AA15" s="104" t="n">
        <v>0.227</v>
      </c>
      <c r="AB15" s="441" t="n">
        <v>0.162</v>
      </c>
      <c r="AC15" s="444" t="n">
        <v>0.151</v>
      </c>
      <c r="AD15" s="438" t="n">
        <v>0.188</v>
      </c>
      <c r="AE15" s="438" t="n">
        <v>0.141</v>
      </c>
      <c r="AF15" s="104" t="n">
        <v>0.23</v>
      </c>
      <c r="AG15" s="441" t="n">
        <v>0.191</v>
      </c>
      <c r="AH15" s="444" t="n">
        <v>0.18</v>
      </c>
      <c r="AI15" s="438" t="n">
        <v>0.203</v>
      </c>
      <c r="AJ15" s="438" t="n">
        <v>0.205</v>
      </c>
      <c r="AK15" s="438" t="n">
        <v>0.192</v>
      </c>
      <c r="AL15" s="399" t="n">
        <v>0.18</v>
      </c>
      <c r="AM15" s="106" t="n">
        <v>0.197</v>
      </c>
      <c r="AN15" s="438" t="n">
        <v>0.175</v>
      </c>
      <c r="AO15" s="438" t="n">
        <v>0.178</v>
      </c>
      <c r="AP15" s="438" t="n">
        <v>0.183</v>
      </c>
      <c r="AQ15" s="441" t="n">
        <v>0.107</v>
      </c>
      <c r="AR15" s="444" t="n">
        <v>0.205</v>
      </c>
      <c r="AS15" s="438" t="n">
        <v>0.128</v>
      </c>
      <c r="AT15" s="438" t="n">
        <v>0.166</v>
      </c>
      <c r="AU15" s="438" t="n">
        <v>0.199</v>
      </c>
      <c r="AV15" s="441" t="n">
        <v>0.196</v>
      </c>
      <c r="AW15" s="444" t="n">
        <v>0.194</v>
      </c>
      <c r="AX15" s="104" t="n">
        <v>0.198</v>
      </c>
      <c r="AY15" s="438" t="n">
        <v>0.179</v>
      </c>
      <c r="AZ15" s="438" t="n">
        <v>0.178</v>
      </c>
      <c r="BA15" s="441" t="n">
        <v>0.175</v>
      </c>
      <c r="BB15" s="444" t="n">
        <v>0.183</v>
      </c>
      <c r="BC15" s="438" t="n">
        <v>0.164</v>
      </c>
      <c r="BD15" s="438" t="n">
        <v>0.18</v>
      </c>
      <c r="BE15" s="438" t="n">
        <v>0.193</v>
      </c>
      <c r="BF15" s="441" t="n">
        <v>0.164</v>
      </c>
      <c r="BG15" s="444" t="n">
        <v>0.196</v>
      </c>
      <c r="BH15" s="438" t="n">
        <v>0.204</v>
      </c>
      <c r="BI15" s="438" t="n">
        <v>0.178</v>
      </c>
      <c r="BJ15" s="438" t="n">
        <v>0.168</v>
      </c>
      <c r="BK15" s="441" t="n">
        <v>0.182</v>
      </c>
      <c r="BL15" s="444" t="n">
        <v>0.208</v>
      </c>
      <c r="BM15" s="438" t="n">
        <v>0.214</v>
      </c>
      <c r="BN15" s="438" t="n">
        <v>0.208</v>
      </c>
      <c r="BO15" s="438" t="n">
        <v>0.222</v>
      </c>
      <c r="BP15" s="399" t="n">
        <v>0.222</v>
      </c>
      <c r="BQ15" s="444" t="n">
        <v>0.224</v>
      </c>
      <c r="BR15" s="438" t="n">
        <v>0.212</v>
      </c>
      <c r="BS15" s="438" t="n">
        <v>0.206</v>
      </c>
      <c r="BT15" s="399" t="n">
        <v>0.224</v>
      </c>
      <c r="BU15" s="457" t="n"/>
      <c r="BV15" s="457" t="n"/>
      <c r="BW15" s="238" t="n"/>
      <c r="BX15" s="238" t="n"/>
      <c r="BY15" s="238" t="n"/>
      <c r="BZ15" s="238" t="n"/>
      <c r="CA15" s="238" t="n"/>
      <c r="CB15" s="238" t="n"/>
      <c r="CC15" s="238" t="n"/>
      <c r="CD15" s="238" t="n"/>
      <c r="CE15" s="238" t="n"/>
      <c r="CF15" s="238" t="n"/>
      <c r="CG15" s="238" t="n"/>
      <c r="CH15" s="238" t="n"/>
      <c r="CI15" s="238" t="n"/>
      <c r="CJ15" s="238" t="n"/>
      <c r="CK15" s="238" t="n"/>
      <c r="CL15" s="238" t="n"/>
      <c r="CM15" s="238" t="n"/>
      <c r="CN15" s="238" t="n"/>
      <c r="CO15" s="238" t="n"/>
      <c r="CP15" s="238" t="n"/>
      <c r="CQ15" s="238" t="n"/>
      <c r="CR15" s="238" t="n"/>
      <c r="CS15" s="238" t="n"/>
      <c r="CT15" s="238" t="n"/>
      <c r="CU15" s="238" t="n"/>
      <c r="CV15" s="238" t="n"/>
      <c r="CW15" s="238" t="n"/>
      <c r="CX15" s="238" t="n"/>
      <c r="CY15" s="238" t="n"/>
      <c r="CZ15" s="238" t="n"/>
      <c r="DA15" s="238" t="n"/>
      <c r="DB15" s="238" t="n"/>
      <c r="DC15" s="238" t="n"/>
      <c r="DD15" s="238" t="n"/>
      <c r="DE15" s="238" t="n"/>
      <c r="DF15" s="238" t="n"/>
      <c r="DG15" s="238" t="n"/>
      <c r="DH15" s="238" t="n"/>
      <c r="DI15" s="238" t="n"/>
      <c r="DJ15" s="238" t="n"/>
      <c r="DK15" s="238" t="n"/>
      <c r="DL15" s="238" t="n"/>
      <c r="DM15" s="238" t="n"/>
      <c r="DN15" s="238" t="n"/>
      <c r="DO15" s="238" t="n"/>
      <c r="DP15" s="238" t="n"/>
      <c r="DQ15" s="238" t="n"/>
      <c r="DR15" s="238" t="n"/>
      <c r="DS15" s="238" t="n"/>
      <c r="DT15" s="238" t="n"/>
      <c r="DU15" s="238" t="n"/>
      <c r="DV15" s="238" t="n"/>
      <c r="DW15" s="238" t="n"/>
      <c r="DX15" s="238" t="n"/>
      <c r="DY15" s="238" t="n"/>
      <c r="DZ15" s="23" t="n"/>
      <c r="FQ15" s="212" t="n"/>
      <c r="FR15" s="212" t="n"/>
      <c r="FS15" s="212" t="n"/>
      <c r="FT15" s="212" t="n"/>
      <c r="FU15" s="212" t="n"/>
      <c r="FV15" s="212" t="n"/>
      <c r="FW15" s="212" t="n"/>
      <c r="FX15" s="212" t="n"/>
      <c r="FY15" s="212" t="n"/>
      <c r="FZ15" s="212" t="n"/>
    </row>
    <row r="16" ht="39.95" customFormat="1" customHeight="1" s="5">
      <c r="A16" s="10" t="inlineStr">
        <is>
          <t>A</t>
        </is>
      </c>
      <c r="B16" s="6" t="inlineStr">
        <is>
          <t>POSITION 'A'</t>
        </is>
      </c>
      <c r="C16" s="11" t="inlineStr">
        <is>
          <t>L</t>
        </is>
      </c>
      <c r="D16" s="391" t="inlineStr"/>
      <c r="E16" s="99" t="n">
        <v>0.216</v>
      </c>
      <c r="F16" s="436" t="n">
        <v>0.2</v>
      </c>
      <c r="G16" s="436" t="n">
        <v>0.2</v>
      </c>
      <c r="H16" s="439" t="n">
        <v>0.206</v>
      </c>
      <c r="I16" s="400" t="inlineStr"/>
      <c r="J16" s="394" t="inlineStr"/>
      <c r="K16" s="394" t="inlineStr"/>
      <c r="L16" s="394" t="inlineStr"/>
      <c r="M16" s="397" t="inlineStr"/>
      <c r="N16" s="400" t="inlineStr"/>
      <c r="O16" s="394" t="inlineStr"/>
      <c r="P16" s="394" t="inlineStr"/>
      <c r="Q16" s="394" t="inlineStr"/>
      <c r="R16" s="397" t="inlineStr"/>
      <c r="S16" s="400" t="inlineStr"/>
      <c r="T16" s="394" t="inlineStr"/>
      <c r="U16" s="394" t="inlineStr"/>
      <c r="V16" s="394" t="inlineStr"/>
      <c r="W16" s="397" t="inlineStr"/>
      <c r="X16" s="400" t="inlineStr"/>
      <c r="Y16" s="394" t="inlineStr"/>
      <c r="Z16" s="394" t="inlineStr"/>
      <c r="AA16" s="394" t="inlineStr"/>
      <c r="AB16" s="397" t="inlineStr"/>
      <c r="AC16" s="400" t="inlineStr"/>
      <c r="AD16" s="394" t="inlineStr"/>
      <c r="AE16" s="394" t="inlineStr"/>
      <c r="AF16" s="394" t="inlineStr"/>
      <c r="AG16" s="397" t="inlineStr"/>
      <c r="AH16" s="400" t="inlineStr"/>
      <c r="AI16" s="394" t="inlineStr"/>
      <c r="AJ16" s="394" t="inlineStr"/>
      <c r="AK16" s="394" t="inlineStr"/>
      <c r="AL16" s="397" t="inlineStr"/>
      <c r="AM16" s="400" t="inlineStr"/>
      <c r="AN16" s="394" t="inlineStr"/>
      <c r="AO16" s="394" t="inlineStr"/>
      <c r="AP16" s="394" t="inlineStr"/>
      <c r="AQ16" s="397" t="inlineStr"/>
      <c r="AR16" s="400" t="inlineStr"/>
      <c r="AS16" s="394" t="inlineStr"/>
      <c r="AT16" s="394" t="inlineStr"/>
      <c r="AU16" s="394" t="inlineStr"/>
      <c r="AV16" s="397" t="inlineStr"/>
      <c r="AW16" s="400" t="inlineStr"/>
      <c r="AX16" s="394" t="inlineStr"/>
      <c r="AY16" s="394" t="inlineStr"/>
      <c r="AZ16" s="394" t="inlineStr"/>
      <c r="BA16" s="397" t="inlineStr"/>
      <c r="BB16" s="400" t="inlineStr"/>
      <c r="BC16" s="394" t="inlineStr"/>
      <c r="BD16" s="394" t="inlineStr"/>
      <c r="BE16" s="394" t="inlineStr"/>
      <c r="BF16" s="397" t="inlineStr"/>
      <c r="BG16" s="400" t="inlineStr"/>
      <c r="BH16" s="394" t="inlineStr"/>
      <c r="BI16" s="394" t="inlineStr"/>
      <c r="BJ16" s="394" t="inlineStr"/>
      <c r="BK16" s="397" t="inlineStr"/>
      <c r="BL16" s="400" t="inlineStr"/>
      <c r="BM16" s="394" t="inlineStr"/>
      <c r="BN16" s="394" t="inlineStr"/>
      <c r="BO16" s="394" t="inlineStr"/>
      <c r="BP16" s="439" t="n">
        <v>0.209</v>
      </c>
      <c r="BQ16" s="442" t="n">
        <v>0.226</v>
      </c>
      <c r="BR16" s="436" t="n">
        <v>0.222</v>
      </c>
      <c r="BS16" s="436" t="n">
        <v>0.205</v>
      </c>
      <c r="BT16" s="397" t="inlineStr"/>
      <c r="BU16" s="454">
        <f>IFERROR(AVERAGE(D16:BT18),0)</f>
        <v/>
      </c>
      <c r="BV16" s="454">
        <f>MIN(D16:BT18)</f>
        <v/>
      </c>
      <c r="BW16" s="238" t="n"/>
      <c r="BX16" s="238" t="n"/>
      <c r="BY16" s="238" t="n"/>
      <c r="BZ16" s="238" t="n"/>
      <c r="CA16" s="238" t="n"/>
      <c r="CB16" s="238" t="n"/>
      <c r="CC16" s="238" t="n"/>
      <c r="CD16" s="238" t="n"/>
      <c r="CE16" s="238" t="n"/>
      <c r="CF16" s="238" t="n"/>
      <c r="CG16" s="238" t="n"/>
      <c r="CH16" s="238" t="n"/>
      <c r="CI16" s="238" t="n"/>
      <c r="CJ16" s="238" t="n"/>
      <c r="CK16" s="238" t="n"/>
      <c r="CL16" s="238" t="n"/>
      <c r="CM16" s="238" t="n"/>
      <c r="CN16" s="238" t="n"/>
      <c r="CO16" s="238" t="n"/>
      <c r="CP16" s="238" t="n"/>
      <c r="CQ16" s="238" t="n"/>
      <c r="CR16" s="238" t="n"/>
      <c r="CS16" s="238" t="n"/>
      <c r="CT16" s="238" t="n"/>
      <c r="CU16" s="238" t="n"/>
      <c r="CV16" s="238" t="n"/>
      <c r="CW16" s="238" t="n"/>
      <c r="CX16" s="238" t="n"/>
      <c r="CY16" s="238" t="n"/>
      <c r="CZ16" s="238" t="n"/>
      <c r="DA16" s="238" t="n"/>
      <c r="DB16" s="238" t="n"/>
      <c r="DC16" s="238" t="n"/>
      <c r="DD16" s="238" t="n"/>
      <c r="DE16" s="238" t="n"/>
      <c r="DF16" s="238" t="n"/>
      <c r="DG16" s="238" t="n"/>
      <c r="DH16" s="238" t="n"/>
      <c r="DI16" s="238" t="n"/>
      <c r="DJ16" s="238" t="n"/>
      <c r="DK16" s="238" t="n"/>
      <c r="DL16" s="238" t="n"/>
      <c r="DM16" s="238" t="n"/>
      <c r="DN16" s="238" t="n"/>
      <c r="DO16" s="238" t="n"/>
      <c r="DP16" s="238" t="n"/>
      <c r="DQ16" s="238" t="n"/>
      <c r="DR16" s="238" t="n"/>
      <c r="DS16" s="238" t="n"/>
      <c r="DT16" s="238" t="n"/>
      <c r="DU16" s="238" t="n"/>
      <c r="DV16" s="238" t="n"/>
      <c r="DW16" s="238" t="n"/>
      <c r="DX16" s="238" t="n"/>
      <c r="DY16" s="238" t="n"/>
      <c r="DZ16" s="23" t="n"/>
      <c r="FQ16" s="212" t="n"/>
      <c r="FR16" s="212" t="n"/>
      <c r="FS16" s="212" t="n"/>
      <c r="FT16" s="212" t="n"/>
      <c r="FU16" s="212" t="n"/>
      <c r="FV16" s="212" t="n"/>
      <c r="FW16" s="212" t="n"/>
      <c r="FX16" s="212" t="n"/>
      <c r="FY16" s="212" t="n"/>
      <c r="FZ16" s="212" t="n"/>
    </row>
    <row r="17" ht="39.95" customFormat="1" customHeight="1" s="5">
      <c r="A17" s="182" t="n">
        <v>0.083</v>
      </c>
      <c r="B17" s="7" t="inlineStr">
        <is>
          <t>OF THE</t>
        </is>
      </c>
      <c r="C17" s="11" t="inlineStr">
        <is>
          <t>C</t>
        </is>
      </c>
      <c r="D17" s="392" t="inlineStr"/>
      <c r="E17" s="437" t="n">
        <v>0.186</v>
      </c>
      <c r="F17" s="437" t="n">
        <v>0.194</v>
      </c>
      <c r="G17" s="437" t="n">
        <v>0.2</v>
      </c>
      <c r="H17" s="440" t="n">
        <v>0.196</v>
      </c>
      <c r="I17" s="401" t="inlineStr"/>
      <c r="J17" s="395" t="inlineStr"/>
      <c r="K17" s="395" t="inlineStr"/>
      <c r="L17" s="395" t="inlineStr"/>
      <c r="M17" s="398" t="inlineStr"/>
      <c r="N17" s="401" t="inlineStr"/>
      <c r="O17" s="395" t="inlineStr"/>
      <c r="P17" s="395" t="inlineStr"/>
      <c r="Q17" s="395" t="inlineStr"/>
      <c r="R17" s="398" t="inlineStr"/>
      <c r="S17" s="401" t="inlineStr"/>
      <c r="T17" s="395" t="inlineStr"/>
      <c r="U17" s="395" t="inlineStr"/>
      <c r="V17" s="395" t="inlineStr"/>
      <c r="W17" s="398" t="inlineStr"/>
      <c r="X17" s="401" t="inlineStr"/>
      <c r="Y17" s="395" t="inlineStr"/>
      <c r="Z17" s="395" t="inlineStr"/>
      <c r="AA17" s="395" t="inlineStr"/>
      <c r="AB17" s="398" t="inlineStr"/>
      <c r="AC17" s="401" t="inlineStr"/>
      <c r="AD17" s="395" t="inlineStr"/>
      <c r="AE17" s="395" t="inlineStr"/>
      <c r="AF17" s="395" t="inlineStr"/>
      <c r="AG17" s="398" t="inlineStr"/>
      <c r="AH17" s="401" t="inlineStr"/>
      <c r="AI17" s="395" t="inlineStr"/>
      <c r="AJ17" s="395" t="inlineStr"/>
      <c r="AK17" s="395" t="inlineStr"/>
      <c r="AL17" s="398" t="inlineStr"/>
      <c r="AM17" s="401" t="inlineStr"/>
      <c r="AN17" s="395" t="inlineStr"/>
      <c r="AO17" s="395" t="inlineStr"/>
      <c r="AP17" s="395" t="inlineStr"/>
      <c r="AQ17" s="398" t="inlineStr"/>
      <c r="AR17" s="401" t="inlineStr"/>
      <c r="AS17" s="395" t="inlineStr"/>
      <c r="AT17" s="395" t="inlineStr"/>
      <c r="AU17" s="395" t="inlineStr"/>
      <c r="AV17" s="398" t="inlineStr"/>
      <c r="AW17" s="401" t="inlineStr"/>
      <c r="AX17" s="395" t="inlineStr"/>
      <c r="AY17" s="395" t="inlineStr"/>
      <c r="AZ17" s="395" t="inlineStr"/>
      <c r="BA17" s="398" t="inlineStr"/>
      <c r="BB17" s="401" t="inlineStr"/>
      <c r="BC17" s="395" t="inlineStr"/>
      <c r="BD17" s="395" t="inlineStr"/>
      <c r="BE17" s="395" t="inlineStr"/>
      <c r="BF17" s="398" t="inlineStr"/>
      <c r="BG17" s="401" t="inlineStr"/>
      <c r="BH17" s="395" t="inlineStr"/>
      <c r="BI17" s="395" t="inlineStr"/>
      <c r="BJ17" s="395" t="inlineStr"/>
      <c r="BK17" s="398" t="inlineStr"/>
      <c r="BL17" s="401" t="inlineStr"/>
      <c r="BM17" s="395" t="inlineStr"/>
      <c r="BN17" s="395" t="inlineStr"/>
      <c r="BO17" s="395" t="inlineStr"/>
      <c r="BP17" s="440" t="n">
        <v>0.196</v>
      </c>
      <c r="BQ17" s="443" t="n">
        <v>0.206</v>
      </c>
      <c r="BR17" s="437" t="n">
        <v>0.196</v>
      </c>
      <c r="BS17" s="437" t="n">
        <v>0.218</v>
      </c>
      <c r="BT17" s="398" t="inlineStr"/>
      <c r="BU17" s="455" t="n"/>
      <c r="BV17" s="455" t="n"/>
      <c r="BW17" s="238" t="n"/>
      <c r="BX17" s="238" t="n"/>
      <c r="BY17" s="238" t="n"/>
      <c r="BZ17" s="238" t="n"/>
      <c r="CA17" s="238" t="n"/>
      <c r="CB17" s="238" t="n"/>
      <c r="CC17" s="238" t="n"/>
      <c r="CD17" s="238" t="n"/>
      <c r="CE17" s="238" t="n"/>
      <c r="CF17" s="238" t="n"/>
      <c r="CG17" s="238" t="n"/>
      <c r="CH17" s="238" t="n"/>
      <c r="CI17" s="238" t="n"/>
      <c r="CJ17" s="238" t="n"/>
      <c r="CK17" s="238" t="n"/>
      <c r="CL17" s="238" t="n"/>
      <c r="CM17" s="238" t="n"/>
      <c r="CN17" s="238" t="n"/>
      <c r="CO17" s="238" t="n"/>
      <c r="CP17" s="238" t="n"/>
      <c r="CQ17" s="238" t="n"/>
      <c r="CR17" s="238" t="n"/>
      <c r="CS17" s="238" t="n"/>
      <c r="CT17" s="238" t="n"/>
      <c r="CU17" s="238" t="n"/>
      <c r="CV17" s="238" t="n"/>
      <c r="CW17" s="238" t="n"/>
      <c r="CX17" s="238" t="n"/>
      <c r="CY17" s="238" t="n"/>
      <c r="CZ17" s="238" t="n"/>
      <c r="DA17" s="238" t="n"/>
      <c r="DB17" s="238" t="n"/>
      <c r="DC17" s="238" t="n"/>
      <c r="DD17" s="238" t="n"/>
      <c r="DE17" s="238" t="n"/>
      <c r="DF17" s="238" t="n"/>
      <c r="DG17" s="238" t="n"/>
      <c r="DH17" s="238" t="n"/>
      <c r="DI17" s="238" t="n"/>
      <c r="DJ17" s="238" t="n"/>
      <c r="DK17" s="238" t="n"/>
      <c r="DL17" s="238" t="n"/>
      <c r="DM17" s="238" t="n"/>
      <c r="DN17" s="238" t="n"/>
      <c r="DO17" s="238" t="n"/>
      <c r="DP17" s="238" t="n"/>
      <c r="DQ17" s="238" t="n"/>
      <c r="DR17" s="238" t="n"/>
      <c r="DS17" s="238" t="n"/>
      <c r="DT17" s="238" t="n"/>
      <c r="DU17" s="238" t="n"/>
      <c r="DV17" s="238" t="n"/>
      <c r="DW17" s="238" t="n"/>
      <c r="DX17" s="238" t="n"/>
      <c r="DY17" s="238" t="n"/>
      <c r="DZ17" s="23" t="n"/>
      <c r="FQ17" s="212" t="n"/>
      <c r="FR17" s="212" t="n"/>
      <c r="FS17" s="212" t="n"/>
      <c r="FT17" s="212" t="n"/>
      <c r="FU17" s="212" t="n"/>
      <c r="FV17" s="212" t="n"/>
      <c r="FW17" s="212" t="n"/>
      <c r="FX17" s="212" t="n"/>
      <c r="FY17" s="212" t="n"/>
      <c r="FZ17" s="212" t="n"/>
    </row>
    <row r="18" ht="39.95" customFormat="1" customHeight="1" s="5">
      <c r="A18" s="456" t="n"/>
      <c r="B18" s="8" t="inlineStr">
        <is>
          <t>OB PORTS</t>
        </is>
      </c>
      <c r="C18" s="12" t="inlineStr">
        <is>
          <t>R</t>
        </is>
      </c>
      <c r="D18" s="393" t="inlineStr"/>
      <c r="E18" s="438" t="n">
        <v>0.213</v>
      </c>
      <c r="F18" s="396" t="n">
        <v>0.204</v>
      </c>
      <c r="G18" s="438" t="n">
        <v>0.202</v>
      </c>
      <c r="H18" s="441" t="n">
        <v>0.203</v>
      </c>
      <c r="I18" s="402" t="inlineStr"/>
      <c r="J18" s="396" t="inlineStr"/>
      <c r="K18" s="396" t="inlineStr"/>
      <c r="L18" s="396" t="inlineStr"/>
      <c r="M18" s="399" t="inlineStr"/>
      <c r="N18" s="402" t="inlineStr"/>
      <c r="O18" s="396" t="inlineStr"/>
      <c r="P18" s="396" t="inlineStr"/>
      <c r="Q18" s="396" t="inlineStr"/>
      <c r="R18" s="399" t="inlineStr"/>
      <c r="S18" s="402" t="inlineStr"/>
      <c r="T18" s="396" t="inlineStr"/>
      <c r="U18" s="396" t="inlineStr"/>
      <c r="V18" s="396" t="inlineStr"/>
      <c r="W18" s="399" t="inlineStr"/>
      <c r="X18" s="402" t="inlineStr"/>
      <c r="Y18" s="396" t="inlineStr"/>
      <c r="Z18" s="396" t="inlineStr"/>
      <c r="AA18" s="396" t="inlineStr"/>
      <c r="AB18" s="399" t="inlineStr"/>
      <c r="AC18" s="402" t="inlineStr"/>
      <c r="AD18" s="396" t="inlineStr"/>
      <c r="AE18" s="396" t="inlineStr"/>
      <c r="AF18" s="396" t="inlineStr"/>
      <c r="AG18" s="399" t="inlineStr"/>
      <c r="AH18" s="402" t="inlineStr"/>
      <c r="AI18" s="396" t="inlineStr"/>
      <c r="AJ18" s="396" t="inlineStr"/>
      <c r="AK18" s="396" t="inlineStr"/>
      <c r="AL18" s="399" t="inlineStr"/>
      <c r="AM18" s="402" t="inlineStr"/>
      <c r="AN18" s="396" t="inlineStr"/>
      <c r="AO18" s="396" t="inlineStr"/>
      <c r="AP18" s="396" t="inlineStr"/>
      <c r="AQ18" s="399" t="inlineStr"/>
      <c r="AR18" s="402" t="inlineStr"/>
      <c r="AS18" s="396" t="inlineStr"/>
      <c r="AT18" s="396" t="inlineStr"/>
      <c r="AU18" s="396" t="inlineStr"/>
      <c r="AV18" s="399" t="inlineStr"/>
      <c r="AW18" s="402" t="inlineStr"/>
      <c r="AX18" s="396" t="inlineStr"/>
      <c r="AY18" s="396" t="inlineStr"/>
      <c r="AZ18" s="396" t="inlineStr"/>
      <c r="BA18" s="399" t="inlineStr"/>
      <c r="BB18" s="402" t="inlineStr"/>
      <c r="BC18" s="396" t="inlineStr"/>
      <c r="BD18" s="396" t="inlineStr"/>
      <c r="BE18" s="396" t="inlineStr"/>
      <c r="BF18" s="399" t="inlineStr"/>
      <c r="BG18" s="402" t="inlineStr"/>
      <c r="BH18" s="396" t="inlineStr"/>
      <c r="BI18" s="396" t="inlineStr"/>
      <c r="BJ18" s="396" t="inlineStr"/>
      <c r="BK18" s="399" t="inlineStr"/>
      <c r="BL18" s="402" t="inlineStr"/>
      <c r="BM18" s="396" t="inlineStr"/>
      <c r="BN18" s="396" t="inlineStr"/>
      <c r="BO18" s="396" t="inlineStr"/>
      <c r="BP18" s="441" t="n">
        <v>0.215</v>
      </c>
      <c r="BQ18" s="444" t="n">
        <v>0.204</v>
      </c>
      <c r="BR18" s="438" t="n">
        <v>0.188</v>
      </c>
      <c r="BS18" s="438" t="n">
        <v>0.208</v>
      </c>
      <c r="BT18" s="399" t="inlineStr"/>
      <c r="BU18" s="457" t="n"/>
      <c r="BV18" s="457" t="n"/>
      <c r="BW18" s="238" t="n"/>
      <c r="BX18" s="238" t="n"/>
      <c r="BY18" s="238" t="n"/>
      <c r="BZ18" s="238" t="n"/>
      <c r="CA18" s="238" t="n"/>
      <c r="CB18" s="238" t="n"/>
      <c r="CC18" s="238" t="n"/>
      <c r="CD18" s="238" t="n"/>
      <c r="CE18" s="238" t="n"/>
      <c r="CF18" s="238" t="n"/>
      <c r="CG18" s="238" t="n"/>
      <c r="CH18" s="238" t="n"/>
      <c r="CI18" s="238" t="n"/>
      <c r="CJ18" s="238" t="n"/>
      <c r="CK18" s="238" t="n"/>
      <c r="CL18" s="238" t="n"/>
      <c r="CM18" s="238" t="n"/>
      <c r="CN18" s="238" t="n"/>
      <c r="CO18" s="238" t="n"/>
      <c r="CP18" s="238" t="n"/>
      <c r="CQ18" s="238" t="n"/>
      <c r="CR18" s="238" t="n"/>
      <c r="CS18" s="238" t="n"/>
      <c r="CT18" s="238" t="n"/>
      <c r="CU18" s="238" t="n"/>
      <c r="CV18" s="238" t="n"/>
      <c r="CW18" s="238" t="n"/>
      <c r="CX18" s="238" t="n"/>
      <c r="CY18" s="238" t="n"/>
      <c r="CZ18" s="238" t="n"/>
      <c r="DA18" s="238" t="n"/>
      <c r="DB18" s="238" t="n"/>
      <c r="DC18" s="238" t="n"/>
      <c r="DD18" s="238" t="n"/>
      <c r="DE18" s="238" t="n"/>
      <c r="DF18" s="238" t="n"/>
      <c r="DG18" s="238" t="n"/>
      <c r="DH18" s="238" t="n"/>
      <c r="DI18" s="238" t="n"/>
      <c r="DJ18" s="238" t="n"/>
      <c r="DK18" s="238" t="n"/>
      <c r="DL18" s="238" t="n"/>
      <c r="DM18" s="238" t="n"/>
      <c r="DN18" s="238" t="n"/>
      <c r="DO18" s="238" t="n"/>
      <c r="DP18" s="238" t="n"/>
      <c r="DQ18" s="238" t="n"/>
      <c r="DR18" s="238" t="n"/>
      <c r="DS18" s="238" t="n"/>
      <c r="DT18" s="238" t="n"/>
      <c r="DU18" s="238" t="n"/>
      <c r="DV18" s="238" t="n"/>
      <c r="DW18" s="238" t="n"/>
      <c r="DX18" s="238" t="n"/>
      <c r="DY18" s="238" t="n"/>
      <c r="DZ18" s="23" t="n"/>
      <c r="FQ18" s="212" t="n"/>
      <c r="FR18" s="212" t="n"/>
      <c r="FS18" s="212" t="n"/>
      <c r="FT18" s="212" t="n"/>
      <c r="FU18" s="212" t="n"/>
      <c r="FV18" s="212" t="n"/>
      <c r="FW18" s="212" t="n"/>
      <c r="FX18" s="212" t="n"/>
      <c r="FY18" s="212" t="n"/>
      <c r="FZ18" s="212" t="n"/>
    </row>
    <row r="19" ht="39.95" customFormat="1" customHeight="1" s="5">
      <c r="A19" s="10" t="inlineStr">
        <is>
          <t>A</t>
        </is>
      </c>
      <c r="B19" s="6" t="inlineStr">
        <is>
          <t>POSITION 'B'</t>
        </is>
      </c>
      <c r="C19" s="11" t="inlineStr">
        <is>
          <t>L</t>
        </is>
      </c>
      <c r="D19" s="391" t="inlineStr"/>
      <c r="E19" s="436" t="n">
        <v>0.194</v>
      </c>
      <c r="F19" s="436" t="n">
        <v>0.203</v>
      </c>
      <c r="G19" s="436" t="n">
        <v>0.212</v>
      </c>
      <c r="H19" s="397" t="n">
        <v>0.235</v>
      </c>
      <c r="I19" s="400" t="inlineStr"/>
      <c r="J19" s="394" t="inlineStr"/>
      <c r="K19" s="394" t="inlineStr"/>
      <c r="L19" s="394" t="inlineStr"/>
      <c r="M19" s="397" t="inlineStr"/>
      <c r="N19" s="400" t="inlineStr"/>
      <c r="O19" s="394" t="inlineStr"/>
      <c r="P19" s="394" t="inlineStr"/>
      <c r="Q19" s="394" t="inlineStr"/>
      <c r="R19" s="397" t="inlineStr"/>
      <c r="S19" s="400" t="inlineStr"/>
      <c r="T19" s="394" t="inlineStr"/>
      <c r="U19" s="394" t="inlineStr"/>
      <c r="V19" s="394" t="inlineStr"/>
      <c r="W19" s="397" t="inlineStr"/>
      <c r="X19" s="400" t="inlineStr"/>
      <c r="Y19" s="394" t="inlineStr"/>
      <c r="Z19" s="394" t="inlineStr"/>
      <c r="AA19" s="394" t="inlineStr"/>
      <c r="AB19" s="397" t="inlineStr"/>
      <c r="AC19" s="400" t="inlineStr"/>
      <c r="AD19" s="394" t="inlineStr"/>
      <c r="AE19" s="394" t="inlineStr"/>
      <c r="AF19" s="394" t="inlineStr"/>
      <c r="AG19" s="397" t="inlineStr"/>
      <c r="AH19" s="400" t="inlineStr"/>
      <c r="AI19" s="394" t="inlineStr"/>
      <c r="AJ19" s="394" t="inlineStr"/>
      <c r="AK19" s="394" t="inlineStr"/>
      <c r="AL19" s="397" t="inlineStr"/>
      <c r="AM19" s="400" t="inlineStr"/>
      <c r="AN19" s="394" t="inlineStr"/>
      <c r="AO19" s="394" t="inlineStr"/>
      <c r="AP19" s="394" t="inlineStr"/>
      <c r="AQ19" s="397" t="inlineStr"/>
      <c r="AR19" s="400" t="inlineStr"/>
      <c r="AS19" s="394" t="inlineStr"/>
      <c r="AT19" s="394" t="inlineStr"/>
      <c r="AU19" s="394" t="inlineStr"/>
      <c r="AV19" s="397" t="inlineStr"/>
      <c r="AW19" s="400" t="inlineStr"/>
      <c r="AX19" s="394" t="inlineStr"/>
      <c r="AY19" s="394" t="inlineStr"/>
      <c r="AZ19" s="394" t="inlineStr"/>
      <c r="BA19" s="397" t="inlineStr"/>
      <c r="BB19" s="400" t="inlineStr"/>
      <c r="BC19" s="394" t="inlineStr"/>
      <c r="BD19" s="394" t="inlineStr"/>
      <c r="BE19" s="394" t="inlineStr"/>
      <c r="BF19" s="397" t="inlineStr"/>
      <c r="BG19" s="400" t="inlineStr"/>
      <c r="BH19" s="394" t="inlineStr"/>
      <c r="BI19" s="394" t="inlineStr"/>
      <c r="BJ19" s="394" t="inlineStr"/>
      <c r="BK19" s="397" t="inlineStr"/>
      <c r="BL19" s="400" t="inlineStr"/>
      <c r="BM19" s="394" t="inlineStr"/>
      <c r="BN19" s="394" t="inlineStr"/>
      <c r="BO19" s="394" t="inlineStr"/>
      <c r="BP19" s="439" t="n">
        <v>0.2</v>
      </c>
      <c r="BQ19" s="442" t="n">
        <v>0.21</v>
      </c>
      <c r="BR19" s="436" t="n">
        <v>0.197</v>
      </c>
      <c r="BS19" s="99" t="n">
        <v>0.232</v>
      </c>
      <c r="BT19" s="397" t="inlineStr"/>
      <c r="BU19" s="454">
        <f>IFERROR(AVERAGE(D19:BT21),0)</f>
        <v/>
      </c>
      <c r="BV19" s="454">
        <f>MIN(D19:BT21)</f>
        <v/>
      </c>
      <c r="BW19" s="238" t="n"/>
      <c r="BX19" s="238" t="n"/>
      <c r="BY19" s="238" t="n"/>
      <c r="BZ19" s="238" t="n"/>
      <c r="CA19" s="238" t="n"/>
      <c r="CB19" s="238" t="n"/>
      <c r="CC19" s="238" t="n"/>
      <c r="CD19" s="238" t="n"/>
      <c r="CE19" s="238" t="n"/>
      <c r="CF19" s="238" t="n"/>
      <c r="CG19" s="238" t="n"/>
      <c r="CH19" s="238" t="n"/>
      <c r="CI19" s="238" t="n"/>
      <c r="CJ19" s="238" t="n"/>
      <c r="CK19" s="238" t="n"/>
      <c r="CL19" s="238" t="n"/>
      <c r="CM19" s="238" t="n"/>
      <c r="CN19" s="238" t="n"/>
      <c r="CO19" s="238" t="n"/>
      <c r="CP19" s="238" t="n"/>
      <c r="CQ19" s="238" t="n"/>
      <c r="CR19" s="238" t="n"/>
      <c r="CS19" s="238" t="n"/>
      <c r="CT19" s="238" t="n"/>
      <c r="CU19" s="238" t="n"/>
      <c r="CV19" s="238" t="n"/>
      <c r="CW19" s="238" t="n"/>
      <c r="CX19" s="238" t="n"/>
      <c r="CY19" s="238" t="n"/>
      <c r="CZ19" s="238" t="n"/>
      <c r="DA19" s="238" t="n"/>
      <c r="DB19" s="238" t="n"/>
      <c r="DC19" s="238" t="n"/>
      <c r="DD19" s="238" t="n"/>
      <c r="DE19" s="238" t="n"/>
      <c r="DF19" s="238" t="n"/>
      <c r="DG19" s="238" t="n"/>
      <c r="DH19" s="238" t="n"/>
      <c r="DI19" s="238" t="n"/>
      <c r="DJ19" s="238" t="n"/>
      <c r="DK19" s="238" t="n"/>
      <c r="DL19" s="238" t="n"/>
      <c r="DM19" s="238" t="n"/>
      <c r="DN19" s="238" t="n"/>
      <c r="DO19" s="238" t="n"/>
      <c r="DP19" s="238" t="n"/>
      <c r="DQ19" s="238" t="n"/>
      <c r="DR19" s="238" t="n"/>
      <c r="DS19" s="238" t="n"/>
      <c r="DT19" s="238" t="n"/>
      <c r="DU19" s="238" t="n"/>
      <c r="DV19" s="238" t="n"/>
      <c r="DW19" s="238" t="n"/>
      <c r="DX19" s="238" t="n"/>
      <c r="DY19" s="238" t="n"/>
      <c r="DZ19" s="23" t="n"/>
      <c r="FQ19" s="212" t="n"/>
      <c r="FR19" s="212" t="n"/>
      <c r="FS19" s="212" t="n"/>
      <c r="FT19" s="212" t="n"/>
      <c r="FU19" s="212" t="n"/>
      <c r="FV19" s="212" t="n"/>
      <c r="FW19" s="212" t="n"/>
      <c r="FX19" s="212" t="n"/>
      <c r="FY19" s="212" t="n"/>
      <c r="FZ19" s="212" t="n"/>
    </row>
    <row r="20" ht="39.95" customFormat="1" customHeight="1" s="5">
      <c r="A20" s="182" t="n">
        <v>0.083</v>
      </c>
      <c r="B20" s="7" t="inlineStr">
        <is>
          <t xml:space="preserve">OF THE </t>
        </is>
      </c>
      <c r="C20" s="11" t="inlineStr">
        <is>
          <t>C</t>
        </is>
      </c>
      <c r="D20" s="392" t="inlineStr"/>
      <c r="E20" s="437" t="n">
        <v>0.197</v>
      </c>
      <c r="F20" s="437" t="n">
        <v>0.196</v>
      </c>
      <c r="G20" s="437" t="n">
        <v>0.21</v>
      </c>
      <c r="H20" s="440" t="n">
        <v>0.194</v>
      </c>
      <c r="I20" s="401" t="inlineStr"/>
      <c r="J20" s="395" t="inlineStr"/>
      <c r="K20" s="395" t="inlineStr"/>
      <c r="L20" s="395" t="inlineStr"/>
      <c r="M20" s="398" t="inlineStr"/>
      <c r="N20" s="401" t="inlineStr"/>
      <c r="O20" s="395" t="inlineStr"/>
      <c r="P20" s="395" t="inlineStr"/>
      <c r="Q20" s="395" t="inlineStr"/>
      <c r="R20" s="398" t="inlineStr"/>
      <c r="S20" s="401" t="inlineStr"/>
      <c r="T20" s="395" t="inlineStr"/>
      <c r="U20" s="395" t="inlineStr"/>
      <c r="V20" s="395" t="inlineStr"/>
      <c r="W20" s="398" t="inlineStr"/>
      <c r="X20" s="401" t="inlineStr"/>
      <c r="Y20" s="395" t="inlineStr"/>
      <c r="Z20" s="395" t="inlineStr"/>
      <c r="AA20" s="395" t="inlineStr"/>
      <c r="AB20" s="398" t="inlineStr"/>
      <c r="AC20" s="401" t="inlineStr"/>
      <c r="AD20" s="395" t="inlineStr"/>
      <c r="AE20" s="395" t="inlineStr"/>
      <c r="AF20" s="395" t="inlineStr"/>
      <c r="AG20" s="398" t="inlineStr"/>
      <c r="AH20" s="401" t="inlineStr"/>
      <c r="AI20" s="395" t="inlineStr"/>
      <c r="AJ20" s="395" t="inlineStr"/>
      <c r="AK20" s="395" t="inlineStr"/>
      <c r="AL20" s="398" t="inlineStr"/>
      <c r="AM20" s="401" t="inlineStr"/>
      <c r="AN20" s="395" t="inlineStr"/>
      <c r="AO20" s="395" t="inlineStr"/>
      <c r="AP20" s="395" t="inlineStr"/>
      <c r="AQ20" s="398" t="inlineStr"/>
      <c r="AR20" s="401" t="inlineStr"/>
      <c r="AS20" s="395" t="inlineStr"/>
      <c r="AT20" s="395" t="inlineStr"/>
      <c r="AU20" s="395" t="inlineStr"/>
      <c r="AV20" s="398" t="inlineStr"/>
      <c r="AW20" s="401" t="inlineStr"/>
      <c r="AX20" s="395" t="inlineStr"/>
      <c r="AY20" s="395" t="inlineStr"/>
      <c r="AZ20" s="395" t="inlineStr"/>
      <c r="BA20" s="398" t="inlineStr"/>
      <c r="BB20" s="401" t="inlineStr"/>
      <c r="BC20" s="395" t="inlineStr"/>
      <c r="BD20" s="395" t="inlineStr"/>
      <c r="BE20" s="395" t="inlineStr"/>
      <c r="BF20" s="398" t="inlineStr"/>
      <c r="BG20" s="401" t="inlineStr"/>
      <c r="BH20" s="395" t="inlineStr"/>
      <c r="BI20" s="395" t="inlineStr"/>
      <c r="BJ20" s="395" t="inlineStr"/>
      <c r="BK20" s="398" t="inlineStr"/>
      <c r="BL20" s="401" t="inlineStr"/>
      <c r="BM20" s="395" t="inlineStr"/>
      <c r="BN20" s="395" t="inlineStr"/>
      <c r="BO20" s="395" t="inlineStr"/>
      <c r="BP20" s="440" t="n">
        <v>0.208</v>
      </c>
      <c r="BQ20" s="443" t="n">
        <v>0.203</v>
      </c>
      <c r="BR20" s="437" t="n">
        <v>0.21</v>
      </c>
      <c r="BS20" s="437" t="n">
        <v>0.213</v>
      </c>
      <c r="BT20" s="398" t="inlineStr"/>
      <c r="BU20" s="455" t="n"/>
      <c r="BV20" s="455" t="n"/>
      <c r="BW20" s="238" t="n"/>
      <c r="BX20" s="238" t="n"/>
      <c r="BY20" s="238" t="n"/>
      <c r="BZ20" s="238" t="n"/>
      <c r="CA20" s="238" t="n"/>
      <c r="CB20" s="238" t="n"/>
      <c r="CC20" s="238" t="n"/>
      <c r="CD20" s="238" t="n"/>
      <c r="CE20" s="238" t="n"/>
      <c r="CF20" s="238" t="n"/>
      <c r="CG20" s="238" t="n"/>
      <c r="CH20" s="238" t="n"/>
      <c r="CI20" s="238" t="n"/>
      <c r="CJ20" s="238" t="n"/>
      <c r="CK20" s="238" t="n"/>
      <c r="CL20" s="238" t="n"/>
      <c r="CM20" s="238" t="n"/>
      <c r="CN20" s="238" t="n"/>
      <c r="CO20" s="238" t="n"/>
      <c r="CP20" s="238" t="n"/>
      <c r="CQ20" s="238" t="n"/>
      <c r="CR20" s="238" t="n"/>
      <c r="CS20" s="238" t="n"/>
      <c r="CT20" s="238" t="n"/>
      <c r="CU20" s="238" t="n"/>
      <c r="CV20" s="238" t="n"/>
      <c r="CW20" s="238" t="n"/>
      <c r="CX20" s="238" t="n"/>
      <c r="CY20" s="238" t="n"/>
      <c r="CZ20" s="238" t="n"/>
      <c r="DA20" s="238" t="n"/>
      <c r="DB20" s="238" t="n"/>
      <c r="DC20" s="238" t="n"/>
      <c r="DD20" s="238" t="n"/>
      <c r="DE20" s="238" t="n"/>
      <c r="DF20" s="238" t="n"/>
      <c r="DG20" s="238" t="n"/>
      <c r="DH20" s="238" t="n"/>
      <c r="DI20" s="238" t="n"/>
      <c r="DJ20" s="238" t="n"/>
      <c r="DK20" s="238" t="n"/>
      <c r="DL20" s="238" t="n"/>
      <c r="DM20" s="238" t="n"/>
      <c r="DN20" s="238" t="n"/>
      <c r="DO20" s="238" t="n"/>
      <c r="DP20" s="238" t="n"/>
      <c r="DQ20" s="238" t="n"/>
      <c r="DR20" s="238" t="n"/>
      <c r="DS20" s="238" t="n"/>
      <c r="DT20" s="238" t="n"/>
      <c r="DU20" s="238" t="n"/>
      <c r="DV20" s="238" t="n"/>
      <c r="DW20" s="238" t="n"/>
      <c r="DX20" s="238" t="n"/>
      <c r="DY20" s="238" t="n"/>
      <c r="DZ20" s="23" t="n"/>
      <c r="FQ20" s="212" t="n"/>
      <c r="FR20" s="212" t="n"/>
      <c r="FS20" s="212" t="n"/>
      <c r="FT20" s="212" t="n"/>
      <c r="FU20" s="212" t="n"/>
      <c r="FV20" s="212" t="n"/>
      <c r="FW20" s="212" t="n"/>
      <c r="FX20" s="212" t="n"/>
      <c r="FY20" s="212" t="n"/>
      <c r="FZ20" s="212" t="n"/>
    </row>
    <row r="21" ht="39.95" customFormat="1" customHeight="1" s="5">
      <c r="A21" s="456" t="n"/>
      <c r="B21" s="8" t="inlineStr">
        <is>
          <t>OB PORTS</t>
        </is>
      </c>
      <c r="C21" s="12" t="inlineStr">
        <is>
          <t>R</t>
        </is>
      </c>
      <c r="D21" s="393" t="inlineStr"/>
      <c r="E21" s="438" t="n">
        <v>0.198</v>
      </c>
      <c r="F21" s="438" t="n">
        <v>0.198</v>
      </c>
      <c r="G21" s="438" t="n">
        <v>0.212</v>
      </c>
      <c r="H21" s="441" t="n">
        <v>0.203</v>
      </c>
      <c r="I21" s="402" t="inlineStr"/>
      <c r="J21" s="396" t="inlineStr"/>
      <c r="K21" s="396" t="inlineStr"/>
      <c r="L21" s="396" t="inlineStr"/>
      <c r="M21" s="399" t="inlineStr"/>
      <c r="N21" s="402" t="inlineStr"/>
      <c r="O21" s="396" t="inlineStr"/>
      <c r="P21" s="396" t="inlineStr"/>
      <c r="Q21" s="396" t="inlineStr"/>
      <c r="R21" s="399" t="inlineStr"/>
      <c r="S21" s="402" t="inlineStr"/>
      <c r="T21" s="396" t="inlineStr"/>
      <c r="U21" s="396" t="inlineStr"/>
      <c r="V21" s="396" t="inlineStr"/>
      <c r="W21" s="399" t="inlineStr"/>
      <c r="X21" s="402" t="inlineStr"/>
      <c r="Y21" s="396" t="inlineStr"/>
      <c r="Z21" s="396" t="inlineStr"/>
      <c r="AA21" s="396" t="inlineStr"/>
      <c r="AB21" s="399" t="inlineStr"/>
      <c r="AC21" s="402" t="inlineStr"/>
      <c r="AD21" s="396" t="inlineStr"/>
      <c r="AE21" s="396" t="inlineStr"/>
      <c r="AF21" s="396" t="inlineStr"/>
      <c r="AG21" s="399" t="inlineStr"/>
      <c r="AH21" s="402" t="inlineStr"/>
      <c r="AI21" s="396" t="inlineStr"/>
      <c r="AJ21" s="396" t="inlineStr"/>
      <c r="AK21" s="396" t="inlineStr"/>
      <c r="AL21" s="399" t="inlineStr"/>
      <c r="AM21" s="402" t="inlineStr"/>
      <c r="AN21" s="396" t="inlineStr"/>
      <c r="AO21" s="396" t="inlineStr"/>
      <c r="AP21" s="396" t="inlineStr"/>
      <c r="AQ21" s="399" t="inlineStr"/>
      <c r="AR21" s="402" t="inlineStr"/>
      <c r="AS21" s="396" t="inlineStr"/>
      <c r="AT21" s="396" t="inlineStr"/>
      <c r="AU21" s="396" t="inlineStr"/>
      <c r="AV21" s="399" t="inlineStr"/>
      <c r="AW21" s="402" t="inlineStr"/>
      <c r="AX21" s="396" t="inlineStr"/>
      <c r="AY21" s="396" t="inlineStr"/>
      <c r="AZ21" s="396" t="inlineStr"/>
      <c r="BA21" s="399" t="inlineStr"/>
      <c r="BB21" s="402" t="inlineStr"/>
      <c r="BC21" s="396" t="inlineStr"/>
      <c r="BD21" s="396" t="inlineStr"/>
      <c r="BE21" s="396" t="inlineStr"/>
      <c r="BF21" s="399" t="inlineStr"/>
      <c r="BG21" s="402" t="inlineStr"/>
      <c r="BH21" s="396" t="inlineStr"/>
      <c r="BI21" s="396" t="inlineStr"/>
      <c r="BJ21" s="396" t="inlineStr"/>
      <c r="BK21" s="399" t="inlineStr"/>
      <c r="BL21" s="402" t="inlineStr"/>
      <c r="BM21" s="396" t="inlineStr"/>
      <c r="BN21" s="396" t="inlineStr"/>
      <c r="BO21" s="396" t="inlineStr"/>
      <c r="BP21" s="441" t="n">
        <v>0.212</v>
      </c>
      <c r="BQ21" s="444" t="n">
        <v>0.201</v>
      </c>
      <c r="BR21" s="438" t="n">
        <v>0.204</v>
      </c>
      <c r="BS21" s="438" t="n">
        <v>0.207</v>
      </c>
      <c r="BT21" s="399" t="inlineStr"/>
      <c r="BU21" s="457" t="n"/>
      <c r="BV21" s="457" t="n"/>
      <c r="BW21" s="238" t="n"/>
      <c r="BX21" s="238" t="n"/>
      <c r="BY21" s="238" t="n"/>
      <c r="BZ21" s="238" t="n"/>
      <c r="CA21" s="238" t="n"/>
      <c r="CB21" s="238" t="n"/>
      <c r="CC21" s="238" t="n"/>
      <c r="CD21" s="238" t="n"/>
      <c r="CE21" s="238" t="n"/>
      <c r="CF21" s="238" t="n"/>
      <c r="CG21" s="238" t="n"/>
      <c r="CH21" s="238" t="n"/>
      <c r="CI21" s="238" t="n"/>
      <c r="CJ21" s="238" t="n"/>
      <c r="CK21" s="238" t="n"/>
      <c r="CL21" s="238" t="n"/>
      <c r="CM21" s="238" t="n"/>
      <c r="CN21" s="238" t="n"/>
      <c r="CO21" s="238" t="n"/>
      <c r="CP21" s="238" t="n"/>
      <c r="CQ21" s="238" t="n"/>
      <c r="CR21" s="238" t="n"/>
      <c r="CS21" s="238" t="n"/>
      <c r="CT21" s="238" t="n"/>
      <c r="CU21" s="238" t="n"/>
      <c r="CV21" s="238" t="n"/>
      <c r="CW21" s="238" t="n"/>
      <c r="CX21" s="238" t="n"/>
      <c r="CY21" s="238" t="n"/>
      <c r="CZ21" s="238" t="n"/>
      <c r="DA21" s="238" t="n"/>
      <c r="DB21" s="238" t="n"/>
      <c r="DC21" s="238" t="n"/>
      <c r="DD21" s="238" t="n"/>
      <c r="DE21" s="238" t="n"/>
      <c r="DF21" s="238" t="n"/>
      <c r="DG21" s="238" t="n"/>
      <c r="DH21" s="238" t="n"/>
      <c r="DI21" s="238" t="n"/>
      <c r="DJ21" s="238" t="n"/>
      <c r="DK21" s="238" t="n"/>
      <c r="DL21" s="238" t="n"/>
      <c r="DM21" s="238" t="n"/>
      <c r="DN21" s="238" t="n"/>
      <c r="DO21" s="238" t="n"/>
      <c r="DP21" s="238" t="n"/>
      <c r="DQ21" s="238" t="n"/>
      <c r="DR21" s="238" t="n"/>
      <c r="DS21" s="238" t="n"/>
      <c r="DT21" s="238" t="n"/>
      <c r="DU21" s="238" t="n"/>
      <c r="DV21" s="238" t="n"/>
      <c r="DW21" s="238" t="n"/>
      <c r="DX21" s="238" t="n"/>
      <c r="DY21" s="238" t="n"/>
      <c r="DZ21" s="23" t="n"/>
      <c r="FQ21" s="212" t="n"/>
      <c r="FR21" s="212" t="n"/>
      <c r="FS21" s="212" t="n"/>
      <c r="FT21" s="212" t="n"/>
      <c r="FU21" s="212" t="n"/>
      <c r="FV21" s="212" t="n"/>
      <c r="FW21" s="212" t="n"/>
      <c r="FX21" s="212" t="n"/>
      <c r="FY21" s="212" t="n"/>
      <c r="FZ21" s="212" t="n"/>
    </row>
    <row r="22" ht="39.95" customFormat="1" customHeight="1" s="5">
      <c r="A22" s="10" t="inlineStr">
        <is>
          <t>A</t>
        </is>
      </c>
      <c r="B22" s="6" t="inlineStr">
        <is>
          <t>POSITION 'C'</t>
        </is>
      </c>
      <c r="C22" s="11" t="inlineStr">
        <is>
          <t>L</t>
        </is>
      </c>
      <c r="D22" s="391" t="inlineStr"/>
      <c r="E22" s="436" t="n">
        <v>0.208</v>
      </c>
      <c r="F22" s="436" t="n">
        <v>0.217</v>
      </c>
      <c r="G22" s="436" t="n">
        <v>0.21</v>
      </c>
      <c r="H22" s="439" t="n">
        <v>0.197</v>
      </c>
      <c r="I22" s="400" t="inlineStr"/>
      <c r="J22" s="394" t="inlineStr"/>
      <c r="K22" s="394" t="inlineStr"/>
      <c r="L22" s="394" t="inlineStr"/>
      <c r="M22" s="397" t="inlineStr"/>
      <c r="N22" s="400" t="inlineStr"/>
      <c r="O22" s="394" t="inlineStr"/>
      <c r="P22" s="394" t="inlineStr"/>
      <c r="Q22" s="394" t="inlineStr"/>
      <c r="R22" s="397" t="inlineStr"/>
      <c r="S22" s="400" t="inlineStr"/>
      <c r="T22" s="394" t="inlineStr"/>
      <c r="U22" s="394" t="inlineStr"/>
      <c r="V22" s="394" t="inlineStr"/>
      <c r="W22" s="397" t="inlineStr"/>
      <c r="X22" s="400" t="inlineStr"/>
      <c r="Y22" s="394" t="inlineStr"/>
      <c r="Z22" s="394" t="inlineStr"/>
      <c r="AA22" s="394" t="inlineStr"/>
      <c r="AB22" s="397" t="inlineStr"/>
      <c r="AC22" s="400" t="inlineStr"/>
      <c r="AD22" s="394" t="inlineStr"/>
      <c r="AE22" s="394" t="inlineStr"/>
      <c r="AF22" s="394" t="inlineStr"/>
      <c r="AG22" s="397" t="inlineStr"/>
      <c r="AH22" s="400" t="inlineStr"/>
      <c r="AI22" s="394" t="inlineStr"/>
      <c r="AJ22" s="394" t="inlineStr"/>
      <c r="AK22" s="394" t="inlineStr"/>
      <c r="AL22" s="397" t="inlineStr"/>
      <c r="AM22" s="400" t="inlineStr"/>
      <c r="AN22" s="394" t="inlineStr"/>
      <c r="AO22" s="394" t="inlineStr"/>
      <c r="AP22" s="394" t="inlineStr"/>
      <c r="AQ22" s="397" t="inlineStr"/>
      <c r="AR22" s="400" t="inlineStr"/>
      <c r="AS22" s="394" t="inlineStr"/>
      <c r="AT22" s="394" t="inlineStr"/>
      <c r="AU22" s="394" t="inlineStr"/>
      <c r="AV22" s="397" t="inlineStr"/>
      <c r="AW22" s="400" t="inlineStr"/>
      <c r="AX22" s="394" t="inlineStr"/>
      <c r="AY22" s="394" t="inlineStr"/>
      <c r="AZ22" s="394" t="inlineStr"/>
      <c r="BA22" s="397" t="inlineStr"/>
      <c r="BB22" s="400" t="inlineStr"/>
      <c r="BC22" s="394" t="inlineStr"/>
      <c r="BD22" s="394" t="inlineStr"/>
      <c r="BE22" s="394" t="inlineStr"/>
      <c r="BF22" s="397" t="inlineStr"/>
      <c r="BG22" s="400" t="inlineStr"/>
      <c r="BH22" s="394" t="inlineStr"/>
      <c r="BI22" s="394" t="inlineStr"/>
      <c r="BJ22" s="394" t="inlineStr"/>
      <c r="BK22" s="397" t="inlineStr"/>
      <c r="BL22" s="400" t="inlineStr"/>
      <c r="BM22" s="394" t="inlineStr"/>
      <c r="BN22" s="394" t="inlineStr"/>
      <c r="BO22" s="394" t="inlineStr"/>
      <c r="BP22" s="439" t="n">
        <v>0.207</v>
      </c>
      <c r="BQ22" s="442" t="n">
        <v>0.208</v>
      </c>
      <c r="BR22" s="436" t="n">
        <v>0.209</v>
      </c>
      <c r="BS22" s="436" t="n">
        <v>0.201</v>
      </c>
      <c r="BT22" s="397" t="inlineStr"/>
      <c r="BU22" s="454">
        <f>IFERROR(AVERAGE(D22:BT24),0)</f>
        <v/>
      </c>
      <c r="BV22" s="454">
        <f>MIN(D22:BT24)</f>
        <v/>
      </c>
      <c r="BW22" s="238" t="n"/>
      <c r="BX22" s="238" t="n"/>
      <c r="BY22" s="238" t="n"/>
      <c r="BZ22" s="238" t="n"/>
      <c r="CA22" s="238" t="n"/>
      <c r="CB22" s="238" t="n"/>
      <c r="CC22" s="238" t="n"/>
      <c r="CD22" s="238" t="n"/>
      <c r="CE22" s="238" t="n"/>
      <c r="CF22" s="238" t="n"/>
      <c r="CG22" s="238" t="n"/>
      <c r="CH22" s="238" t="n"/>
      <c r="CI22" s="238" t="n"/>
      <c r="CJ22" s="238" t="n"/>
      <c r="CK22" s="238" t="n"/>
      <c r="CL22" s="238" t="n"/>
      <c r="CM22" s="238" t="n"/>
      <c r="CN22" s="238" t="n"/>
      <c r="CO22" s="238" t="n"/>
      <c r="CP22" s="238" t="n"/>
      <c r="CQ22" s="238" t="n"/>
      <c r="CR22" s="238" t="n"/>
      <c r="CS22" s="238" t="n"/>
      <c r="CT22" s="238" t="n"/>
      <c r="CU22" s="238" t="n"/>
      <c r="CV22" s="238" t="n"/>
      <c r="CW22" s="238" t="n"/>
      <c r="CX22" s="238" t="n"/>
      <c r="CY22" s="238" t="n"/>
      <c r="CZ22" s="238" t="n"/>
      <c r="DA22" s="238" t="n"/>
      <c r="DB22" s="238" t="n"/>
      <c r="DC22" s="238" t="n"/>
      <c r="DD22" s="238" t="n"/>
      <c r="DE22" s="238" t="n"/>
      <c r="DF22" s="238" t="n"/>
      <c r="DG22" s="238" t="n"/>
      <c r="DH22" s="238" t="n"/>
      <c r="DI22" s="238" t="n"/>
      <c r="DJ22" s="238" t="n"/>
      <c r="DK22" s="238" t="n"/>
      <c r="DL22" s="238" t="n"/>
      <c r="DM22" s="238" t="n"/>
      <c r="DN22" s="238" t="n"/>
      <c r="DO22" s="238" t="n"/>
      <c r="DP22" s="238" t="n"/>
      <c r="DQ22" s="238" t="n"/>
      <c r="DR22" s="238" t="n"/>
      <c r="DS22" s="238" t="n"/>
      <c r="DT22" s="238" t="n"/>
      <c r="DU22" s="238" t="n"/>
      <c r="DV22" s="238" t="n"/>
      <c r="DW22" s="238" t="n"/>
      <c r="DX22" s="238" t="n"/>
      <c r="DY22" s="238" t="n"/>
      <c r="DZ22" s="23" t="n"/>
      <c r="FQ22" s="212" t="n"/>
      <c r="FR22" s="212" t="n"/>
      <c r="FS22" s="212" t="n"/>
      <c r="FT22" s="212" t="n"/>
      <c r="FU22" s="212" t="n"/>
      <c r="FV22" s="212" t="n"/>
      <c r="FW22" s="212" t="n"/>
      <c r="FX22" s="212" t="n"/>
      <c r="FY22" s="212" t="n"/>
      <c r="FZ22" s="212" t="n"/>
    </row>
    <row r="23" ht="39.95" customFormat="1" customHeight="1" s="5">
      <c r="A23" s="182" t="n">
        <v>0.083</v>
      </c>
      <c r="B23" s="7" t="inlineStr">
        <is>
          <t>OF THE</t>
        </is>
      </c>
      <c r="C23" s="11" t="inlineStr">
        <is>
          <t>C</t>
        </is>
      </c>
      <c r="D23" s="392" t="inlineStr"/>
      <c r="E23" s="437" t="n">
        <v>0.214</v>
      </c>
      <c r="F23" s="437" t="n">
        <v>0.21</v>
      </c>
      <c r="G23" s="437" t="n">
        <v>0.208</v>
      </c>
      <c r="H23" s="440" t="n">
        <v>0.209</v>
      </c>
      <c r="I23" s="401" t="inlineStr"/>
      <c r="J23" s="395" t="inlineStr"/>
      <c r="K23" s="395" t="inlineStr"/>
      <c r="L23" s="395" t="inlineStr"/>
      <c r="M23" s="398" t="inlineStr"/>
      <c r="N23" s="401" t="inlineStr"/>
      <c r="O23" s="395" t="inlineStr"/>
      <c r="P23" s="395" t="inlineStr"/>
      <c r="Q23" s="395" t="inlineStr"/>
      <c r="R23" s="398" t="inlineStr"/>
      <c r="S23" s="401" t="inlineStr"/>
      <c r="T23" s="395" t="inlineStr"/>
      <c r="U23" s="395" t="inlineStr"/>
      <c r="V23" s="395" t="inlineStr"/>
      <c r="W23" s="398" t="inlineStr"/>
      <c r="X23" s="401" t="inlineStr"/>
      <c r="Y23" s="395" t="inlineStr"/>
      <c r="Z23" s="395" t="inlineStr"/>
      <c r="AA23" s="395" t="inlineStr"/>
      <c r="AB23" s="398" t="inlineStr"/>
      <c r="AC23" s="401" t="inlineStr"/>
      <c r="AD23" s="395" t="inlineStr"/>
      <c r="AE23" s="395" t="inlineStr"/>
      <c r="AF23" s="395" t="inlineStr"/>
      <c r="AG23" s="398" t="inlineStr"/>
      <c r="AH23" s="401" t="inlineStr"/>
      <c r="AI23" s="395" t="inlineStr"/>
      <c r="AJ23" s="395" t="inlineStr"/>
      <c r="AK23" s="395" t="inlineStr"/>
      <c r="AL23" s="398" t="inlineStr"/>
      <c r="AM23" s="401" t="inlineStr"/>
      <c r="AN23" s="395" t="inlineStr"/>
      <c r="AO23" s="395" t="inlineStr"/>
      <c r="AP23" s="395" t="inlineStr"/>
      <c r="AQ23" s="398" t="inlineStr"/>
      <c r="AR23" s="401" t="inlineStr"/>
      <c r="AS23" s="395" t="inlineStr"/>
      <c r="AT23" s="395" t="inlineStr"/>
      <c r="AU23" s="395" t="inlineStr"/>
      <c r="AV23" s="398" t="inlineStr"/>
      <c r="AW23" s="401" t="inlineStr"/>
      <c r="AX23" s="395" t="inlineStr"/>
      <c r="AY23" s="395" t="inlineStr"/>
      <c r="AZ23" s="395" t="inlineStr"/>
      <c r="BA23" s="398" t="inlineStr"/>
      <c r="BB23" s="401" t="inlineStr"/>
      <c r="BC23" s="395" t="inlineStr"/>
      <c r="BD23" s="395" t="inlineStr"/>
      <c r="BE23" s="395" t="inlineStr"/>
      <c r="BF23" s="398" t="inlineStr"/>
      <c r="BG23" s="401" t="inlineStr"/>
      <c r="BH23" s="395" t="inlineStr"/>
      <c r="BI23" s="395" t="inlineStr"/>
      <c r="BJ23" s="395" t="inlineStr"/>
      <c r="BK23" s="398" t="inlineStr"/>
      <c r="BL23" s="401" t="inlineStr"/>
      <c r="BM23" s="395" t="inlineStr"/>
      <c r="BN23" s="395" t="inlineStr"/>
      <c r="BO23" s="395" t="inlineStr"/>
      <c r="BP23" s="440" t="n">
        <v>0.202</v>
      </c>
      <c r="BQ23" s="443" t="n">
        <v>0.212</v>
      </c>
      <c r="BR23" s="395" t="n">
        <v>0.222</v>
      </c>
      <c r="BS23" s="437" t="n">
        <v>0.196</v>
      </c>
      <c r="BT23" s="398" t="inlineStr"/>
      <c r="BU23" s="455" t="n"/>
      <c r="BV23" s="455" t="n"/>
      <c r="BW23" s="238" t="n"/>
      <c r="BX23" s="238" t="n"/>
      <c r="BY23" s="238" t="n"/>
      <c r="BZ23" s="238" t="n"/>
      <c r="CA23" s="238" t="n"/>
      <c r="CB23" s="238" t="n"/>
      <c r="CC23" s="238" t="n"/>
      <c r="CD23" s="238" t="n"/>
      <c r="CE23" s="238" t="n"/>
      <c r="CF23" s="238" t="n"/>
      <c r="CG23" s="238" t="n"/>
      <c r="CH23" s="238" t="n"/>
      <c r="CI23" s="238" t="n"/>
      <c r="CJ23" s="238" t="n"/>
      <c r="CK23" s="238" t="n"/>
      <c r="CL23" s="238" t="n"/>
      <c r="CM23" s="238" t="n"/>
      <c r="CN23" s="238" t="n"/>
      <c r="CO23" s="238" t="n"/>
      <c r="CP23" s="238" t="n"/>
      <c r="CQ23" s="238" t="n"/>
      <c r="CR23" s="238" t="n"/>
      <c r="CS23" s="238" t="n"/>
      <c r="CT23" s="238" t="n"/>
      <c r="CU23" s="238" t="n"/>
      <c r="CV23" s="238" t="n"/>
      <c r="CW23" s="238" t="n"/>
      <c r="CX23" s="238" t="n"/>
      <c r="CY23" s="238" t="n"/>
      <c r="CZ23" s="238" t="n"/>
      <c r="DA23" s="238" t="n"/>
      <c r="DB23" s="238" t="n"/>
      <c r="DC23" s="238" t="n"/>
      <c r="DD23" s="238" t="n"/>
      <c r="DE23" s="238" t="n"/>
      <c r="DF23" s="238" t="n"/>
      <c r="DG23" s="238" t="n"/>
      <c r="DH23" s="238" t="n"/>
      <c r="DI23" s="238" t="n"/>
      <c r="DJ23" s="238" t="n"/>
      <c r="DK23" s="238" t="n"/>
      <c r="DL23" s="238" t="n"/>
      <c r="DM23" s="238" t="n"/>
      <c r="DN23" s="238" t="n"/>
      <c r="DO23" s="238" t="n"/>
      <c r="DP23" s="238" t="n"/>
      <c r="DQ23" s="238" t="n"/>
      <c r="DR23" s="238" t="n"/>
      <c r="DS23" s="238" t="n"/>
      <c r="DT23" s="238" t="n"/>
      <c r="DU23" s="238" t="n"/>
      <c r="DV23" s="238" t="n"/>
      <c r="DW23" s="238" t="n"/>
      <c r="DX23" s="238" t="n"/>
      <c r="DY23" s="238" t="n"/>
      <c r="DZ23" s="23" t="n"/>
      <c r="FQ23" s="212" t="n"/>
      <c r="FR23" s="212" t="n"/>
      <c r="FS23" s="212" t="n"/>
      <c r="FT23" s="212" t="n"/>
      <c r="FU23" s="212" t="n"/>
      <c r="FV23" s="212" t="n"/>
      <c r="FW23" s="212" t="n"/>
      <c r="FX23" s="212" t="n"/>
      <c r="FY23" s="212" t="n"/>
      <c r="FZ23" s="212" t="n"/>
    </row>
    <row r="24" ht="39.95" customFormat="1" customHeight="1" s="5">
      <c r="A24" s="456" t="n"/>
      <c r="B24" s="8" t="inlineStr">
        <is>
          <t>OB PORTS</t>
        </is>
      </c>
      <c r="C24" s="12" t="inlineStr">
        <is>
          <t>R</t>
        </is>
      </c>
      <c r="D24" s="393" t="inlineStr"/>
      <c r="E24" s="438" t="n">
        <v>0.208</v>
      </c>
      <c r="F24" s="438" t="n">
        <v>0.219</v>
      </c>
      <c r="G24" s="438" t="n">
        <v>0.194</v>
      </c>
      <c r="H24" s="441" t="n">
        <v>0.209</v>
      </c>
      <c r="I24" s="402" t="inlineStr"/>
      <c r="J24" s="396" t="inlineStr"/>
      <c r="K24" s="396" t="inlineStr"/>
      <c r="L24" s="396" t="inlineStr"/>
      <c r="M24" s="399" t="inlineStr"/>
      <c r="N24" s="402" t="inlineStr"/>
      <c r="O24" s="396" t="inlineStr"/>
      <c r="P24" s="396" t="inlineStr"/>
      <c r="Q24" s="396" t="inlineStr"/>
      <c r="R24" s="399" t="inlineStr"/>
      <c r="S24" s="402" t="inlineStr"/>
      <c r="T24" s="396" t="inlineStr"/>
      <c r="U24" s="396" t="inlineStr"/>
      <c r="V24" s="396" t="inlineStr"/>
      <c r="W24" s="399" t="inlineStr"/>
      <c r="X24" s="402" t="inlineStr"/>
      <c r="Y24" s="396" t="inlineStr"/>
      <c r="Z24" s="396" t="inlineStr"/>
      <c r="AA24" s="396" t="inlineStr"/>
      <c r="AB24" s="399" t="inlineStr"/>
      <c r="AC24" s="402" t="inlineStr"/>
      <c r="AD24" s="396" t="inlineStr"/>
      <c r="AE24" s="396" t="inlineStr"/>
      <c r="AF24" s="396" t="inlineStr"/>
      <c r="AG24" s="399" t="inlineStr"/>
      <c r="AH24" s="402" t="inlineStr"/>
      <c r="AI24" s="396" t="inlineStr"/>
      <c r="AJ24" s="396" t="inlineStr"/>
      <c r="AK24" s="396" t="inlineStr"/>
      <c r="AL24" s="399" t="inlineStr"/>
      <c r="AM24" s="402" t="inlineStr"/>
      <c r="AN24" s="396" t="inlineStr"/>
      <c r="AO24" s="396" t="inlineStr"/>
      <c r="AP24" s="396" t="inlineStr"/>
      <c r="AQ24" s="399" t="inlineStr"/>
      <c r="AR24" s="402" t="inlineStr"/>
      <c r="AS24" s="396" t="inlineStr"/>
      <c r="AT24" s="396" t="inlineStr"/>
      <c r="AU24" s="396" t="inlineStr"/>
      <c r="AV24" s="399" t="inlineStr"/>
      <c r="AW24" s="402" t="inlineStr"/>
      <c r="AX24" s="396" t="inlineStr"/>
      <c r="AY24" s="396" t="inlineStr"/>
      <c r="AZ24" s="396" t="inlineStr"/>
      <c r="BA24" s="399" t="inlineStr"/>
      <c r="BB24" s="402" t="inlineStr"/>
      <c r="BC24" s="396" t="inlineStr"/>
      <c r="BD24" s="396" t="inlineStr"/>
      <c r="BE24" s="396" t="inlineStr"/>
      <c r="BF24" s="399" t="inlineStr"/>
      <c r="BG24" s="402" t="inlineStr"/>
      <c r="BH24" s="396" t="inlineStr"/>
      <c r="BI24" s="396" t="inlineStr"/>
      <c r="BJ24" s="396" t="inlineStr"/>
      <c r="BK24" s="399" t="inlineStr"/>
      <c r="BL24" s="402" t="inlineStr"/>
      <c r="BM24" s="396" t="inlineStr"/>
      <c r="BN24" s="396" t="inlineStr"/>
      <c r="BO24" s="396" t="inlineStr"/>
      <c r="BP24" s="441" t="n">
        <v>0.197</v>
      </c>
      <c r="BQ24" s="402" t="n">
        <v>0.216</v>
      </c>
      <c r="BR24" s="438" t="n">
        <v>0.212</v>
      </c>
      <c r="BS24" s="438" t="n">
        <v>0.202</v>
      </c>
      <c r="BT24" s="399" t="inlineStr"/>
      <c r="BU24" s="457" t="n"/>
      <c r="BV24" s="457" t="n"/>
      <c r="BW24" s="238" t="n"/>
      <c r="BX24" s="238" t="n"/>
      <c r="BY24" s="238" t="n"/>
      <c r="BZ24" s="238" t="n"/>
      <c r="CA24" s="238" t="n"/>
      <c r="CB24" s="238" t="n"/>
      <c r="CC24" s="238" t="n"/>
      <c r="CD24" s="238" t="n"/>
      <c r="CE24" s="238" t="n"/>
      <c r="CF24" s="238" t="n"/>
      <c r="CG24" s="238" t="n"/>
      <c r="CH24" s="238" t="n"/>
      <c r="CI24" s="238" t="n"/>
      <c r="CJ24" s="238" t="n"/>
      <c r="CK24" s="238" t="n"/>
      <c r="CL24" s="238" t="n"/>
      <c r="CM24" s="238" t="n"/>
      <c r="CN24" s="238" t="n"/>
      <c r="CO24" s="238" t="n"/>
      <c r="CP24" s="238" t="n"/>
      <c r="CQ24" s="238" t="n"/>
      <c r="CR24" s="238" t="n"/>
      <c r="CS24" s="238" t="n"/>
      <c r="CT24" s="238" t="n"/>
      <c r="CU24" s="238" t="n"/>
      <c r="CV24" s="238" t="n"/>
      <c r="CW24" s="238" t="n"/>
      <c r="CX24" s="238" t="n"/>
      <c r="CY24" s="238" t="n"/>
      <c r="CZ24" s="238" t="n"/>
      <c r="DA24" s="238" t="n"/>
      <c r="DB24" s="238" t="n"/>
      <c r="DC24" s="238" t="n"/>
      <c r="DD24" s="238" t="n"/>
      <c r="DE24" s="238" t="n"/>
      <c r="DF24" s="238" t="n"/>
      <c r="DG24" s="238" t="n"/>
      <c r="DH24" s="238" t="n"/>
      <c r="DI24" s="238" t="n"/>
      <c r="DJ24" s="238" t="n"/>
      <c r="DK24" s="238" t="n"/>
      <c r="DL24" s="238" t="n"/>
      <c r="DM24" s="238" t="n"/>
      <c r="DN24" s="238" t="n"/>
      <c r="DO24" s="238" t="n"/>
      <c r="DP24" s="238" t="n"/>
      <c r="DQ24" s="238" t="n"/>
      <c r="DR24" s="238" t="n"/>
      <c r="DS24" s="238" t="n"/>
      <c r="DT24" s="238" t="n"/>
      <c r="DU24" s="238" t="n"/>
      <c r="DV24" s="238" t="n"/>
      <c r="DW24" s="238" t="n"/>
      <c r="DX24" s="238" t="n"/>
      <c r="DY24" s="238" t="n"/>
      <c r="DZ24" s="23" t="n"/>
      <c r="FQ24" s="212" t="n"/>
      <c r="FR24" s="212" t="n"/>
      <c r="FS24" s="212" t="n"/>
      <c r="FT24" s="212" t="n"/>
      <c r="FU24" s="212" t="n"/>
      <c r="FV24" s="212" t="n"/>
      <c r="FW24" s="212" t="n"/>
      <c r="FX24" s="212" t="n"/>
      <c r="FY24" s="212" t="n"/>
      <c r="FZ24" s="212" t="n"/>
    </row>
    <row r="25" ht="39.95" customFormat="1" customHeight="1" s="5">
      <c r="A25" s="10" t="inlineStr">
        <is>
          <t>A</t>
        </is>
      </c>
      <c r="B25" s="6" t="n"/>
      <c r="C25" s="11" t="inlineStr">
        <is>
          <t>L</t>
        </is>
      </c>
      <c r="D25" s="433" t="n">
        <v>0.196</v>
      </c>
      <c r="E25" s="436" t="n">
        <v>0.222</v>
      </c>
      <c r="F25" s="99" t="n">
        <v>0.224</v>
      </c>
      <c r="G25" s="99" t="n">
        <v>0.223</v>
      </c>
      <c r="H25" s="439" t="n">
        <v>0.208</v>
      </c>
      <c r="I25" s="400" t="n">
        <v>0.013</v>
      </c>
      <c r="J25" s="99" t="n">
        <v>0.27</v>
      </c>
      <c r="K25" s="394" t="n">
        <v>0.279</v>
      </c>
      <c r="L25" s="394" t="n">
        <v>0.252</v>
      </c>
      <c r="M25" s="100" t="n">
        <v>0.257</v>
      </c>
      <c r="N25" s="442" t="n">
        <v>0.236</v>
      </c>
      <c r="O25" s="394" t="n">
        <v>0.23</v>
      </c>
      <c r="P25" s="436" t="n">
        <v>0.194</v>
      </c>
      <c r="Q25" s="436" t="n">
        <v>0.163</v>
      </c>
      <c r="R25" s="439" t="n">
        <v>0.192</v>
      </c>
      <c r="S25" s="98" t="n">
        <v>0.203</v>
      </c>
      <c r="T25" s="99" t="n">
        <v>0.206</v>
      </c>
      <c r="U25" s="436" t="n">
        <v>0.172</v>
      </c>
      <c r="V25" s="436" t="n">
        <v>0.205</v>
      </c>
      <c r="W25" s="439" t="n">
        <v>0.179</v>
      </c>
      <c r="X25" s="442" t="n">
        <v>0.191</v>
      </c>
      <c r="Y25" s="436" t="n">
        <v>0.174</v>
      </c>
      <c r="Z25" s="436" t="n">
        <v>0.147</v>
      </c>
      <c r="AA25" s="436" t="n">
        <v>0.19</v>
      </c>
      <c r="AB25" s="439" t="n">
        <v>0.16</v>
      </c>
      <c r="AC25" s="442" t="n">
        <v>0.174</v>
      </c>
      <c r="AD25" s="436" t="n">
        <v>0.188</v>
      </c>
      <c r="AE25" s="436" t="n">
        <v>0.195</v>
      </c>
      <c r="AF25" s="436" t="n">
        <v>0.198</v>
      </c>
      <c r="AG25" s="439" t="n">
        <v>0.183</v>
      </c>
      <c r="AH25" s="98" t="n">
        <v>0.206</v>
      </c>
      <c r="AI25" s="436" t="n">
        <v>0.177</v>
      </c>
      <c r="AJ25" s="99" t="n">
        <v>0.21</v>
      </c>
      <c r="AK25" s="436" t="n">
        <v>0.205</v>
      </c>
      <c r="AL25" s="397" t="n">
        <v>0.226</v>
      </c>
      <c r="AM25" s="442" t="n">
        <v>0.17</v>
      </c>
      <c r="AN25" s="436" t="n">
        <v>0.156</v>
      </c>
      <c r="AO25" s="436" t="n">
        <v>0.123</v>
      </c>
      <c r="AP25" s="436" t="n">
        <v>0.14</v>
      </c>
      <c r="AQ25" s="439" t="n">
        <v>0.163</v>
      </c>
      <c r="AR25" s="442" t="n">
        <v>0.141</v>
      </c>
      <c r="AS25" s="394" t="n">
        <v>0.187</v>
      </c>
      <c r="AT25" s="394" t="n">
        <v>0.237</v>
      </c>
      <c r="AU25" s="394" t="n">
        <v>0.233</v>
      </c>
      <c r="AV25" s="439" t="n">
        <v>0.146</v>
      </c>
      <c r="AW25" s="442" t="n">
        <v>0.157</v>
      </c>
      <c r="AX25" s="99" t="n">
        <v>0.216</v>
      </c>
      <c r="AY25" s="436" t="n">
        <v>0.197</v>
      </c>
      <c r="AZ25" s="99" t="n">
        <v>0.216</v>
      </c>
      <c r="BA25" s="439" t="n">
        <v>0.155</v>
      </c>
      <c r="BB25" s="400" t="n">
        <v>0.186</v>
      </c>
      <c r="BC25" s="436" t="n">
        <v>0.153</v>
      </c>
      <c r="BD25" s="436" t="n">
        <v>0.2</v>
      </c>
      <c r="BE25" s="436" t="n">
        <v>0.174</v>
      </c>
      <c r="BF25" s="439" t="n">
        <v>0.142</v>
      </c>
      <c r="BG25" s="98" t="n">
        <v>0.216</v>
      </c>
      <c r="BH25" s="436" t="n">
        <v>0.203</v>
      </c>
      <c r="BI25" s="436" t="n">
        <v>0.201</v>
      </c>
      <c r="BJ25" s="436" t="n">
        <v>0.199</v>
      </c>
      <c r="BK25" s="397" t="n">
        <v>0.211</v>
      </c>
      <c r="BL25" s="442" t="n">
        <v>0.203</v>
      </c>
      <c r="BM25" s="436" t="n">
        <v>0.202</v>
      </c>
      <c r="BN25" s="436" t="n">
        <v>0.214</v>
      </c>
      <c r="BO25" s="436" t="n">
        <v>0.214</v>
      </c>
      <c r="BP25" s="439" t="n">
        <v>0.216</v>
      </c>
      <c r="BQ25" s="400" t="n">
        <v>0.206</v>
      </c>
      <c r="BR25" s="394" t="n">
        <v>0.204</v>
      </c>
      <c r="BS25" s="436" t="n">
        <v>0.207</v>
      </c>
      <c r="BT25" s="397" t="n">
        <v>0.18</v>
      </c>
      <c r="BU25" s="454">
        <f>IFERROR(AVERAGE(D25:BT27),0)</f>
        <v/>
      </c>
      <c r="BV25" s="454">
        <f>MIN(D25:BT27)</f>
        <v/>
      </c>
      <c r="BW25" s="238" t="n"/>
      <c r="BX25" s="238" t="n"/>
      <c r="BY25" s="238" t="n"/>
      <c r="BZ25" s="238" t="n"/>
      <c r="CA25" s="238" t="n"/>
      <c r="CB25" s="238" t="n"/>
      <c r="CC25" s="238" t="n"/>
      <c r="CD25" s="238" t="n"/>
      <c r="CE25" s="238" t="n"/>
      <c r="CF25" s="238" t="n"/>
      <c r="CG25" s="238" t="n"/>
      <c r="CH25" s="238" t="n"/>
      <c r="CI25" s="238" t="n"/>
      <c r="CJ25" s="238" t="n"/>
      <c r="CK25" s="238" t="n"/>
      <c r="CL25" s="238" t="n"/>
      <c r="CM25" s="238" t="n"/>
      <c r="CN25" s="238" t="n"/>
      <c r="CO25" s="238" t="n"/>
      <c r="CP25" s="238" t="n"/>
      <c r="CQ25" s="238" t="n"/>
      <c r="CR25" s="238" t="n"/>
      <c r="CS25" s="238" t="n"/>
      <c r="CT25" s="238" t="n"/>
      <c r="CU25" s="238" t="n"/>
      <c r="CV25" s="238" t="n"/>
      <c r="CW25" s="238" t="n"/>
      <c r="CX25" s="238" t="n"/>
      <c r="CY25" s="238" t="n"/>
      <c r="CZ25" s="238" t="n"/>
      <c r="DA25" s="238" t="n"/>
      <c r="DB25" s="238" t="n"/>
      <c r="DC25" s="238" t="n"/>
      <c r="DD25" s="238" t="n"/>
      <c r="DE25" s="238" t="n"/>
      <c r="DF25" s="238" t="n"/>
      <c r="DG25" s="238" t="n"/>
      <c r="DH25" s="238" t="n"/>
      <c r="DI25" s="238" t="n"/>
      <c r="DJ25" s="238" t="n"/>
      <c r="DK25" s="238" t="n"/>
      <c r="DL25" s="238" t="n"/>
      <c r="DM25" s="238" t="n"/>
      <c r="DN25" s="238" t="n"/>
      <c r="DO25" s="238" t="n"/>
      <c r="DP25" s="238" t="n"/>
      <c r="DQ25" s="238" t="n"/>
      <c r="DR25" s="238" t="n"/>
      <c r="DS25" s="238" t="n"/>
      <c r="DT25" s="238" t="n"/>
      <c r="DU25" s="238" t="n"/>
      <c r="DV25" s="238" t="n"/>
      <c r="DW25" s="238" t="n"/>
      <c r="DX25" s="238" t="n"/>
      <c r="DY25" s="238" t="n"/>
      <c r="DZ25" s="23" t="n"/>
      <c r="FQ25" s="212" t="n"/>
      <c r="FR25" s="212" t="n"/>
      <c r="FS25" s="212" t="n"/>
      <c r="FT25" s="212" t="n"/>
      <c r="FU25" s="212" t="n"/>
      <c r="FV25" s="212" t="n"/>
      <c r="FW25" s="212" t="n"/>
      <c r="FX25" s="212" t="n"/>
      <c r="FY25" s="212" t="n"/>
      <c r="FZ25" s="212" t="n"/>
    </row>
    <row r="26" ht="39.95" customFormat="1" customHeight="1" s="5">
      <c r="A26" s="182" t="n">
        <v>0.083</v>
      </c>
      <c r="B26" s="7" t="inlineStr">
        <is>
          <t>+10 FT 6 IN</t>
        </is>
      </c>
      <c r="C26" s="11" t="inlineStr">
        <is>
          <t>C</t>
        </is>
      </c>
      <c r="D26" s="392" t="n">
        <v>0.202</v>
      </c>
      <c r="E26" s="437" t="n">
        <v>0.22</v>
      </c>
      <c r="F26" s="101" t="n">
        <v>0.224</v>
      </c>
      <c r="G26" s="437" t="n">
        <v>0.217</v>
      </c>
      <c r="H26" s="440" t="n">
        <v>0.205</v>
      </c>
      <c r="I26" s="401" t="n">
        <v>0.001</v>
      </c>
      <c r="J26" s="101" t="n">
        <v>0.264</v>
      </c>
      <c r="K26" s="395" t="n">
        <v>0.243</v>
      </c>
      <c r="L26" s="395" t="n">
        <v>0.247</v>
      </c>
      <c r="M26" s="398" t="n">
        <v>0.271</v>
      </c>
      <c r="N26" s="103" t="n">
        <v>0.253</v>
      </c>
      <c r="O26" s="395" t="n">
        <v>0.233</v>
      </c>
      <c r="P26" s="437" t="n">
        <v>0.174</v>
      </c>
      <c r="Q26" s="437" t="n">
        <v>0.211</v>
      </c>
      <c r="R26" s="440" t="n">
        <v>0.198</v>
      </c>
      <c r="S26" s="103" t="n">
        <v>0.206</v>
      </c>
      <c r="T26" s="437" t="n">
        <v>0.187</v>
      </c>
      <c r="U26" s="101" t="n">
        <v>0.194</v>
      </c>
      <c r="V26" s="437" t="n">
        <v>0.166</v>
      </c>
      <c r="W26" s="440" t="n">
        <v>0.174</v>
      </c>
      <c r="X26" s="443" t="n">
        <v>0.183</v>
      </c>
      <c r="Y26" s="437" t="n">
        <v>0.162</v>
      </c>
      <c r="Z26" s="395" t="n">
        <v>0.217</v>
      </c>
      <c r="AA26" s="101" t="n">
        <v>0.199</v>
      </c>
      <c r="AB26" s="440" t="n">
        <v>0.181</v>
      </c>
      <c r="AC26" s="443" t="n">
        <v>0.185</v>
      </c>
      <c r="AD26" s="101" t="n">
        <v>0.206</v>
      </c>
      <c r="AE26" s="437" t="n">
        <v>0.204</v>
      </c>
      <c r="AF26" s="437" t="n">
        <v>0.186</v>
      </c>
      <c r="AG26" s="440" t="n">
        <v>0.197</v>
      </c>
      <c r="AH26" s="103" t="n">
        <v>0.2</v>
      </c>
      <c r="AI26" s="437" t="n">
        <v>0.201</v>
      </c>
      <c r="AJ26" s="101" t="n">
        <v>0.223</v>
      </c>
      <c r="AK26" s="101" t="n">
        <v>0.226</v>
      </c>
      <c r="AL26" s="102" t="n">
        <v>0.226</v>
      </c>
      <c r="AM26" s="103" t="n">
        <v>0.2</v>
      </c>
      <c r="AN26" s="101" t="n">
        <v>0.207</v>
      </c>
      <c r="AO26" s="437" t="n">
        <v>0.191</v>
      </c>
      <c r="AP26" s="437" t="n">
        <v>0.145</v>
      </c>
      <c r="AQ26" s="440" t="n">
        <v>0.162</v>
      </c>
      <c r="AR26" s="103" t="n">
        <v>0.207</v>
      </c>
      <c r="AS26" s="437" t="n">
        <v>0.089</v>
      </c>
      <c r="AT26" s="437" t="n">
        <v>0.163</v>
      </c>
      <c r="AU26" s="437" t="n">
        <v>0.155</v>
      </c>
      <c r="AV26" s="440" t="n">
        <v>0.177</v>
      </c>
      <c r="AW26" s="443" t="n">
        <v>0.147</v>
      </c>
      <c r="AX26" s="101" t="n">
        <v>0.212</v>
      </c>
      <c r="AY26" s="437" t="n">
        <v>0.187</v>
      </c>
      <c r="AZ26" s="437" t="n">
        <v>0.185</v>
      </c>
      <c r="BA26" s="440" t="n">
        <v>0.188</v>
      </c>
      <c r="BB26" s="443" t="n">
        <v>0.164</v>
      </c>
      <c r="BC26" s="437" t="n">
        <v>0.197</v>
      </c>
      <c r="BD26" s="101" t="n">
        <v>0.21</v>
      </c>
      <c r="BE26" s="101" t="n">
        <v>0.209</v>
      </c>
      <c r="BF26" s="440" t="n">
        <v>0.172</v>
      </c>
      <c r="BG26" s="103" t="n">
        <v>0.223</v>
      </c>
      <c r="BH26" s="437" t="n">
        <v>0.201</v>
      </c>
      <c r="BI26" s="437" t="n">
        <v>0.176</v>
      </c>
      <c r="BJ26" s="437" t="n">
        <v>0.2</v>
      </c>
      <c r="BK26" s="440" t="n">
        <v>0.179</v>
      </c>
      <c r="BL26" s="443" t="n">
        <v>0.197</v>
      </c>
      <c r="BM26" s="437" t="n">
        <v>0.217</v>
      </c>
      <c r="BN26" s="437" t="n">
        <v>0.205</v>
      </c>
      <c r="BO26" s="437" t="n">
        <v>0.213</v>
      </c>
      <c r="BP26" s="440" t="n">
        <v>0.209</v>
      </c>
      <c r="BQ26" s="443" t="n">
        <v>0.205</v>
      </c>
      <c r="BR26" s="395" t="n">
        <v>0.204</v>
      </c>
      <c r="BS26" s="395" t="n">
        <v>0.217</v>
      </c>
      <c r="BT26" s="398" t="n">
        <v>0.16</v>
      </c>
      <c r="BU26" s="455" t="n"/>
      <c r="BV26" s="455" t="n"/>
      <c r="BW26" s="238" t="n"/>
      <c r="BX26" s="238" t="n"/>
      <c r="BY26" s="238" t="n"/>
      <c r="BZ26" s="238" t="n"/>
      <c r="CA26" s="238" t="n"/>
      <c r="CB26" s="238" t="n"/>
      <c r="CC26" s="238" t="n"/>
      <c r="CD26" s="238" t="n"/>
      <c r="CE26" s="238" t="n"/>
      <c r="CF26" s="238" t="n"/>
      <c r="CG26" s="238" t="n"/>
      <c r="CH26" s="238" t="n"/>
      <c r="CI26" s="238" t="n"/>
      <c r="CJ26" s="238" t="n"/>
      <c r="CK26" s="238" t="n"/>
      <c r="CL26" s="238" t="n"/>
      <c r="CM26" s="238" t="n"/>
      <c r="CN26" s="238" t="n"/>
      <c r="CO26" s="238" t="n"/>
      <c r="CP26" s="238" t="n"/>
      <c r="CQ26" s="238" t="n"/>
      <c r="CR26" s="238" t="n"/>
      <c r="CS26" s="238" t="n"/>
      <c r="CT26" s="238" t="n"/>
      <c r="CU26" s="238" t="n"/>
      <c r="CV26" s="238" t="n"/>
      <c r="CW26" s="238" t="n"/>
      <c r="CX26" s="238" t="n"/>
      <c r="CY26" s="238" t="n"/>
      <c r="CZ26" s="238" t="n"/>
      <c r="DA26" s="238" t="n"/>
      <c r="DB26" s="238" t="n"/>
      <c r="DC26" s="238" t="n"/>
      <c r="DD26" s="238" t="n"/>
      <c r="DE26" s="238" t="n"/>
      <c r="DF26" s="238" t="n"/>
      <c r="DG26" s="238" t="n"/>
      <c r="DH26" s="238" t="n"/>
      <c r="DI26" s="238" t="n"/>
      <c r="DJ26" s="238" t="n"/>
      <c r="DK26" s="238" t="n"/>
      <c r="DL26" s="238" t="n"/>
      <c r="DM26" s="238" t="n"/>
      <c r="DN26" s="238" t="n"/>
      <c r="DO26" s="238" t="n"/>
      <c r="DP26" s="238" t="n"/>
      <c r="DQ26" s="238" t="n"/>
      <c r="DR26" s="238" t="n"/>
      <c r="DS26" s="238" t="n"/>
      <c r="DT26" s="238" t="n"/>
      <c r="DU26" s="238" t="n"/>
      <c r="DV26" s="238" t="n"/>
      <c r="DW26" s="238" t="n"/>
      <c r="DX26" s="238" t="n"/>
      <c r="DY26" s="238" t="n"/>
      <c r="DZ26" s="23" t="n"/>
      <c r="FQ26" s="212" t="n"/>
      <c r="FR26" s="212" t="n"/>
      <c r="FS26" s="212" t="n"/>
      <c r="FT26" s="212" t="n"/>
      <c r="FU26" s="212" t="n"/>
      <c r="FV26" s="212" t="n"/>
      <c r="FW26" s="212" t="n"/>
      <c r="FX26" s="212" t="n"/>
      <c r="FY26" s="212" t="n"/>
      <c r="FZ26" s="212" t="n"/>
    </row>
    <row r="27" ht="39.95" customFormat="1" customHeight="1" s="5">
      <c r="A27" s="456" t="n"/>
      <c r="B27" s="8" t="n"/>
      <c r="C27" s="12" t="inlineStr">
        <is>
          <t>R</t>
        </is>
      </c>
      <c r="D27" s="393" t="n">
        <v>0.183</v>
      </c>
      <c r="E27" s="438" t="n">
        <v>0.212</v>
      </c>
      <c r="F27" s="104" t="n">
        <v>0.233</v>
      </c>
      <c r="G27" s="396" t="n">
        <v>0.216</v>
      </c>
      <c r="H27" s="105" t="n">
        <v>0.225</v>
      </c>
      <c r="I27" s="402" t="n">
        <v>0.001</v>
      </c>
      <c r="J27" s="104" t="n">
        <v>0.28</v>
      </c>
      <c r="K27" s="396" t="n">
        <v>0.242</v>
      </c>
      <c r="L27" s="104" t="n">
        <v>0.264</v>
      </c>
      <c r="M27" s="105" t="n">
        <v>0.264</v>
      </c>
      <c r="N27" s="106" t="n">
        <v>0.25</v>
      </c>
      <c r="O27" s="438" t="n">
        <v>0.193</v>
      </c>
      <c r="P27" s="438" t="n">
        <v>0.201</v>
      </c>
      <c r="Q27" s="438" t="n">
        <v>0.215</v>
      </c>
      <c r="R27" s="441" t="n">
        <v>0.187</v>
      </c>
      <c r="S27" s="444" t="n">
        <v>0.179</v>
      </c>
      <c r="T27" s="438" t="n">
        <v>0.189</v>
      </c>
      <c r="U27" s="438" t="n">
        <v>0.183</v>
      </c>
      <c r="V27" s="104" t="n">
        <v>0.207</v>
      </c>
      <c r="W27" s="441" t="n">
        <v>0.169</v>
      </c>
      <c r="X27" s="444" t="n">
        <v>0.194</v>
      </c>
      <c r="Y27" s="438" t="n">
        <v>0.176</v>
      </c>
      <c r="Z27" s="396" t="n">
        <v>0.197</v>
      </c>
      <c r="AA27" s="438" t="n">
        <v>0.188</v>
      </c>
      <c r="AB27" s="441" t="n">
        <v>0.203</v>
      </c>
      <c r="AC27" s="444" t="n">
        <v>0.196</v>
      </c>
      <c r="AD27" s="438" t="n">
        <v>0.101</v>
      </c>
      <c r="AE27" s="104" t="n">
        <v>0.222</v>
      </c>
      <c r="AF27" s="438" t="n">
        <v>0.151</v>
      </c>
      <c r="AG27" s="105" t="n">
        <v>0.204</v>
      </c>
      <c r="AH27" s="444" t="n">
        <v>0.203</v>
      </c>
      <c r="AI27" s="104" t="n">
        <v>0.215</v>
      </c>
      <c r="AJ27" s="438" t="n">
        <v>0.197</v>
      </c>
      <c r="AK27" s="104" t="n">
        <v>0.225</v>
      </c>
      <c r="AL27" s="105" t="n">
        <v>0.225</v>
      </c>
      <c r="AM27" s="106" t="n">
        <v>0.206</v>
      </c>
      <c r="AN27" s="438" t="n">
        <v>0.168</v>
      </c>
      <c r="AO27" s="438" t="n">
        <v>0.148</v>
      </c>
      <c r="AP27" s="438" t="n">
        <v>0.169</v>
      </c>
      <c r="AQ27" s="105" t="n">
        <v>0.221</v>
      </c>
      <c r="AR27" s="444" t="n">
        <v>0.187</v>
      </c>
      <c r="AS27" s="438" t="n">
        <v>0.154</v>
      </c>
      <c r="AT27" s="438" t="n">
        <v>0.162</v>
      </c>
      <c r="AU27" s="438" t="n">
        <v>0.179</v>
      </c>
      <c r="AV27" s="441" t="n">
        <v>0.171</v>
      </c>
      <c r="AW27" s="444" t="n">
        <v>0.144</v>
      </c>
      <c r="AX27" s="438" t="n">
        <v>0.169</v>
      </c>
      <c r="AY27" s="438" t="n">
        <v>0.197</v>
      </c>
      <c r="AZ27" s="438" t="n">
        <v>0.173</v>
      </c>
      <c r="BA27" s="441" t="n">
        <v>0.194</v>
      </c>
      <c r="BB27" s="444" t="n">
        <v>0.162</v>
      </c>
      <c r="BC27" s="438" t="n">
        <v>0.167</v>
      </c>
      <c r="BD27" s="438" t="n">
        <v>0.198</v>
      </c>
      <c r="BE27" s="438" t="n">
        <v>0.187</v>
      </c>
      <c r="BF27" s="441" t="n">
        <v>0.196</v>
      </c>
      <c r="BG27" s="444" t="n">
        <v>0.204</v>
      </c>
      <c r="BH27" s="104" t="n">
        <v>0.216</v>
      </c>
      <c r="BI27" s="438" t="n">
        <v>0.179</v>
      </c>
      <c r="BJ27" s="396" t="n">
        <v>0.186</v>
      </c>
      <c r="BK27" s="441" t="n">
        <v>0.216</v>
      </c>
      <c r="BL27" s="402" t="n">
        <v>0.22</v>
      </c>
      <c r="BM27" s="396" t="n">
        <v>0.215</v>
      </c>
      <c r="BN27" s="438" t="n">
        <v>0.21</v>
      </c>
      <c r="BO27" s="396" t="n">
        <v>0.194</v>
      </c>
      <c r="BP27" s="441" t="n">
        <v>0.204</v>
      </c>
      <c r="BQ27" s="444" t="n">
        <v>0.198</v>
      </c>
      <c r="BR27" s="396" t="n">
        <v>0.192</v>
      </c>
      <c r="BS27" s="396" t="n">
        <v>0.243</v>
      </c>
      <c r="BT27" s="399" t="n">
        <v>0.067</v>
      </c>
      <c r="BU27" s="457" t="n"/>
      <c r="BV27" s="457" t="n"/>
      <c r="BW27" s="238" t="n"/>
      <c r="BX27" s="238" t="n"/>
      <c r="BY27" s="238" t="n"/>
      <c r="BZ27" s="238" t="n"/>
      <c r="CA27" s="238" t="n"/>
      <c r="CB27" s="238" t="n"/>
      <c r="CC27" s="238" t="n"/>
      <c r="CD27" s="238" t="n"/>
      <c r="CE27" s="238" t="n"/>
      <c r="CF27" s="238" t="n"/>
      <c r="CG27" s="238" t="n"/>
      <c r="CH27" s="238" t="n"/>
      <c r="CI27" s="238" t="n"/>
      <c r="CJ27" s="238" t="n"/>
      <c r="CK27" s="238" t="n"/>
      <c r="CL27" s="238" t="n"/>
      <c r="CM27" s="238" t="n"/>
      <c r="CN27" s="238" t="n"/>
      <c r="CO27" s="238" t="n"/>
      <c r="CP27" s="238" t="n"/>
      <c r="CQ27" s="238" t="n"/>
      <c r="CR27" s="238" t="n"/>
      <c r="CS27" s="238" t="n"/>
      <c r="CT27" s="238" t="n"/>
      <c r="CU27" s="238" t="n"/>
      <c r="CV27" s="238" t="n"/>
      <c r="CW27" s="238" t="n"/>
      <c r="CX27" s="238" t="n"/>
      <c r="CY27" s="238" t="n"/>
      <c r="CZ27" s="238" t="n"/>
      <c r="DA27" s="238" t="n"/>
      <c r="DB27" s="238" t="n"/>
      <c r="DC27" s="238" t="n"/>
      <c r="DD27" s="238" t="n"/>
      <c r="DE27" s="238" t="n"/>
      <c r="DF27" s="238" t="n"/>
      <c r="DG27" s="238" t="n"/>
      <c r="DH27" s="238" t="n"/>
      <c r="DI27" s="238" t="n"/>
      <c r="DJ27" s="238" t="n"/>
      <c r="DK27" s="238" t="n"/>
      <c r="DL27" s="238" t="n"/>
      <c r="DM27" s="238" t="n"/>
      <c r="DN27" s="238" t="n"/>
      <c r="DO27" s="238" t="n"/>
      <c r="DP27" s="238" t="n"/>
      <c r="DQ27" s="238" t="n"/>
      <c r="DR27" s="238" t="n"/>
      <c r="DS27" s="238" t="n"/>
      <c r="DT27" s="238" t="n"/>
      <c r="DU27" s="238" t="n"/>
      <c r="DV27" s="238" t="n"/>
      <c r="DW27" s="238" t="n"/>
      <c r="DX27" s="238" t="n"/>
      <c r="DY27" s="238" t="n"/>
      <c r="DZ27" s="23" t="n"/>
      <c r="FQ27" s="212" t="n"/>
      <c r="FR27" s="212" t="n"/>
      <c r="FS27" s="212" t="n"/>
      <c r="FT27" s="212" t="n"/>
      <c r="FU27" s="212" t="n"/>
      <c r="FV27" s="212" t="n"/>
      <c r="FW27" s="212" t="n"/>
      <c r="FX27" s="212" t="n"/>
      <c r="FY27" s="212" t="n"/>
      <c r="FZ27" s="212" t="n"/>
    </row>
    <row r="28" ht="39.95" customFormat="1" customHeight="1" s="5">
      <c r="A28" s="10" t="inlineStr">
        <is>
          <t>A</t>
        </is>
      </c>
      <c r="B28" s="6" t="inlineStr">
        <is>
          <t>POSITION 'A'</t>
        </is>
      </c>
      <c r="C28" s="11" t="inlineStr">
        <is>
          <t>L</t>
        </is>
      </c>
      <c r="D28" s="391" t="inlineStr"/>
      <c r="E28" s="394" t="inlineStr"/>
      <c r="F28" s="394" t="inlineStr"/>
      <c r="G28" s="436" t="n">
        <v>0.207</v>
      </c>
      <c r="H28" s="439" t="n">
        <v>0.212</v>
      </c>
      <c r="I28" s="400" t="n">
        <v>0.263</v>
      </c>
      <c r="J28" s="394" t="n">
        <v>0.232</v>
      </c>
      <c r="K28" s="394" t="n">
        <v>0.275</v>
      </c>
      <c r="L28" s="99" t="n">
        <v>0.272</v>
      </c>
      <c r="M28" s="397" t="n">
        <v>0.253</v>
      </c>
      <c r="N28" s="400" t="n">
        <v>0.265</v>
      </c>
      <c r="O28" s="436" t="n">
        <v>0.204</v>
      </c>
      <c r="P28" s="436" t="n">
        <v>0.207</v>
      </c>
      <c r="Q28" s="394" t="inlineStr"/>
      <c r="R28" s="397" t="inlineStr"/>
      <c r="S28" s="400" t="inlineStr"/>
      <c r="T28" s="394" t="inlineStr"/>
      <c r="U28" s="394" t="inlineStr"/>
      <c r="V28" s="394" t="inlineStr"/>
      <c r="W28" s="397" t="inlineStr"/>
      <c r="X28" s="400" t="inlineStr"/>
      <c r="Y28" s="394" t="inlineStr"/>
      <c r="Z28" s="394" t="inlineStr"/>
      <c r="AA28" s="394" t="inlineStr"/>
      <c r="AB28" s="397" t="inlineStr"/>
      <c r="AC28" s="400" t="inlineStr"/>
      <c r="AD28" s="394" t="inlineStr"/>
      <c r="AE28" s="394" t="inlineStr"/>
      <c r="AF28" s="394" t="inlineStr"/>
      <c r="AG28" s="397" t="inlineStr"/>
      <c r="AH28" s="400" t="inlineStr"/>
      <c r="AI28" s="436" t="n">
        <v>0.188</v>
      </c>
      <c r="AJ28" s="436" t="n">
        <v>0.199</v>
      </c>
      <c r="AK28" s="436" t="n">
        <v>0.203</v>
      </c>
      <c r="AL28" s="439" t="n">
        <v>0.186</v>
      </c>
      <c r="AM28" s="442" t="n">
        <v>0.192</v>
      </c>
      <c r="AN28" s="436" t="n">
        <v>0.166</v>
      </c>
      <c r="AO28" s="394" t="inlineStr"/>
      <c r="AP28" s="394" t="inlineStr"/>
      <c r="AQ28" s="397" t="inlineStr"/>
      <c r="AR28" s="400" t="inlineStr"/>
      <c r="AS28" s="394" t="inlineStr"/>
      <c r="AT28" s="394" t="inlineStr"/>
      <c r="AU28" s="394" t="inlineStr"/>
      <c r="AV28" s="397" t="inlineStr"/>
      <c r="AW28" s="400" t="inlineStr"/>
      <c r="AX28" s="394" t="inlineStr"/>
      <c r="AY28" s="394" t="inlineStr"/>
      <c r="AZ28" s="394" t="inlineStr"/>
      <c r="BA28" s="397" t="inlineStr"/>
      <c r="BB28" s="400" t="inlineStr"/>
      <c r="BC28" s="394" t="inlineStr"/>
      <c r="BD28" s="394" t="inlineStr"/>
      <c r="BE28" s="394" t="inlineStr"/>
      <c r="BF28" s="397" t="inlineStr"/>
      <c r="BG28" s="400" t="inlineStr"/>
      <c r="BH28" s="394" t="inlineStr"/>
      <c r="BI28" s="394" t="inlineStr"/>
      <c r="BJ28" s="394" t="inlineStr"/>
      <c r="BK28" s="397" t="inlineStr"/>
      <c r="BL28" s="400" t="inlineStr"/>
      <c r="BM28" s="394" t="inlineStr"/>
      <c r="BN28" s="394" t="inlineStr"/>
      <c r="BO28" s="394" t="inlineStr"/>
      <c r="BP28" s="397" t="inlineStr"/>
      <c r="BQ28" s="400" t="inlineStr"/>
      <c r="BR28" s="394" t="inlineStr"/>
      <c r="BS28" s="394" t="inlineStr"/>
      <c r="BT28" s="397" t="inlineStr"/>
      <c r="BU28" s="454">
        <f>IFERROR(AVERAGE(D28:BT30),0)</f>
        <v/>
      </c>
      <c r="BV28" s="454">
        <f>MIN(D28:BT30)</f>
        <v/>
      </c>
      <c r="BW28" s="238" t="n"/>
      <c r="BX28" s="238" t="n"/>
      <c r="BY28" s="238" t="n"/>
      <c r="BZ28" s="238" t="n"/>
      <c r="CA28" s="238" t="n"/>
      <c r="CB28" s="238" t="n"/>
      <c r="CC28" s="238" t="n"/>
      <c r="CD28" s="238" t="n"/>
      <c r="CE28" s="238" t="n"/>
      <c r="CF28" s="238" t="n"/>
      <c r="CG28" s="238" t="n"/>
      <c r="CH28" s="238" t="n"/>
      <c r="CI28" s="238" t="n"/>
      <c r="CJ28" s="238" t="n"/>
      <c r="CK28" s="238" t="n"/>
      <c r="CL28" s="238" t="n"/>
      <c r="CM28" s="238" t="n"/>
      <c r="CN28" s="238" t="n"/>
      <c r="CO28" s="238" t="n"/>
      <c r="CP28" s="238" t="n"/>
      <c r="CQ28" s="238" t="n"/>
      <c r="CR28" s="238" t="n"/>
      <c r="CS28" s="238" t="n"/>
      <c r="CT28" s="238" t="n"/>
      <c r="CU28" s="238" t="n"/>
      <c r="CV28" s="238" t="n"/>
      <c r="CW28" s="238" t="n"/>
      <c r="CX28" s="238" t="n"/>
      <c r="CY28" s="238" t="n"/>
      <c r="CZ28" s="238" t="n"/>
      <c r="DA28" s="238" t="n"/>
      <c r="DB28" s="238" t="n"/>
      <c r="DC28" s="238" t="n"/>
      <c r="DD28" s="238" t="n"/>
      <c r="DE28" s="238" t="n"/>
      <c r="DF28" s="238" t="n"/>
      <c r="DG28" s="238" t="n"/>
      <c r="DH28" s="238" t="n"/>
      <c r="DI28" s="238" t="n"/>
      <c r="DJ28" s="238" t="n"/>
      <c r="DK28" s="238" t="n"/>
      <c r="DL28" s="238" t="n"/>
      <c r="DM28" s="238" t="n"/>
      <c r="DN28" s="238" t="n"/>
      <c r="DO28" s="238" t="n"/>
      <c r="DP28" s="238" t="n"/>
      <c r="DQ28" s="238" t="n"/>
      <c r="DR28" s="238" t="n"/>
      <c r="DS28" s="238" t="n"/>
      <c r="DT28" s="238" t="n"/>
      <c r="DU28" s="238" t="n"/>
      <c r="DV28" s="238" t="n"/>
      <c r="DW28" s="238" t="n"/>
      <c r="DX28" s="238" t="n"/>
      <c r="DY28" s="238" t="n"/>
      <c r="DZ28" s="23" t="n"/>
    </row>
    <row r="29" ht="39.95" customFormat="1" customHeight="1" s="5">
      <c r="A29" s="182" t="n">
        <v>0.083</v>
      </c>
      <c r="B29" s="7" t="inlineStr">
        <is>
          <t>OF THE MANWAY</t>
        </is>
      </c>
      <c r="C29" s="11" t="inlineStr">
        <is>
          <t>C</t>
        </is>
      </c>
      <c r="D29" s="392" t="inlineStr"/>
      <c r="E29" s="395" t="inlineStr"/>
      <c r="F29" s="395" t="inlineStr"/>
      <c r="G29" s="437" t="n">
        <v>0.199</v>
      </c>
      <c r="H29" s="440" t="n">
        <v>0.206</v>
      </c>
      <c r="I29" s="401" t="n">
        <v>0.265</v>
      </c>
      <c r="J29" s="395" t="n">
        <v>0.279</v>
      </c>
      <c r="K29" s="395" t="n">
        <v>0.261</v>
      </c>
      <c r="L29" s="101" t="n">
        <v>0.26</v>
      </c>
      <c r="M29" s="398" t="n">
        <v>0.258</v>
      </c>
      <c r="N29" s="401" t="n">
        <v>0.279</v>
      </c>
      <c r="O29" s="437" t="n">
        <v>0.177</v>
      </c>
      <c r="P29" s="437" t="n">
        <v>0.207</v>
      </c>
      <c r="Q29" s="395" t="inlineStr"/>
      <c r="R29" s="398" t="inlineStr"/>
      <c r="S29" s="401" t="inlineStr"/>
      <c r="T29" s="395" t="inlineStr"/>
      <c r="U29" s="395" t="inlineStr"/>
      <c r="V29" s="395" t="inlineStr"/>
      <c r="W29" s="398" t="inlineStr"/>
      <c r="X29" s="401" t="inlineStr"/>
      <c r="Y29" s="395" t="inlineStr"/>
      <c r="Z29" s="395" t="inlineStr"/>
      <c r="AA29" s="395" t="inlineStr"/>
      <c r="AB29" s="398" t="inlineStr"/>
      <c r="AC29" s="401" t="inlineStr"/>
      <c r="AD29" s="395" t="inlineStr"/>
      <c r="AE29" s="395" t="inlineStr"/>
      <c r="AF29" s="395" t="inlineStr"/>
      <c r="AG29" s="398" t="inlineStr"/>
      <c r="AH29" s="401" t="inlineStr"/>
      <c r="AI29" s="437" t="n">
        <v>0.182</v>
      </c>
      <c r="AJ29" s="437" t="n">
        <v>0.188</v>
      </c>
      <c r="AK29" s="437" t="n">
        <v>0.219</v>
      </c>
      <c r="AL29" s="440" t="n">
        <v>0.188</v>
      </c>
      <c r="AM29" s="103" t="n">
        <v>0.236</v>
      </c>
      <c r="AN29" s="437" t="n">
        <v>0.137</v>
      </c>
      <c r="AO29" s="395" t="inlineStr"/>
      <c r="AP29" s="395" t="inlineStr"/>
      <c r="AQ29" s="398" t="inlineStr"/>
      <c r="AR29" s="401" t="inlineStr"/>
      <c r="AS29" s="395" t="inlineStr"/>
      <c r="AT29" s="395" t="inlineStr"/>
      <c r="AU29" s="395" t="inlineStr"/>
      <c r="AV29" s="398" t="inlineStr"/>
      <c r="AW29" s="401" t="inlineStr"/>
      <c r="AX29" s="395" t="inlineStr"/>
      <c r="AY29" s="395" t="inlineStr"/>
      <c r="AZ29" s="395" t="inlineStr"/>
      <c r="BA29" s="398" t="inlineStr"/>
      <c r="BB29" s="401" t="inlineStr"/>
      <c r="BC29" s="395" t="inlineStr"/>
      <c r="BD29" s="395" t="inlineStr"/>
      <c r="BE29" s="395" t="inlineStr"/>
      <c r="BF29" s="398" t="inlineStr"/>
      <c r="BG29" s="401" t="inlineStr"/>
      <c r="BH29" s="395" t="inlineStr"/>
      <c r="BI29" s="395" t="inlineStr"/>
      <c r="BJ29" s="395" t="inlineStr"/>
      <c r="BK29" s="398" t="inlineStr"/>
      <c r="BL29" s="401" t="inlineStr"/>
      <c r="BM29" s="395" t="inlineStr"/>
      <c r="BN29" s="395" t="inlineStr"/>
      <c r="BO29" s="395" t="inlineStr"/>
      <c r="BP29" s="398" t="inlineStr"/>
      <c r="BQ29" s="401" t="inlineStr"/>
      <c r="BR29" s="395" t="inlineStr"/>
      <c r="BS29" s="395" t="inlineStr"/>
      <c r="BT29" s="398" t="inlineStr"/>
      <c r="BU29" s="455" t="n"/>
      <c r="BV29" s="455" t="n"/>
      <c r="BW29" s="238" t="n"/>
      <c r="BX29" s="238" t="n"/>
      <c r="BY29" s="238" t="n"/>
      <c r="BZ29" s="238" t="n"/>
      <c r="CA29" s="238" t="n"/>
      <c r="CB29" s="238" t="n"/>
      <c r="CC29" s="238" t="n"/>
      <c r="CD29" s="238" t="n"/>
      <c r="CE29" s="238" t="n"/>
      <c r="CF29" s="238" t="n"/>
      <c r="CG29" s="238" t="n"/>
      <c r="CH29" s="238" t="n"/>
      <c r="CI29" s="238" t="n"/>
      <c r="CJ29" s="238" t="n"/>
      <c r="CK29" s="238" t="n"/>
      <c r="CL29" s="238" t="n"/>
      <c r="CM29" s="238" t="n"/>
      <c r="CN29" s="238" t="n"/>
      <c r="CO29" s="238" t="n"/>
      <c r="CP29" s="238" t="n"/>
      <c r="CQ29" s="238" t="n"/>
      <c r="CR29" s="238" t="n"/>
      <c r="CS29" s="238" t="n"/>
      <c r="CT29" s="238" t="n"/>
      <c r="CU29" s="238" t="n"/>
      <c r="CV29" s="238" t="n"/>
      <c r="CW29" s="238" t="n"/>
      <c r="CX29" s="238" t="n"/>
      <c r="CY29" s="238" t="n"/>
      <c r="CZ29" s="238" t="n"/>
      <c r="DA29" s="238" t="n"/>
      <c r="DB29" s="238" t="n"/>
      <c r="DC29" s="238" t="n"/>
      <c r="DD29" s="238" t="n"/>
      <c r="DE29" s="238" t="n"/>
      <c r="DF29" s="238" t="n"/>
      <c r="DG29" s="238" t="n"/>
      <c r="DH29" s="238" t="n"/>
      <c r="DI29" s="238" t="n"/>
      <c r="DJ29" s="238" t="n"/>
      <c r="DK29" s="238" t="n"/>
      <c r="DL29" s="238" t="n"/>
      <c r="DM29" s="238" t="n"/>
      <c r="DN29" s="238" t="n"/>
      <c r="DO29" s="238" t="n"/>
      <c r="DP29" s="238" t="n"/>
      <c r="DQ29" s="238" t="n"/>
      <c r="DR29" s="238" t="n"/>
      <c r="DS29" s="238" t="n"/>
      <c r="DT29" s="238" t="n"/>
      <c r="DU29" s="238" t="n"/>
      <c r="DV29" s="238" t="n"/>
      <c r="DW29" s="238" t="n"/>
      <c r="DX29" s="238" t="n"/>
      <c r="DY29" s="238" t="n"/>
      <c r="DZ29" s="23" t="n"/>
      <c r="FQ29" s="212" t="n"/>
      <c r="FR29" s="212" t="n"/>
      <c r="FS29" s="212" t="n"/>
      <c r="FT29" s="212" t="n"/>
      <c r="FU29" s="212" t="n"/>
      <c r="FV29" s="212" t="n"/>
      <c r="FW29" s="212" t="n"/>
      <c r="FX29" s="212" t="n"/>
      <c r="FY29" s="212" t="n"/>
      <c r="FZ29" s="212" t="n"/>
    </row>
    <row r="30" ht="39.95" customFormat="1" customHeight="1" s="5">
      <c r="A30" s="456" t="n"/>
      <c r="B30" s="8" t="inlineStr">
        <is>
          <t>&amp; OSCILLATOR</t>
        </is>
      </c>
      <c r="C30" s="12" t="inlineStr">
        <is>
          <t>R</t>
        </is>
      </c>
      <c r="D30" s="393" t="inlineStr"/>
      <c r="E30" s="396" t="inlineStr"/>
      <c r="F30" s="396" t="inlineStr"/>
      <c r="G30" s="396" t="n">
        <v>0.217</v>
      </c>
      <c r="H30" s="441" t="n">
        <v>0.211</v>
      </c>
      <c r="I30" s="402" t="n">
        <v>0.268</v>
      </c>
      <c r="J30" s="396" t="n">
        <v>0.263</v>
      </c>
      <c r="K30" s="396" t="n">
        <v>0.267</v>
      </c>
      <c r="L30" s="104" t="n">
        <v>0.276</v>
      </c>
      <c r="M30" s="399" t="n">
        <v>0.226</v>
      </c>
      <c r="N30" s="402" t="n">
        <v>0.279</v>
      </c>
      <c r="O30" s="438" t="n">
        <v>0.188</v>
      </c>
      <c r="P30" s="438" t="n">
        <v>0.208</v>
      </c>
      <c r="Q30" s="396" t="inlineStr"/>
      <c r="R30" s="399" t="inlineStr"/>
      <c r="S30" s="402" t="inlineStr"/>
      <c r="T30" s="396" t="inlineStr"/>
      <c r="U30" s="396" t="inlineStr"/>
      <c r="V30" s="396" t="inlineStr"/>
      <c r="W30" s="399" t="inlineStr"/>
      <c r="X30" s="402" t="inlineStr"/>
      <c r="Y30" s="396" t="inlineStr"/>
      <c r="Z30" s="396" t="inlineStr"/>
      <c r="AA30" s="396" t="inlineStr"/>
      <c r="AB30" s="399" t="inlineStr"/>
      <c r="AC30" s="402" t="inlineStr"/>
      <c r="AD30" s="396" t="inlineStr"/>
      <c r="AE30" s="396" t="inlineStr"/>
      <c r="AF30" s="396" t="inlineStr"/>
      <c r="AG30" s="399" t="inlineStr"/>
      <c r="AH30" s="402" t="inlineStr"/>
      <c r="AI30" s="438" t="n">
        <v>0.211</v>
      </c>
      <c r="AJ30" s="438" t="n">
        <v>0.195</v>
      </c>
      <c r="AK30" s="438" t="n">
        <v>0.205</v>
      </c>
      <c r="AL30" s="441" t="n">
        <v>0.191</v>
      </c>
      <c r="AM30" s="106" t="n">
        <v>0.229</v>
      </c>
      <c r="AN30" s="438" t="n">
        <v>0.125</v>
      </c>
      <c r="AO30" s="396" t="inlineStr"/>
      <c r="AP30" s="396" t="inlineStr"/>
      <c r="AQ30" s="399" t="inlineStr"/>
      <c r="AR30" s="402" t="inlineStr"/>
      <c r="AS30" s="396" t="inlineStr"/>
      <c r="AT30" s="396" t="inlineStr"/>
      <c r="AU30" s="396" t="inlineStr"/>
      <c r="AV30" s="399" t="inlineStr"/>
      <c r="AW30" s="402" t="inlineStr"/>
      <c r="AX30" s="396" t="inlineStr"/>
      <c r="AY30" s="396" t="inlineStr"/>
      <c r="AZ30" s="396" t="inlineStr"/>
      <c r="BA30" s="399" t="inlineStr"/>
      <c r="BB30" s="402" t="inlineStr"/>
      <c r="BC30" s="396" t="inlineStr"/>
      <c r="BD30" s="396" t="inlineStr"/>
      <c r="BE30" s="396" t="inlineStr"/>
      <c r="BF30" s="399" t="inlineStr"/>
      <c r="BG30" s="402" t="inlineStr"/>
      <c r="BH30" s="396" t="inlineStr"/>
      <c r="BI30" s="396" t="inlineStr"/>
      <c r="BJ30" s="396" t="inlineStr"/>
      <c r="BK30" s="399" t="inlineStr"/>
      <c r="BL30" s="402" t="inlineStr"/>
      <c r="BM30" s="396" t="inlineStr"/>
      <c r="BN30" s="396" t="inlineStr"/>
      <c r="BO30" s="396" t="inlineStr"/>
      <c r="BP30" s="399" t="inlineStr"/>
      <c r="BQ30" s="402" t="inlineStr"/>
      <c r="BR30" s="396" t="inlineStr"/>
      <c r="BS30" s="396" t="inlineStr"/>
      <c r="BT30" s="399" t="inlineStr"/>
      <c r="BU30" s="457" t="n"/>
      <c r="BV30" s="457" t="n"/>
      <c r="BW30" s="238" t="n"/>
      <c r="BX30" s="238" t="n"/>
      <c r="BY30" s="238" t="n"/>
      <c r="BZ30" s="238" t="n"/>
      <c r="CA30" s="238" t="n"/>
      <c r="CB30" s="238" t="n"/>
      <c r="CC30" s="238" t="n"/>
      <c r="CD30" s="238" t="n"/>
      <c r="CE30" s="238" t="n"/>
      <c r="CF30" s="238" t="n"/>
      <c r="CG30" s="238" t="n"/>
      <c r="CH30" s="238" t="n"/>
      <c r="CI30" s="238" t="n"/>
      <c r="CJ30" s="238" t="n"/>
      <c r="CK30" s="238" t="n"/>
      <c r="CL30" s="238" t="n"/>
      <c r="CM30" s="238" t="n"/>
      <c r="CN30" s="238" t="n"/>
      <c r="CO30" s="238" t="n"/>
      <c r="CP30" s="238" t="n"/>
      <c r="CQ30" s="238" t="n"/>
      <c r="CR30" s="238" t="n"/>
      <c r="CS30" s="238" t="n"/>
      <c r="CT30" s="238" t="n"/>
      <c r="CU30" s="238" t="n"/>
      <c r="CV30" s="238" t="n"/>
      <c r="CW30" s="238" t="n"/>
      <c r="CX30" s="238" t="n"/>
      <c r="CY30" s="238" t="n"/>
      <c r="CZ30" s="238" t="n"/>
      <c r="DA30" s="238" t="n"/>
      <c r="DB30" s="238" t="n"/>
      <c r="DC30" s="238" t="n"/>
      <c r="DD30" s="238" t="n"/>
      <c r="DE30" s="238" t="n"/>
      <c r="DF30" s="238" t="n"/>
      <c r="DG30" s="238" t="n"/>
      <c r="DH30" s="238" t="n"/>
      <c r="DI30" s="238" t="n"/>
      <c r="DJ30" s="238" t="n"/>
      <c r="DK30" s="238" t="n"/>
      <c r="DL30" s="238" t="n"/>
      <c r="DM30" s="238" t="n"/>
      <c r="DN30" s="238" t="n"/>
      <c r="DO30" s="238" t="n"/>
      <c r="DP30" s="238" t="n"/>
      <c r="DQ30" s="238" t="n"/>
      <c r="DR30" s="238" t="n"/>
      <c r="DS30" s="238" t="n"/>
      <c r="DT30" s="238" t="n"/>
      <c r="DU30" s="238" t="n"/>
      <c r="DV30" s="238" t="n"/>
      <c r="DW30" s="238" t="n"/>
      <c r="DX30" s="238" t="n"/>
      <c r="DY30" s="238" t="n"/>
      <c r="DZ30" s="23" t="n"/>
      <c r="FQ30" s="212" t="n"/>
      <c r="FR30" s="212" t="n"/>
      <c r="FS30" s="212" t="n"/>
      <c r="FT30" s="212" t="n"/>
      <c r="FU30" s="212" t="n"/>
      <c r="FV30" s="212" t="n"/>
      <c r="FW30" s="212" t="n"/>
      <c r="FX30" s="212" t="n"/>
      <c r="FY30" s="212" t="n"/>
      <c r="FZ30" s="212" t="n"/>
    </row>
    <row r="31" ht="39.95" customFormat="1" customHeight="1" s="5">
      <c r="A31" s="10" t="inlineStr">
        <is>
          <t>A</t>
        </is>
      </c>
      <c r="B31" s="6" t="inlineStr">
        <is>
          <t>POSITION 'B'</t>
        </is>
      </c>
      <c r="C31" s="11" t="inlineStr">
        <is>
          <t>L</t>
        </is>
      </c>
      <c r="D31" s="391" t="inlineStr"/>
      <c r="E31" s="394" t="inlineStr"/>
      <c r="F31" s="394" t="inlineStr"/>
      <c r="G31" s="394" t="n">
        <v>0.207</v>
      </c>
      <c r="H31" s="439" t="n">
        <v>0.2</v>
      </c>
      <c r="I31" s="400" t="inlineStr">
        <is>
          <t>RT</t>
        </is>
      </c>
      <c r="J31" s="394" t="n">
        <v>0.283</v>
      </c>
      <c r="K31" s="99" t="n">
        <v>0.268</v>
      </c>
      <c r="L31" s="99" t="n">
        <v>0.293</v>
      </c>
      <c r="M31" s="439" t="n">
        <v>0.261</v>
      </c>
      <c r="N31" s="98" t="inlineStr">
        <is>
          <t>RT</t>
        </is>
      </c>
      <c r="O31" s="99" t="n">
        <v>0.225</v>
      </c>
      <c r="P31" s="394" t="n">
        <v>0.207</v>
      </c>
      <c r="Q31" s="394" t="inlineStr"/>
      <c r="R31" s="397" t="inlineStr"/>
      <c r="S31" s="400" t="inlineStr"/>
      <c r="T31" s="394" t="inlineStr"/>
      <c r="U31" s="394" t="inlineStr"/>
      <c r="V31" s="394" t="inlineStr"/>
      <c r="W31" s="397" t="inlineStr"/>
      <c r="X31" s="400" t="inlineStr"/>
      <c r="Y31" s="394" t="inlineStr"/>
      <c r="Z31" s="394" t="inlineStr"/>
      <c r="AA31" s="394" t="inlineStr"/>
      <c r="AB31" s="397" t="inlineStr"/>
      <c r="AC31" s="400" t="inlineStr"/>
      <c r="AD31" s="394" t="inlineStr"/>
      <c r="AE31" s="394" t="inlineStr"/>
      <c r="AF31" s="394" t="inlineStr"/>
      <c r="AG31" s="397" t="inlineStr"/>
      <c r="AH31" s="400" t="inlineStr"/>
      <c r="AI31" s="394" t="n">
        <v>0.23</v>
      </c>
      <c r="AJ31" s="436" t="n">
        <v>0.201</v>
      </c>
      <c r="AK31" s="99" t="n">
        <v>0.229</v>
      </c>
      <c r="AL31" s="439" t="n">
        <v>0.211</v>
      </c>
      <c r="AM31" s="442" t="n">
        <v>0.201</v>
      </c>
      <c r="AN31" s="99" t="n">
        <v>0.203</v>
      </c>
      <c r="AO31" s="394" t="inlineStr"/>
      <c r="AP31" s="394" t="inlineStr"/>
      <c r="AQ31" s="397" t="inlineStr"/>
      <c r="AR31" s="400" t="inlineStr"/>
      <c r="AS31" s="394" t="inlineStr"/>
      <c r="AT31" s="394" t="inlineStr"/>
      <c r="AU31" s="394" t="inlineStr"/>
      <c r="AV31" s="397" t="inlineStr"/>
      <c r="AW31" s="400" t="inlineStr"/>
      <c r="AX31" s="394" t="inlineStr"/>
      <c r="AY31" s="394" t="inlineStr"/>
      <c r="AZ31" s="394" t="inlineStr"/>
      <c r="BA31" s="397" t="inlineStr"/>
      <c r="BB31" s="400" t="inlineStr"/>
      <c r="BC31" s="394" t="inlineStr"/>
      <c r="BD31" s="394" t="inlineStr"/>
      <c r="BE31" s="394" t="inlineStr"/>
      <c r="BF31" s="397" t="inlineStr"/>
      <c r="BG31" s="400" t="inlineStr"/>
      <c r="BH31" s="394" t="inlineStr"/>
      <c r="BI31" s="394" t="inlineStr"/>
      <c r="BJ31" s="394" t="inlineStr"/>
      <c r="BK31" s="397" t="inlineStr"/>
      <c r="BL31" s="400" t="inlineStr"/>
      <c r="BM31" s="394" t="inlineStr"/>
      <c r="BN31" s="394" t="inlineStr"/>
      <c r="BO31" s="394" t="inlineStr"/>
      <c r="BP31" s="397" t="inlineStr"/>
      <c r="BQ31" s="400" t="inlineStr"/>
      <c r="BR31" s="394" t="inlineStr"/>
      <c r="BS31" s="394" t="inlineStr"/>
      <c r="BT31" s="397" t="inlineStr"/>
      <c r="BU31" s="454">
        <f>IFERROR(AVERAGE(D31:BT33),0)</f>
        <v/>
      </c>
      <c r="BV31" s="454">
        <f>MIN(D31:BT33)</f>
        <v/>
      </c>
      <c r="BW31" s="238" t="n"/>
      <c r="BX31" s="238" t="n"/>
      <c r="BY31" s="238" t="n"/>
      <c r="BZ31" s="238" t="n"/>
      <c r="CA31" s="238" t="n"/>
      <c r="CB31" s="238" t="n"/>
      <c r="CC31" s="238" t="n"/>
      <c r="CD31" s="238" t="n"/>
      <c r="CE31" s="238" t="n"/>
      <c r="CF31" s="238" t="n"/>
      <c r="CG31" s="238" t="n"/>
      <c r="CH31" s="238" t="n"/>
      <c r="CI31" s="238" t="n"/>
      <c r="CJ31" s="238" t="n"/>
      <c r="CK31" s="238" t="n"/>
      <c r="CL31" s="238" t="n"/>
      <c r="CM31" s="238" t="n"/>
      <c r="CN31" s="238" t="n"/>
      <c r="CO31" s="238" t="n"/>
      <c r="CP31" s="238" t="n"/>
      <c r="CQ31" s="238" t="n"/>
      <c r="CR31" s="238" t="n"/>
      <c r="CS31" s="238" t="n"/>
      <c r="CT31" s="238" t="n"/>
      <c r="CU31" s="238" t="n"/>
      <c r="CV31" s="238" t="n"/>
      <c r="CW31" s="238" t="n"/>
      <c r="CX31" s="238" t="n"/>
      <c r="CY31" s="238" t="n"/>
      <c r="CZ31" s="238" t="n"/>
      <c r="DA31" s="238" t="n"/>
      <c r="DB31" s="238" t="n"/>
      <c r="DC31" s="238" t="n"/>
      <c r="DD31" s="238" t="n"/>
      <c r="DE31" s="238" t="n"/>
      <c r="DF31" s="238" t="n"/>
      <c r="DG31" s="238" t="n"/>
      <c r="DH31" s="238" t="n"/>
      <c r="DI31" s="238" t="n"/>
      <c r="DJ31" s="238" t="n"/>
      <c r="DK31" s="238" t="n"/>
      <c r="DL31" s="238" t="n"/>
      <c r="DM31" s="238" t="n"/>
      <c r="DN31" s="238" t="n"/>
      <c r="DO31" s="238" t="n"/>
      <c r="DP31" s="238" t="n"/>
      <c r="DQ31" s="238" t="n"/>
      <c r="DR31" s="238" t="n"/>
      <c r="DS31" s="238" t="n"/>
      <c r="DT31" s="238" t="n"/>
      <c r="DU31" s="238" t="n"/>
      <c r="DV31" s="238" t="n"/>
      <c r="DW31" s="238" t="n"/>
      <c r="DX31" s="238" t="n"/>
      <c r="DY31" s="238" t="n"/>
      <c r="DZ31" s="23" t="n"/>
      <c r="FQ31" s="212" t="n"/>
      <c r="FR31" s="212" t="n"/>
      <c r="FS31" s="212" t="n"/>
      <c r="FT31" s="212" t="n"/>
      <c r="FU31" s="212" t="n"/>
      <c r="FV31" s="212" t="n"/>
      <c r="FW31" s="212" t="n"/>
      <c r="FX31" s="212" t="n"/>
      <c r="FY31" s="212" t="n"/>
      <c r="FZ31" s="212" t="n"/>
    </row>
    <row r="32" ht="39.95" customFormat="1" customHeight="1" s="5">
      <c r="A32" s="182" t="n">
        <v>0.083</v>
      </c>
      <c r="B32" s="7" t="inlineStr">
        <is>
          <t>OF THE MANWAY</t>
        </is>
      </c>
      <c r="C32" s="11" t="inlineStr">
        <is>
          <t>C</t>
        </is>
      </c>
      <c r="D32" s="392" t="inlineStr"/>
      <c r="E32" s="395" t="inlineStr"/>
      <c r="F32" s="395" t="inlineStr"/>
      <c r="G32" s="437" t="n">
        <v>0.205</v>
      </c>
      <c r="H32" s="440" t="n">
        <v>0.186</v>
      </c>
      <c r="I32" s="401" t="inlineStr">
        <is>
          <t>RT</t>
        </is>
      </c>
      <c r="J32" s="437" t="n">
        <v>0.24</v>
      </c>
      <c r="K32" s="101" t="n">
        <v>0.25</v>
      </c>
      <c r="L32" s="101" t="n">
        <v>0.261</v>
      </c>
      <c r="M32" s="398" t="n">
        <v>0.224</v>
      </c>
      <c r="N32" s="401" t="inlineStr">
        <is>
          <t>RT</t>
        </is>
      </c>
      <c r="O32" s="437" t="n">
        <v>0.179</v>
      </c>
      <c r="P32" s="395" t="n">
        <v>0.228</v>
      </c>
      <c r="Q32" s="395" t="inlineStr"/>
      <c r="R32" s="398" t="inlineStr"/>
      <c r="S32" s="401" t="inlineStr"/>
      <c r="T32" s="395" t="inlineStr"/>
      <c r="U32" s="395" t="inlineStr"/>
      <c r="V32" s="395" t="inlineStr"/>
      <c r="W32" s="398" t="inlineStr"/>
      <c r="X32" s="401" t="inlineStr"/>
      <c r="Y32" s="395" t="inlineStr"/>
      <c r="Z32" s="395" t="inlineStr"/>
      <c r="AA32" s="395" t="inlineStr"/>
      <c r="AB32" s="398" t="inlineStr"/>
      <c r="AC32" s="401" t="inlineStr"/>
      <c r="AD32" s="395" t="inlineStr"/>
      <c r="AE32" s="395" t="inlineStr"/>
      <c r="AF32" s="395" t="inlineStr"/>
      <c r="AG32" s="398" t="inlineStr"/>
      <c r="AH32" s="401" t="inlineStr"/>
      <c r="AI32" s="437" t="n">
        <v>0.198</v>
      </c>
      <c r="AJ32" s="437" t="n">
        <v>0.211</v>
      </c>
      <c r="AK32" s="101" t="n">
        <v>0.226</v>
      </c>
      <c r="AL32" s="440" t="n">
        <v>0.21</v>
      </c>
      <c r="AM32" s="401" t="n">
        <v>0.214</v>
      </c>
      <c r="AN32" s="101" t="n">
        <v>0.197</v>
      </c>
      <c r="AO32" s="395" t="inlineStr"/>
      <c r="AP32" s="395" t="inlineStr"/>
      <c r="AQ32" s="398" t="inlineStr"/>
      <c r="AR32" s="401" t="inlineStr"/>
      <c r="AS32" s="395" t="inlineStr"/>
      <c r="AT32" s="395" t="inlineStr"/>
      <c r="AU32" s="395" t="inlineStr"/>
      <c r="AV32" s="398" t="inlineStr"/>
      <c r="AW32" s="401" t="inlineStr"/>
      <c r="AX32" s="395" t="inlineStr"/>
      <c r="AY32" s="395" t="inlineStr"/>
      <c r="AZ32" s="395" t="inlineStr"/>
      <c r="BA32" s="398" t="inlineStr"/>
      <c r="BB32" s="401" t="inlineStr"/>
      <c r="BC32" s="395" t="inlineStr"/>
      <c r="BD32" s="395" t="inlineStr"/>
      <c r="BE32" s="395" t="inlineStr"/>
      <c r="BF32" s="398" t="inlineStr"/>
      <c r="BG32" s="401" t="inlineStr"/>
      <c r="BH32" s="395" t="inlineStr"/>
      <c r="BI32" s="395" t="inlineStr"/>
      <c r="BJ32" s="395" t="inlineStr"/>
      <c r="BK32" s="398" t="inlineStr"/>
      <c r="BL32" s="401" t="inlineStr"/>
      <c r="BM32" s="395" t="inlineStr"/>
      <c r="BN32" s="395" t="inlineStr"/>
      <c r="BO32" s="395" t="inlineStr"/>
      <c r="BP32" s="398" t="inlineStr"/>
      <c r="BQ32" s="401" t="inlineStr"/>
      <c r="BR32" s="395" t="inlineStr"/>
      <c r="BS32" s="395" t="inlineStr"/>
      <c r="BT32" s="398" t="inlineStr"/>
      <c r="BU32" s="455" t="n"/>
      <c r="BV32" s="455" t="n"/>
      <c r="BW32" s="238" t="n"/>
      <c r="BX32" s="238" t="n"/>
      <c r="BY32" s="238" t="n"/>
      <c r="BZ32" s="238" t="n"/>
      <c r="CA32" s="238" t="n"/>
      <c r="CB32" s="238" t="n"/>
      <c r="CC32" s="238" t="n"/>
      <c r="CD32" s="238" t="n"/>
      <c r="CE32" s="238" t="n"/>
      <c r="CF32" s="238" t="n"/>
      <c r="CG32" s="238" t="n"/>
      <c r="CH32" s="238" t="n"/>
      <c r="CI32" s="238" t="n"/>
      <c r="CJ32" s="238" t="n"/>
      <c r="CK32" s="238" t="n"/>
      <c r="CL32" s="238" t="n"/>
      <c r="CM32" s="238" t="n"/>
      <c r="CN32" s="238" t="n"/>
      <c r="CO32" s="238" t="n"/>
      <c r="CP32" s="238" t="n"/>
      <c r="CQ32" s="238" t="n"/>
      <c r="CR32" s="238" t="n"/>
      <c r="CS32" s="238" t="n"/>
      <c r="CT32" s="238" t="n"/>
      <c r="CU32" s="238" t="n"/>
      <c r="CV32" s="238" t="n"/>
      <c r="CW32" s="238" t="n"/>
      <c r="CX32" s="238" t="n"/>
      <c r="CY32" s="238" t="n"/>
      <c r="CZ32" s="238" t="n"/>
      <c r="DA32" s="238" t="n"/>
      <c r="DB32" s="238" t="n"/>
      <c r="DC32" s="238" t="n"/>
      <c r="DD32" s="238" t="n"/>
      <c r="DE32" s="238" t="n"/>
      <c r="DF32" s="238" t="n"/>
      <c r="DG32" s="238" t="n"/>
      <c r="DH32" s="238" t="n"/>
      <c r="DI32" s="238" t="n"/>
      <c r="DJ32" s="238" t="n"/>
      <c r="DK32" s="238" t="n"/>
      <c r="DL32" s="238" t="n"/>
      <c r="DM32" s="238" t="n"/>
      <c r="DN32" s="238" t="n"/>
      <c r="DO32" s="238" t="n"/>
      <c r="DP32" s="238" t="n"/>
      <c r="DQ32" s="238" t="n"/>
      <c r="DR32" s="238" t="n"/>
      <c r="DS32" s="238" t="n"/>
      <c r="DT32" s="238" t="n"/>
      <c r="DU32" s="238" t="n"/>
      <c r="DV32" s="238" t="n"/>
      <c r="DW32" s="238" t="n"/>
      <c r="DX32" s="238" t="n"/>
      <c r="DY32" s="238" t="n"/>
      <c r="DZ32" s="23" t="n"/>
      <c r="FQ32" s="212" t="n"/>
      <c r="FR32" s="212" t="n"/>
      <c r="FS32" s="212" t="n"/>
      <c r="FT32" s="212" t="n"/>
      <c r="FU32" s="212" t="n"/>
      <c r="FV32" s="212" t="n"/>
      <c r="FW32" s="212" t="n"/>
      <c r="FX32" s="212" t="n"/>
      <c r="FY32" s="212" t="n"/>
      <c r="FZ32" s="212" t="n"/>
    </row>
    <row r="33" ht="39.95" customFormat="1" customHeight="1" s="5">
      <c r="A33" s="456" t="n"/>
      <c r="B33" s="8" t="inlineStr">
        <is>
          <t>&amp; OSCILLATOR</t>
        </is>
      </c>
      <c r="C33" s="12" t="inlineStr">
        <is>
          <t>R</t>
        </is>
      </c>
      <c r="D33" s="393" t="inlineStr"/>
      <c r="E33" s="396" t="inlineStr"/>
      <c r="F33" s="396" t="inlineStr"/>
      <c r="G33" s="396" t="n">
        <v>0.207</v>
      </c>
      <c r="H33" s="441" t="n">
        <v>0.198</v>
      </c>
      <c r="I33" s="402" t="inlineStr">
        <is>
          <t>RT</t>
        </is>
      </c>
      <c r="J33" s="438" t="n">
        <v>0.205</v>
      </c>
      <c r="K33" s="104" t="n">
        <v>0.245</v>
      </c>
      <c r="L33" s="104" t="n">
        <v>0.275</v>
      </c>
      <c r="M33" s="399" t="n">
        <v>0.277</v>
      </c>
      <c r="N33" s="402" t="inlineStr">
        <is>
          <t>RT</t>
        </is>
      </c>
      <c r="O33" s="438" t="n">
        <v>0.19</v>
      </c>
      <c r="P33" s="396" t="n">
        <v>0.201</v>
      </c>
      <c r="Q33" s="396" t="inlineStr"/>
      <c r="R33" s="399" t="inlineStr"/>
      <c r="S33" s="402" t="inlineStr"/>
      <c r="T33" s="396" t="inlineStr"/>
      <c r="U33" s="396" t="inlineStr"/>
      <c r="V33" s="396" t="inlineStr"/>
      <c r="W33" s="399" t="inlineStr"/>
      <c r="X33" s="402" t="inlineStr"/>
      <c r="Y33" s="396" t="inlineStr"/>
      <c r="Z33" s="396" t="inlineStr"/>
      <c r="AA33" s="396" t="inlineStr"/>
      <c r="AB33" s="399" t="inlineStr"/>
      <c r="AC33" s="402" t="inlineStr"/>
      <c r="AD33" s="396" t="inlineStr"/>
      <c r="AE33" s="396" t="inlineStr"/>
      <c r="AF33" s="396" t="inlineStr"/>
      <c r="AG33" s="399" t="inlineStr"/>
      <c r="AH33" s="402" t="inlineStr"/>
      <c r="AI33" s="438" t="n">
        <v>0.198</v>
      </c>
      <c r="AJ33" s="438" t="n">
        <v>0.19</v>
      </c>
      <c r="AK33" s="438" t="n">
        <v>0.197</v>
      </c>
      <c r="AL33" s="441" t="n">
        <v>0.215</v>
      </c>
      <c r="AM33" s="444" t="n">
        <v>0.134</v>
      </c>
      <c r="AN33" s="396" t="n">
        <v>0.209</v>
      </c>
      <c r="AO33" s="396" t="inlineStr"/>
      <c r="AP33" s="396" t="inlineStr"/>
      <c r="AQ33" s="399" t="inlineStr"/>
      <c r="AR33" s="402" t="inlineStr"/>
      <c r="AS33" s="396" t="inlineStr"/>
      <c r="AT33" s="396" t="inlineStr"/>
      <c r="AU33" s="396" t="inlineStr"/>
      <c r="AV33" s="399" t="inlineStr"/>
      <c r="AW33" s="402" t="inlineStr"/>
      <c r="AX33" s="396" t="inlineStr"/>
      <c r="AY33" s="396" t="inlineStr"/>
      <c r="AZ33" s="396" t="inlineStr"/>
      <c r="BA33" s="399" t="inlineStr"/>
      <c r="BB33" s="402" t="inlineStr"/>
      <c r="BC33" s="396" t="inlineStr"/>
      <c r="BD33" s="396" t="inlineStr"/>
      <c r="BE33" s="396" t="inlineStr"/>
      <c r="BF33" s="399" t="inlineStr"/>
      <c r="BG33" s="402" t="inlineStr"/>
      <c r="BH33" s="396" t="inlineStr"/>
      <c r="BI33" s="396" t="inlineStr"/>
      <c r="BJ33" s="396" t="inlineStr"/>
      <c r="BK33" s="399" t="inlineStr"/>
      <c r="BL33" s="402" t="inlineStr"/>
      <c r="BM33" s="396" t="inlineStr"/>
      <c r="BN33" s="396" t="inlineStr"/>
      <c r="BO33" s="396" t="inlineStr"/>
      <c r="BP33" s="399" t="inlineStr"/>
      <c r="BQ33" s="402" t="inlineStr"/>
      <c r="BR33" s="396" t="inlineStr"/>
      <c r="BS33" s="396" t="inlineStr"/>
      <c r="BT33" s="399" t="inlineStr"/>
      <c r="BU33" s="457" t="n"/>
      <c r="BV33" s="457" t="n"/>
      <c r="BW33" s="238" t="n"/>
      <c r="BX33" s="238" t="n"/>
      <c r="BY33" s="238" t="n"/>
      <c r="BZ33" s="238" t="n"/>
      <c r="CA33" s="238" t="n"/>
      <c r="CB33" s="238" t="n"/>
      <c r="CC33" s="238" t="n"/>
      <c r="CD33" s="238" t="n"/>
      <c r="CE33" s="238" t="n"/>
      <c r="CF33" s="238" t="n"/>
      <c r="CG33" s="238" t="n"/>
      <c r="CH33" s="238" t="n"/>
      <c r="CI33" s="238" t="n"/>
      <c r="CJ33" s="238" t="n"/>
      <c r="CK33" s="238" t="n"/>
      <c r="CL33" s="238" t="n"/>
      <c r="CM33" s="238" t="n"/>
      <c r="CN33" s="238" t="n"/>
      <c r="CO33" s="238" t="n"/>
      <c r="CP33" s="238" t="n"/>
      <c r="CQ33" s="238" t="n"/>
      <c r="CR33" s="238" t="n"/>
      <c r="CS33" s="238" t="n"/>
      <c r="CT33" s="238" t="n"/>
      <c r="CU33" s="238" t="n"/>
      <c r="CV33" s="238" t="n"/>
      <c r="CW33" s="238" t="n"/>
      <c r="CX33" s="238" t="n"/>
      <c r="CY33" s="238" t="n"/>
      <c r="CZ33" s="238" t="n"/>
      <c r="DA33" s="238" t="n"/>
      <c r="DB33" s="238" t="n"/>
      <c r="DC33" s="238" t="n"/>
      <c r="DD33" s="238" t="n"/>
      <c r="DE33" s="238" t="n"/>
      <c r="DF33" s="238" t="n"/>
      <c r="DG33" s="238" t="n"/>
      <c r="DH33" s="238" t="n"/>
      <c r="DI33" s="238" t="n"/>
      <c r="DJ33" s="238" t="n"/>
      <c r="DK33" s="238" t="n"/>
      <c r="DL33" s="238" t="n"/>
      <c r="DM33" s="238" t="n"/>
      <c r="DN33" s="238" t="n"/>
      <c r="DO33" s="238" t="n"/>
      <c r="DP33" s="238" t="n"/>
      <c r="DQ33" s="238" t="n"/>
      <c r="DR33" s="238" t="n"/>
      <c r="DS33" s="238" t="n"/>
      <c r="DT33" s="238" t="n"/>
      <c r="DU33" s="238" t="n"/>
      <c r="DV33" s="238" t="n"/>
      <c r="DW33" s="238" t="n"/>
      <c r="DX33" s="238" t="n"/>
      <c r="DY33" s="238" t="n"/>
      <c r="DZ33" s="23" t="n"/>
      <c r="FQ33" s="212" t="n"/>
      <c r="FR33" s="212" t="n"/>
      <c r="FS33" s="212" t="n"/>
      <c r="FT33" s="212" t="n"/>
      <c r="FU33" s="212" t="n"/>
      <c r="FV33" s="212" t="n"/>
      <c r="FW33" s="212" t="n"/>
      <c r="FX33" s="212" t="n"/>
      <c r="FY33" s="212" t="n"/>
      <c r="FZ33" s="212" t="n"/>
    </row>
    <row r="34" ht="39.95" customFormat="1" customHeight="1" s="5">
      <c r="A34" s="10" t="inlineStr">
        <is>
          <t>A</t>
        </is>
      </c>
      <c r="B34" s="6" t="inlineStr">
        <is>
          <t>POSITION 'C'</t>
        </is>
      </c>
      <c r="C34" s="11" t="inlineStr">
        <is>
          <t>L</t>
        </is>
      </c>
      <c r="D34" s="391" t="inlineStr"/>
      <c r="E34" s="394" t="inlineStr"/>
      <c r="F34" s="394" t="inlineStr"/>
      <c r="G34" s="436" t="n">
        <v>0.191</v>
      </c>
      <c r="H34" s="439" t="n">
        <v>0.207</v>
      </c>
      <c r="I34" s="400" t="inlineStr">
        <is>
          <t>RT</t>
        </is>
      </c>
      <c r="J34" s="394" t="inlineStr">
        <is>
          <t>RT</t>
        </is>
      </c>
      <c r="K34" s="436" t="n">
        <v>0.272</v>
      </c>
      <c r="L34" s="394" t="n">
        <v>0.259</v>
      </c>
      <c r="M34" s="397" t="inlineStr">
        <is>
          <t>RT</t>
        </is>
      </c>
      <c r="N34" s="400" t="inlineStr">
        <is>
          <t>RT</t>
        </is>
      </c>
      <c r="O34" s="99" t="n">
        <v>0.223</v>
      </c>
      <c r="P34" s="436" t="n">
        <v>0.208</v>
      </c>
      <c r="Q34" s="394" t="inlineStr"/>
      <c r="R34" s="397" t="inlineStr"/>
      <c r="S34" s="400" t="inlineStr"/>
      <c r="T34" s="394" t="inlineStr"/>
      <c r="U34" s="394" t="inlineStr"/>
      <c r="V34" s="394" t="inlineStr"/>
      <c r="W34" s="397" t="inlineStr"/>
      <c r="X34" s="400" t="inlineStr"/>
      <c r="Y34" s="394" t="inlineStr"/>
      <c r="Z34" s="394" t="inlineStr"/>
      <c r="AA34" s="394" t="inlineStr"/>
      <c r="AB34" s="397" t="inlineStr"/>
      <c r="AC34" s="400" t="inlineStr"/>
      <c r="AD34" s="394" t="inlineStr"/>
      <c r="AE34" s="394" t="inlineStr"/>
      <c r="AF34" s="394" t="inlineStr"/>
      <c r="AG34" s="397" t="inlineStr"/>
      <c r="AH34" s="400" t="inlineStr"/>
      <c r="AI34" s="436" t="n">
        <v>0.192</v>
      </c>
      <c r="AJ34" s="436" t="n">
        <v>0.185</v>
      </c>
      <c r="AK34" s="394" t="n">
        <v>0.233</v>
      </c>
      <c r="AL34" s="439" t="n">
        <v>0.218</v>
      </c>
      <c r="AM34" s="442" t="n">
        <v>0.171</v>
      </c>
      <c r="AN34" s="436" t="n">
        <v>0.189</v>
      </c>
      <c r="AO34" s="394" t="inlineStr"/>
      <c r="AP34" s="394" t="inlineStr"/>
      <c r="AQ34" s="397" t="inlineStr"/>
      <c r="AR34" s="400" t="inlineStr"/>
      <c r="AS34" s="394" t="inlineStr"/>
      <c r="AT34" s="394" t="inlineStr"/>
      <c r="AU34" s="394" t="inlineStr"/>
      <c r="AV34" s="397" t="inlineStr"/>
      <c r="AW34" s="400" t="inlineStr"/>
      <c r="AX34" s="394" t="inlineStr"/>
      <c r="AY34" s="394" t="inlineStr"/>
      <c r="AZ34" s="394" t="inlineStr"/>
      <c r="BA34" s="397" t="inlineStr"/>
      <c r="BB34" s="400" t="inlineStr"/>
      <c r="BC34" s="394" t="inlineStr"/>
      <c r="BD34" s="394" t="inlineStr"/>
      <c r="BE34" s="394" t="inlineStr"/>
      <c r="BF34" s="397" t="inlineStr"/>
      <c r="BG34" s="400" t="inlineStr"/>
      <c r="BH34" s="394" t="inlineStr"/>
      <c r="BI34" s="394" t="inlineStr"/>
      <c r="BJ34" s="394" t="inlineStr"/>
      <c r="BK34" s="397" t="inlineStr"/>
      <c r="BL34" s="400" t="inlineStr"/>
      <c r="BM34" s="394" t="inlineStr"/>
      <c r="BN34" s="394" t="inlineStr"/>
      <c r="BO34" s="394" t="inlineStr"/>
      <c r="BP34" s="397" t="inlineStr"/>
      <c r="BQ34" s="400" t="inlineStr"/>
      <c r="BR34" s="394" t="inlineStr"/>
      <c r="BS34" s="394" t="inlineStr"/>
      <c r="BT34" s="397" t="inlineStr"/>
      <c r="BU34" s="454">
        <f>IFERROR(AVERAGE(D34:BT36),0)</f>
        <v/>
      </c>
      <c r="BV34" s="454">
        <f>MIN(D34:BT36)</f>
        <v/>
      </c>
      <c r="BW34" s="238" t="n"/>
      <c r="BX34" s="238" t="n"/>
      <c r="BY34" s="238" t="n"/>
      <c r="BZ34" s="238" t="n"/>
      <c r="CA34" s="238" t="n"/>
      <c r="CB34" s="238" t="n"/>
      <c r="CC34" s="238" t="n"/>
      <c r="CD34" s="238" t="n"/>
      <c r="CE34" s="238" t="n"/>
      <c r="CF34" s="238" t="n"/>
      <c r="CG34" s="238" t="n"/>
      <c r="CH34" s="238" t="n"/>
      <c r="CI34" s="238" t="n"/>
      <c r="CJ34" s="238" t="n"/>
      <c r="CK34" s="238" t="n"/>
      <c r="CL34" s="238" t="n"/>
      <c r="CM34" s="238" t="n"/>
      <c r="CN34" s="238" t="n"/>
      <c r="CO34" s="238" t="n"/>
      <c r="CP34" s="238" t="n"/>
      <c r="CQ34" s="238" t="n"/>
      <c r="CR34" s="238" t="n"/>
      <c r="CS34" s="238" t="n"/>
      <c r="CT34" s="238" t="n"/>
      <c r="CU34" s="238" t="n"/>
      <c r="CV34" s="238" t="n"/>
      <c r="CW34" s="238" t="n"/>
      <c r="CX34" s="238" t="n"/>
      <c r="CY34" s="238" t="n"/>
      <c r="CZ34" s="238" t="n"/>
      <c r="DA34" s="238" t="n"/>
      <c r="DB34" s="238" t="n"/>
      <c r="DC34" s="238" t="n"/>
      <c r="DD34" s="238" t="n"/>
      <c r="DE34" s="238" t="n"/>
      <c r="DF34" s="238" t="n"/>
      <c r="DG34" s="238" t="n"/>
      <c r="DH34" s="238" t="n"/>
      <c r="DI34" s="238" t="n"/>
      <c r="DJ34" s="238" t="n"/>
      <c r="DK34" s="238" t="n"/>
      <c r="DL34" s="238" t="n"/>
      <c r="DM34" s="238" t="n"/>
      <c r="DN34" s="238" t="n"/>
      <c r="DO34" s="238" t="n"/>
      <c r="DP34" s="238" t="n"/>
      <c r="DQ34" s="238" t="n"/>
      <c r="DR34" s="238" t="n"/>
      <c r="DS34" s="238" t="n"/>
      <c r="DT34" s="238" t="n"/>
      <c r="DU34" s="238" t="n"/>
      <c r="DV34" s="238" t="n"/>
      <c r="DW34" s="238" t="n"/>
      <c r="DX34" s="238" t="n"/>
      <c r="DY34" s="238" t="n"/>
      <c r="DZ34" s="23" t="n"/>
      <c r="FQ34" s="212" t="n"/>
      <c r="FR34" s="212" t="n"/>
      <c r="FS34" s="212" t="n"/>
      <c r="FT34" s="212" t="n"/>
      <c r="FU34" s="212" t="n"/>
      <c r="FV34" s="212" t="n"/>
      <c r="FW34" s="212" t="n"/>
      <c r="FX34" s="212" t="n"/>
      <c r="FY34" s="212" t="n"/>
      <c r="FZ34" s="212" t="n"/>
    </row>
    <row r="35" ht="39.95" customFormat="1" customHeight="1" s="5">
      <c r="A35" s="182" t="n">
        <v>0.083</v>
      </c>
      <c r="B35" s="7" t="inlineStr">
        <is>
          <t>OF THE MANWAY</t>
        </is>
      </c>
      <c r="C35" s="11" t="inlineStr">
        <is>
          <t>C</t>
        </is>
      </c>
      <c r="D35" s="392" t="inlineStr"/>
      <c r="E35" s="395" t="inlineStr"/>
      <c r="F35" s="395" t="inlineStr"/>
      <c r="G35" s="437" t="n">
        <v>0.198</v>
      </c>
      <c r="H35" s="102" t="n">
        <v>0.221</v>
      </c>
      <c r="I35" s="401" t="inlineStr">
        <is>
          <t>RT</t>
        </is>
      </c>
      <c r="J35" s="395" t="inlineStr">
        <is>
          <t>RT</t>
        </is>
      </c>
      <c r="K35" s="101" t="n">
        <v>0.278</v>
      </c>
      <c r="L35" s="395" t="n">
        <v>0.269</v>
      </c>
      <c r="M35" s="398" t="inlineStr">
        <is>
          <t>RT</t>
        </is>
      </c>
      <c r="N35" s="401" t="inlineStr">
        <is>
          <t>RT</t>
        </is>
      </c>
      <c r="O35" s="437" t="n">
        <v>0.196</v>
      </c>
      <c r="P35" s="101" t="n">
        <v>0.226</v>
      </c>
      <c r="Q35" s="395" t="inlineStr"/>
      <c r="R35" s="398" t="inlineStr"/>
      <c r="S35" s="401" t="inlineStr"/>
      <c r="T35" s="395" t="inlineStr"/>
      <c r="U35" s="395" t="inlineStr"/>
      <c r="V35" s="395" t="inlineStr"/>
      <c r="W35" s="398" t="inlineStr"/>
      <c r="X35" s="401" t="inlineStr"/>
      <c r="Y35" s="395" t="inlineStr"/>
      <c r="Z35" s="395" t="inlineStr"/>
      <c r="AA35" s="395" t="inlineStr"/>
      <c r="AB35" s="398" t="inlineStr"/>
      <c r="AC35" s="401" t="inlineStr"/>
      <c r="AD35" s="395" t="inlineStr"/>
      <c r="AE35" s="395" t="inlineStr"/>
      <c r="AF35" s="395" t="inlineStr"/>
      <c r="AG35" s="398" t="inlineStr"/>
      <c r="AH35" s="401" t="inlineStr"/>
      <c r="AI35" s="437" t="n">
        <v>0.212</v>
      </c>
      <c r="AJ35" s="437" t="n">
        <v>0.209</v>
      </c>
      <c r="AK35" s="437" t="n">
        <v>0.214</v>
      </c>
      <c r="AL35" s="440" t="n">
        <v>0.212</v>
      </c>
      <c r="AM35" s="401" t="n">
        <v>0.237</v>
      </c>
      <c r="AN35" s="437" t="n">
        <v>0.165</v>
      </c>
      <c r="AO35" s="395" t="inlineStr"/>
      <c r="AP35" s="395" t="inlineStr"/>
      <c r="AQ35" s="398" t="inlineStr"/>
      <c r="AR35" s="401" t="inlineStr"/>
      <c r="AS35" s="395" t="inlineStr"/>
      <c r="AT35" s="395" t="inlineStr"/>
      <c r="AU35" s="395" t="inlineStr"/>
      <c r="AV35" s="398" t="inlineStr"/>
      <c r="AW35" s="401" t="inlineStr"/>
      <c r="AX35" s="395" t="inlineStr"/>
      <c r="AY35" s="395" t="inlineStr"/>
      <c r="AZ35" s="395" t="inlineStr"/>
      <c r="BA35" s="398" t="inlineStr"/>
      <c r="BB35" s="401" t="inlineStr"/>
      <c r="BC35" s="395" t="inlineStr"/>
      <c r="BD35" s="395" t="inlineStr"/>
      <c r="BE35" s="395" t="inlineStr"/>
      <c r="BF35" s="398" t="inlineStr"/>
      <c r="BG35" s="401" t="inlineStr"/>
      <c r="BH35" s="395" t="inlineStr"/>
      <c r="BI35" s="395" t="inlineStr"/>
      <c r="BJ35" s="395" t="inlineStr"/>
      <c r="BK35" s="398" t="inlineStr"/>
      <c r="BL35" s="401" t="inlineStr"/>
      <c r="BM35" s="395" t="inlineStr"/>
      <c r="BN35" s="395" t="inlineStr"/>
      <c r="BO35" s="395" t="inlineStr"/>
      <c r="BP35" s="398" t="inlineStr"/>
      <c r="BQ35" s="401" t="inlineStr"/>
      <c r="BR35" s="395" t="inlineStr"/>
      <c r="BS35" s="395" t="inlineStr"/>
      <c r="BT35" s="398" t="inlineStr"/>
      <c r="BU35" s="455" t="n"/>
      <c r="BV35" s="455" t="n"/>
      <c r="BW35" s="238" t="n"/>
      <c r="BX35" s="238" t="n"/>
      <c r="BY35" s="238" t="n"/>
      <c r="BZ35" s="238" t="n"/>
      <c r="CA35" s="238" t="n"/>
      <c r="CB35" s="238" t="n"/>
      <c r="CC35" s="238" t="n"/>
      <c r="CD35" s="238" t="n"/>
      <c r="CE35" s="238" t="n"/>
      <c r="CF35" s="238" t="n"/>
      <c r="CG35" s="238" t="n"/>
      <c r="CH35" s="238" t="n"/>
      <c r="CI35" s="238" t="n"/>
      <c r="CJ35" s="238" t="n"/>
      <c r="CK35" s="238" t="n"/>
      <c r="CL35" s="238" t="n"/>
      <c r="CM35" s="238" t="n"/>
      <c r="CN35" s="238" t="n"/>
      <c r="CO35" s="238" t="n"/>
      <c r="CP35" s="238" t="n"/>
      <c r="CQ35" s="238" t="n"/>
      <c r="CR35" s="238" t="n"/>
      <c r="CS35" s="238" t="n"/>
      <c r="CT35" s="238" t="n"/>
      <c r="CU35" s="238" t="n"/>
      <c r="CV35" s="238" t="n"/>
      <c r="CW35" s="238" t="n"/>
      <c r="CX35" s="238" t="n"/>
      <c r="CY35" s="238" t="n"/>
      <c r="CZ35" s="238" t="n"/>
      <c r="DA35" s="238" t="n"/>
      <c r="DB35" s="238" t="n"/>
      <c r="DC35" s="238" t="n"/>
      <c r="DD35" s="238" t="n"/>
      <c r="DE35" s="238" t="n"/>
      <c r="DF35" s="238" t="n"/>
      <c r="DG35" s="238" t="n"/>
      <c r="DH35" s="238" t="n"/>
      <c r="DI35" s="238" t="n"/>
      <c r="DJ35" s="238" t="n"/>
      <c r="DK35" s="238" t="n"/>
      <c r="DL35" s="238" t="n"/>
      <c r="DM35" s="238" t="n"/>
      <c r="DN35" s="238" t="n"/>
      <c r="DO35" s="238" t="n"/>
      <c r="DP35" s="238" t="n"/>
      <c r="DQ35" s="238" t="n"/>
      <c r="DR35" s="238" t="n"/>
      <c r="DS35" s="238" t="n"/>
      <c r="DT35" s="238" t="n"/>
      <c r="DU35" s="238" t="n"/>
      <c r="DV35" s="238" t="n"/>
      <c r="DW35" s="238" t="n"/>
      <c r="DX35" s="238" t="n"/>
      <c r="DY35" s="238" t="n"/>
      <c r="DZ35" s="23" t="n"/>
      <c r="FQ35" s="212" t="n"/>
      <c r="FR35" s="212" t="n"/>
      <c r="FS35" s="212" t="n"/>
      <c r="FT35" s="212" t="n"/>
      <c r="FU35" s="212" t="n"/>
      <c r="FV35" s="212" t="n"/>
      <c r="FW35" s="212" t="n"/>
      <c r="FX35" s="212" t="n"/>
      <c r="FY35" s="212" t="n"/>
      <c r="FZ35" s="212" t="n"/>
    </row>
    <row r="36" ht="39.95" customFormat="1" customHeight="1" s="5">
      <c r="A36" s="456" t="n"/>
      <c r="B36" s="8" t="inlineStr">
        <is>
          <t>&amp; OSCILLATOR</t>
        </is>
      </c>
      <c r="C36" s="12" t="inlineStr">
        <is>
          <t>R</t>
        </is>
      </c>
      <c r="D36" s="393" t="inlineStr"/>
      <c r="E36" s="396" t="inlineStr"/>
      <c r="F36" s="396" t="inlineStr"/>
      <c r="G36" s="438" t="n">
        <v>0.203</v>
      </c>
      <c r="H36" s="441" t="n">
        <v>0.201</v>
      </c>
      <c r="I36" s="402" t="inlineStr">
        <is>
          <t>RT</t>
        </is>
      </c>
      <c r="J36" s="396" t="inlineStr">
        <is>
          <t>RT</t>
        </is>
      </c>
      <c r="K36" s="438" t="n">
        <v>0.281</v>
      </c>
      <c r="L36" s="396" t="n">
        <v>0.282</v>
      </c>
      <c r="M36" s="399" t="inlineStr">
        <is>
          <t>RT</t>
        </is>
      </c>
      <c r="N36" s="402" t="inlineStr">
        <is>
          <t>RT</t>
        </is>
      </c>
      <c r="O36" s="438" t="n">
        <v>0.201</v>
      </c>
      <c r="P36" s="104" t="n">
        <v>0.216</v>
      </c>
      <c r="Q36" s="396" t="inlineStr"/>
      <c r="R36" s="399" t="inlineStr"/>
      <c r="S36" s="402" t="inlineStr"/>
      <c r="T36" s="396" t="inlineStr"/>
      <c r="U36" s="396" t="inlineStr"/>
      <c r="V36" s="396" t="inlineStr"/>
      <c r="W36" s="399" t="inlineStr"/>
      <c r="X36" s="402" t="inlineStr"/>
      <c r="Y36" s="396" t="inlineStr"/>
      <c r="Z36" s="396" t="inlineStr"/>
      <c r="AA36" s="396" t="inlineStr"/>
      <c r="AB36" s="399" t="inlineStr"/>
      <c r="AC36" s="402" t="inlineStr"/>
      <c r="AD36" s="396" t="inlineStr"/>
      <c r="AE36" s="396" t="inlineStr"/>
      <c r="AF36" s="396" t="inlineStr"/>
      <c r="AG36" s="399" t="inlineStr"/>
      <c r="AH36" s="402" t="inlineStr"/>
      <c r="AI36" s="438" t="n">
        <v>0.189</v>
      </c>
      <c r="AJ36" s="438" t="n">
        <v>0.205</v>
      </c>
      <c r="AK36" s="438" t="n">
        <v>0.199</v>
      </c>
      <c r="AL36" s="441" t="n">
        <v>0.209</v>
      </c>
      <c r="AM36" s="444" t="n">
        <v>0.168</v>
      </c>
      <c r="AN36" s="104" t="n">
        <v>0.237</v>
      </c>
      <c r="AO36" s="396" t="inlineStr"/>
      <c r="AP36" s="396" t="inlineStr"/>
      <c r="AQ36" s="399" t="inlineStr"/>
      <c r="AR36" s="402" t="inlineStr"/>
      <c r="AS36" s="396" t="inlineStr"/>
      <c r="AT36" s="396" t="inlineStr"/>
      <c r="AU36" s="396" t="inlineStr"/>
      <c r="AV36" s="399" t="inlineStr"/>
      <c r="AW36" s="402" t="inlineStr"/>
      <c r="AX36" s="396" t="inlineStr"/>
      <c r="AY36" s="396" t="inlineStr"/>
      <c r="AZ36" s="396" t="inlineStr"/>
      <c r="BA36" s="399" t="inlineStr"/>
      <c r="BB36" s="402" t="inlineStr"/>
      <c r="BC36" s="396" t="inlineStr"/>
      <c r="BD36" s="396" t="inlineStr"/>
      <c r="BE36" s="396" t="inlineStr"/>
      <c r="BF36" s="399" t="inlineStr"/>
      <c r="BG36" s="402" t="inlineStr"/>
      <c r="BH36" s="396" t="inlineStr"/>
      <c r="BI36" s="396" t="inlineStr"/>
      <c r="BJ36" s="396" t="inlineStr"/>
      <c r="BK36" s="399" t="inlineStr"/>
      <c r="BL36" s="402" t="inlineStr"/>
      <c r="BM36" s="396" t="inlineStr"/>
      <c r="BN36" s="396" t="inlineStr"/>
      <c r="BO36" s="396" t="inlineStr"/>
      <c r="BP36" s="399" t="inlineStr"/>
      <c r="BQ36" s="402" t="inlineStr"/>
      <c r="BR36" s="396" t="inlineStr"/>
      <c r="BS36" s="396" t="inlineStr"/>
      <c r="BT36" s="399" t="inlineStr"/>
      <c r="BU36" s="457" t="n"/>
      <c r="BV36" s="457" t="n"/>
      <c r="BW36" s="238" t="n"/>
      <c r="BX36" s="238" t="n"/>
      <c r="BY36" s="238" t="n"/>
      <c r="BZ36" s="238" t="n"/>
      <c r="CA36" s="238" t="n"/>
      <c r="CB36" s="238" t="n"/>
      <c r="CC36" s="238" t="n"/>
      <c r="CD36" s="238" t="n"/>
      <c r="CE36" s="238" t="n"/>
      <c r="CF36" s="238" t="n"/>
      <c r="CG36" s="238" t="n"/>
      <c r="CH36" s="238" t="n"/>
      <c r="CI36" s="238" t="n"/>
      <c r="CJ36" s="238" t="n"/>
      <c r="CK36" s="238" t="n"/>
      <c r="CL36" s="238" t="n"/>
      <c r="CM36" s="238" t="n"/>
      <c r="CN36" s="238" t="n"/>
      <c r="CO36" s="238" t="n"/>
      <c r="CP36" s="238" t="n"/>
      <c r="CQ36" s="238" t="n"/>
      <c r="CR36" s="238" t="n"/>
      <c r="CS36" s="238" t="n"/>
      <c r="CT36" s="238" t="n"/>
      <c r="CU36" s="238" t="n"/>
      <c r="CV36" s="238" t="n"/>
      <c r="CW36" s="238" t="n"/>
      <c r="CX36" s="238" t="n"/>
      <c r="CY36" s="238" t="n"/>
      <c r="CZ36" s="238" t="n"/>
      <c r="DA36" s="238" t="n"/>
      <c r="DB36" s="238" t="n"/>
      <c r="DC36" s="238" t="n"/>
      <c r="DD36" s="238" t="n"/>
      <c r="DE36" s="238" t="n"/>
      <c r="DF36" s="238" t="n"/>
      <c r="DG36" s="238" t="n"/>
      <c r="DH36" s="238" t="n"/>
      <c r="DI36" s="238" t="n"/>
      <c r="DJ36" s="238" t="n"/>
      <c r="DK36" s="238" t="n"/>
      <c r="DL36" s="238" t="n"/>
      <c r="DM36" s="238" t="n"/>
      <c r="DN36" s="238" t="n"/>
      <c r="DO36" s="238" t="n"/>
      <c r="DP36" s="238" t="n"/>
      <c r="DQ36" s="238" t="n"/>
      <c r="DR36" s="238" t="n"/>
      <c r="DS36" s="238" t="n"/>
      <c r="DT36" s="238" t="n"/>
      <c r="DU36" s="238" t="n"/>
      <c r="DV36" s="238" t="n"/>
      <c r="DW36" s="238" t="n"/>
      <c r="DX36" s="238" t="n"/>
      <c r="DY36" s="238" t="n"/>
      <c r="DZ36" s="23" t="n"/>
      <c r="FQ36" s="212" t="n"/>
      <c r="FR36" s="212" t="n"/>
      <c r="FS36" s="212" t="n"/>
      <c r="FT36" s="212" t="n"/>
      <c r="FU36" s="212" t="n"/>
      <c r="FV36" s="212" t="n"/>
      <c r="FW36" s="212" t="n"/>
      <c r="FX36" s="212" t="n"/>
      <c r="FY36" s="212" t="n"/>
      <c r="FZ36" s="212" t="n"/>
    </row>
    <row r="37" ht="39.95" customFormat="1" customHeight="1" s="5">
      <c r="A37" s="10" t="inlineStr">
        <is>
          <t>A</t>
        </is>
      </c>
      <c r="B37" s="6" t="inlineStr">
        <is>
          <t>POSITION 'D'</t>
        </is>
      </c>
      <c r="C37" s="11" t="inlineStr">
        <is>
          <t>L</t>
        </is>
      </c>
      <c r="D37" s="391" t="inlineStr"/>
      <c r="E37" s="394" t="inlineStr"/>
      <c r="F37" s="394" t="inlineStr"/>
      <c r="G37" s="436" t="n">
        <v>0.209</v>
      </c>
      <c r="H37" s="439" t="n">
        <v>0.204</v>
      </c>
      <c r="I37" s="400" t="inlineStr">
        <is>
          <t>RT</t>
        </is>
      </c>
      <c r="J37" s="99" t="n">
        <v>0.255</v>
      </c>
      <c r="K37" s="436" t="n">
        <v>0.208</v>
      </c>
      <c r="L37" s="394" t="n">
        <v>0.244</v>
      </c>
      <c r="M37" s="397" t="n">
        <v>0.243</v>
      </c>
      <c r="N37" s="400" t="inlineStr">
        <is>
          <t>RT</t>
        </is>
      </c>
      <c r="O37" s="394" t="n">
        <v>0.218</v>
      </c>
      <c r="P37" s="436" t="n">
        <v>0.194</v>
      </c>
      <c r="Q37" s="394" t="inlineStr"/>
      <c r="R37" s="397" t="inlineStr"/>
      <c r="S37" s="400" t="inlineStr"/>
      <c r="T37" s="394" t="inlineStr"/>
      <c r="U37" s="394" t="inlineStr"/>
      <c r="V37" s="394" t="inlineStr"/>
      <c r="W37" s="397" t="inlineStr"/>
      <c r="X37" s="400" t="inlineStr"/>
      <c r="Y37" s="394" t="inlineStr"/>
      <c r="Z37" s="394" t="inlineStr"/>
      <c r="AA37" s="394" t="inlineStr"/>
      <c r="AB37" s="397" t="inlineStr"/>
      <c r="AC37" s="400" t="inlineStr"/>
      <c r="AD37" s="394" t="inlineStr"/>
      <c r="AE37" s="394" t="inlineStr"/>
      <c r="AF37" s="394" t="inlineStr"/>
      <c r="AG37" s="397" t="inlineStr"/>
      <c r="AH37" s="400" t="inlineStr"/>
      <c r="AI37" s="436" t="n">
        <v>0.191</v>
      </c>
      <c r="AJ37" s="436" t="n">
        <v>0.198</v>
      </c>
      <c r="AK37" s="436" t="n">
        <v>0.193</v>
      </c>
      <c r="AL37" s="100" t="n">
        <v>0.224</v>
      </c>
      <c r="AM37" s="442" t="n">
        <v>0.149</v>
      </c>
      <c r="AN37" s="436" t="n">
        <v>0.103</v>
      </c>
      <c r="AO37" s="394" t="inlineStr"/>
      <c r="AP37" s="394" t="inlineStr"/>
      <c r="AQ37" s="397" t="inlineStr"/>
      <c r="AR37" s="400" t="inlineStr"/>
      <c r="AS37" s="394" t="inlineStr"/>
      <c r="AT37" s="394" t="inlineStr"/>
      <c r="AU37" s="394" t="inlineStr"/>
      <c r="AV37" s="397" t="inlineStr"/>
      <c r="AW37" s="400" t="inlineStr"/>
      <c r="AX37" s="394" t="inlineStr"/>
      <c r="AY37" s="394" t="inlineStr"/>
      <c r="AZ37" s="394" t="inlineStr"/>
      <c r="BA37" s="397" t="inlineStr"/>
      <c r="BB37" s="400" t="inlineStr"/>
      <c r="BC37" s="394" t="inlineStr"/>
      <c r="BD37" s="394" t="inlineStr"/>
      <c r="BE37" s="394" t="inlineStr"/>
      <c r="BF37" s="397" t="inlineStr"/>
      <c r="BG37" s="400" t="inlineStr"/>
      <c r="BH37" s="394" t="inlineStr"/>
      <c r="BI37" s="394" t="inlineStr"/>
      <c r="BJ37" s="394" t="inlineStr"/>
      <c r="BK37" s="397" t="inlineStr"/>
      <c r="BL37" s="400" t="inlineStr"/>
      <c r="BM37" s="394" t="inlineStr"/>
      <c r="BN37" s="394" t="inlineStr"/>
      <c r="BO37" s="394" t="inlineStr"/>
      <c r="BP37" s="397" t="inlineStr"/>
      <c r="BQ37" s="400" t="inlineStr"/>
      <c r="BR37" s="394" t="inlineStr"/>
      <c r="BS37" s="394" t="inlineStr"/>
      <c r="BT37" s="397" t="inlineStr"/>
      <c r="BU37" s="454">
        <f>IFERROR(AVERAGE(D37:BT39),0)</f>
        <v/>
      </c>
      <c r="BV37" s="454">
        <f>MIN(D37:BT39)</f>
        <v/>
      </c>
      <c r="BW37" s="238" t="n"/>
      <c r="BX37" s="238" t="n"/>
      <c r="BY37" s="238" t="n"/>
      <c r="BZ37" s="238" t="n"/>
      <c r="CA37" s="238" t="n"/>
      <c r="CB37" s="238" t="n"/>
      <c r="CC37" s="238" t="n"/>
      <c r="CD37" s="238" t="n"/>
      <c r="CE37" s="238" t="n"/>
      <c r="CF37" s="238" t="n"/>
      <c r="CG37" s="238" t="n"/>
      <c r="CH37" s="238" t="n"/>
      <c r="CI37" s="238" t="n"/>
      <c r="CJ37" s="238" t="n"/>
      <c r="CK37" s="238" t="n"/>
      <c r="CL37" s="238" t="n"/>
      <c r="CM37" s="238" t="n"/>
      <c r="CN37" s="238" t="n"/>
      <c r="CO37" s="238" t="n"/>
      <c r="CP37" s="238" t="n"/>
      <c r="CQ37" s="238" t="n"/>
      <c r="CR37" s="238" t="n"/>
      <c r="CS37" s="238" t="n"/>
      <c r="CT37" s="238" t="n"/>
      <c r="CU37" s="238" t="n"/>
      <c r="CV37" s="238" t="n"/>
      <c r="CW37" s="238" t="n"/>
      <c r="CX37" s="238" t="n"/>
      <c r="CY37" s="238" t="n"/>
      <c r="CZ37" s="238" t="n"/>
      <c r="DA37" s="238" t="n"/>
      <c r="DB37" s="238" t="n"/>
      <c r="DC37" s="238" t="n"/>
      <c r="DD37" s="238" t="n"/>
      <c r="DE37" s="238" t="n"/>
      <c r="DF37" s="238" t="n"/>
      <c r="DG37" s="238" t="n"/>
      <c r="DH37" s="238" t="n"/>
      <c r="DI37" s="238" t="n"/>
      <c r="DJ37" s="238" t="n"/>
      <c r="DK37" s="238" t="n"/>
      <c r="DL37" s="238" t="n"/>
      <c r="DM37" s="238" t="n"/>
      <c r="DN37" s="238" t="n"/>
      <c r="DO37" s="238" t="n"/>
      <c r="DP37" s="238" t="n"/>
      <c r="DQ37" s="238" t="n"/>
      <c r="DR37" s="238" t="n"/>
      <c r="DS37" s="238" t="n"/>
      <c r="DT37" s="238" t="n"/>
      <c r="DU37" s="238" t="n"/>
      <c r="DV37" s="238" t="n"/>
      <c r="DW37" s="238" t="n"/>
      <c r="DX37" s="238" t="n"/>
      <c r="DY37" s="238" t="n"/>
      <c r="DZ37" s="23" t="n"/>
      <c r="FQ37" s="212" t="n"/>
      <c r="FR37" s="212" t="n"/>
      <c r="FS37" s="212" t="n"/>
      <c r="FT37" s="212" t="n"/>
      <c r="FU37" s="212" t="n"/>
      <c r="FV37" s="212" t="n"/>
      <c r="FW37" s="212" t="n"/>
      <c r="FX37" s="212" t="n"/>
      <c r="FY37" s="212" t="n"/>
      <c r="FZ37" s="212" t="n"/>
    </row>
    <row r="38" ht="39.95" customFormat="1" customHeight="1" s="5">
      <c r="A38" s="182" t="n">
        <v>0.083</v>
      </c>
      <c r="B38" s="7" t="inlineStr">
        <is>
          <t>OF THE MANWAY</t>
        </is>
      </c>
      <c r="C38" s="11" t="inlineStr">
        <is>
          <t>C</t>
        </is>
      </c>
      <c r="D38" s="392" t="inlineStr"/>
      <c r="E38" s="395" t="inlineStr"/>
      <c r="F38" s="395" t="inlineStr"/>
      <c r="G38" s="437" t="n">
        <v>0.218</v>
      </c>
      <c r="H38" s="440" t="n">
        <v>0.197</v>
      </c>
      <c r="I38" s="401" t="inlineStr">
        <is>
          <t>RT</t>
        </is>
      </c>
      <c r="J38" s="395" t="n">
        <v>0.273</v>
      </c>
      <c r="K38" s="437" t="n">
        <v>0.194</v>
      </c>
      <c r="L38" s="437" t="n">
        <v>0.245</v>
      </c>
      <c r="M38" s="398" t="inlineStr">
        <is>
          <t>RT</t>
        </is>
      </c>
      <c r="N38" s="401" t="inlineStr">
        <is>
          <t>RT</t>
        </is>
      </c>
      <c r="O38" s="437" t="n">
        <v>0.214</v>
      </c>
      <c r="P38" s="437" t="n">
        <v>0.172</v>
      </c>
      <c r="Q38" s="395" t="inlineStr"/>
      <c r="R38" s="398" t="inlineStr"/>
      <c r="S38" s="401" t="inlineStr"/>
      <c r="T38" s="395" t="inlineStr"/>
      <c r="U38" s="395" t="inlineStr"/>
      <c r="V38" s="395" t="inlineStr"/>
      <c r="W38" s="398" t="inlineStr"/>
      <c r="X38" s="401" t="inlineStr"/>
      <c r="Y38" s="395" t="inlineStr"/>
      <c r="Z38" s="395" t="inlineStr"/>
      <c r="AA38" s="395" t="inlineStr"/>
      <c r="AB38" s="398" t="inlineStr"/>
      <c r="AC38" s="401" t="inlineStr"/>
      <c r="AD38" s="395" t="inlineStr"/>
      <c r="AE38" s="395" t="inlineStr"/>
      <c r="AF38" s="395" t="inlineStr"/>
      <c r="AG38" s="398" t="inlineStr"/>
      <c r="AH38" s="401" t="inlineStr"/>
      <c r="AI38" s="101" t="n">
        <v>0.211</v>
      </c>
      <c r="AJ38" s="437" t="n">
        <v>0.183</v>
      </c>
      <c r="AK38" s="437" t="n">
        <v>0.215</v>
      </c>
      <c r="AL38" s="398" t="n">
        <v>0.215</v>
      </c>
      <c r="AM38" s="443" t="n">
        <v>0.191</v>
      </c>
      <c r="AN38" s="437" t="n">
        <v>0.081</v>
      </c>
      <c r="AO38" s="395" t="inlineStr"/>
      <c r="AP38" s="395" t="inlineStr"/>
      <c r="AQ38" s="398" t="inlineStr"/>
      <c r="AR38" s="401" t="inlineStr"/>
      <c r="AS38" s="395" t="inlineStr"/>
      <c r="AT38" s="395" t="inlineStr"/>
      <c r="AU38" s="395" t="inlineStr"/>
      <c r="AV38" s="398" t="inlineStr"/>
      <c r="AW38" s="401" t="inlineStr"/>
      <c r="AX38" s="395" t="inlineStr"/>
      <c r="AY38" s="395" t="inlineStr"/>
      <c r="AZ38" s="395" t="inlineStr"/>
      <c r="BA38" s="398" t="inlineStr"/>
      <c r="BB38" s="401" t="inlineStr"/>
      <c r="BC38" s="395" t="inlineStr"/>
      <c r="BD38" s="395" t="inlineStr"/>
      <c r="BE38" s="395" t="inlineStr"/>
      <c r="BF38" s="398" t="inlineStr"/>
      <c r="BG38" s="401" t="inlineStr"/>
      <c r="BH38" s="395" t="inlineStr"/>
      <c r="BI38" s="395" t="inlineStr"/>
      <c r="BJ38" s="395" t="inlineStr"/>
      <c r="BK38" s="398" t="inlineStr"/>
      <c r="BL38" s="401" t="inlineStr"/>
      <c r="BM38" s="395" t="inlineStr"/>
      <c r="BN38" s="395" t="inlineStr"/>
      <c r="BO38" s="395" t="inlineStr"/>
      <c r="BP38" s="398" t="inlineStr"/>
      <c r="BQ38" s="401" t="inlineStr"/>
      <c r="BR38" s="395" t="inlineStr"/>
      <c r="BS38" s="395" t="inlineStr"/>
      <c r="BT38" s="398" t="inlineStr"/>
      <c r="BU38" s="455" t="n"/>
      <c r="BV38" s="455" t="n"/>
      <c r="BW38" s="238" t="n"/>
      <c r="BX38" s="238" t="n"/>
      <c r="BY38" s="238" t="n"/>
      <c r="BZ38" s="238" t="n"/>
      <c r="CA38" s="238" t="n"/>
      <c r="CB38" s="238" t="n"/>
      <c r="CC38" s="238" t="n"/>
      <c r="CD38" s="238" t="n"/>
      <c r="CE38" s="238" t="n"/>
      <c r="CF38" s="238" t="n"/>
      <c r="CG38" s="238" t="n"/>
      <c r="CH38" s="238" t="n"/>
      <c r="CI38" s="238" t="n"/>
      <c r="CJ38" s="238" t="n"/>
      <c r="CK38" s="238" t="n"/>
      <c r="CL38" s="238" t="n"/>
      <c r="CM38" s="238" t="n"/>
      <c r="CN38" s="238" t="n"/>
      <c r="CO38" s="238" t="n"/>
      <c r="CP38" s="238" t="n"/>
      <c r="CQ38" s="238" t="n"/>
      <c r="CR38" s="238" t="n"/>
      <c r="CS38" s="238" t="n"/>
      <c r="CT38" s="238" t="n"/>
      <c r="CU38" s="238" t="n"/>
      <c r="CV38" s="238" t="n"/>
      <c r="CW38" s="238" t="n"/>
      <c r="CX38" s="238" t="n"/>
      <c r="CY38" s="238" t="n"/>
      <c r="CZ38" s="238" t="n"/>
      <c r="DA38" s="238" t="n"/>
      <c r="DB38" s="238" t="n"/>
      <c r="DC38" s="238" t="n"/>
      <c r="DD38" s="238" t="n"/>
      <c r="DE38" s="238" t="n"/>
      <c r="DF38" s="238" t="n"/>
      <c r="DG38" s="238" t="n"/>
      <c r="DH38" s="238" t="n"/>
      <c r="DI38" s="238" t="n"/>
      <c r="DJ38" s="238" t="n"/>
      <c r="DK38" s="238" t="n"/>
      <c r="DL38" s="238" t="n"/>
      <c r="DM38" s="238" t="n"/>
      <c r="DN38" s="238" t="n"/>
      <c r="DO38" s="238" t="n"/>
      <c r="DP38" s="238" t="n"/>
      <c r="DQ38" s="238" t="n"/>
      <c r="DR38" s="238" t="n"/>
      <c r="DS38" s="238" t="n"/>
      <c r="DT38" s="238" t="n"/>
      <c r="DU38" s="238" t="n"/>
      <c r="DV38" s="238" t="n"/>
      <c r="DW38" s="238" t="n"/>
      <c r="DX38" s="238" t="n"/>
      <c r="DY38" s="238" t="n"/>
      <c r="DZ38" s="23" t="n"/>
      <c r="FQ38" s="212" t="n"/>
      <c r="FR38" s="212" t="n"/>
      <c r="FS38" s="212" t="n"/>
      <c r="FT38" s="212" t="n"/>
      <c r="FU38" s="212" t="n"/>
      <c r="FV38" s="212" t="n"/>
      <c r="FW38" s="212" t="n"/>
      <c r="FX38" s="212" t="n"/>
      <c r="FY38" s="212" t="n"/>
      <c r="FZ38" s="212" t="n"/>
    </row>
    <row r="39" ht="39.95" customFormat="1" customHeight="1" s="5">
      <c r="A39" s="456" t="n"/>
      <c r="B39" s="8" t="inlineStr">
        <is>
          <t>&amp; OSCILLATOR</t>
        </is>
      </c>
      <c r="C39" s="12" t="inlineStr">
        <is>
          <t>R</t>
        </is>
      </c>
      <c r="D39" s="393" t="inlineStr"/>
      <c r="E39" s="396" t="inlineStr"/>
      <c r="F39" s="396" t="inlineStr"/>
      <c r="G39" s="104" t="n">
        <v>0.222</v>
      </c>
      <c r="H39" s="441" t="n">
        <v>0.202</v>
      </c>
      <c r="I39" s="402" t="inlineStr">
        <is>
          <t>RT</t>
        </is>
      </c>
      <c r="J39" s="396" t="n">
        <v>0.247</v>
      </c>
      <c r="K39" s="438" t="n">
        <v>0.196</v>
      </c>
      <c r="L39" s="438" t="n">
        <v>0.263</v>
      </c>
      <c r="M39" s="399" t="inlineStr">
        <is>
          <t>RT</t>
        </is>
      </c>
      <c r="N39" s="402" t="inlineStr">
        <is>
          <t>RT</t>
        </is>
      </c>
      <c r="O39" s="396" t="n">
        <v>0.177</v>
      </c>
      <c r="P39" s="438" t="n">
        <v>0.183</v>
      </c>
      <c r="Q39" s="396" t="inlineStr"/>
      <c r="R39" s="399" t="inlineStr"/>
      <c r="S39" s="402" t="inlineStr"/>
      <c r="T39" s="396" t="inlineStr"/>
      <c r="U39" s="396" t="inlineStr"/>
      <c r="V39" s="396" t="inlineStr"/>
      <c r="W39" s="399" t="inlineStr"/>
      <c r="X39" s="402" t="inlineStr"/>
      <c r="Y39" s="396" t="inlineStr"/>
      <c r="Z39" s="396" t="inlineStr"/>
      <c r="AA39" s="396" t="inlineStr"/>
      <c r="AB39" s="399" t="inlineStr"/>
      <c r="AC39" s="402" t="inlineStr"/>
      <c r="AD39" s="396" t="inlineStr"/>
      <c r="AE39" s="396" t="inlineStr"/>
      <c r="AF39" s="396" t="inlineStr"/>
      <c r="AG39" s="399" t="inlineStr"/>
      <c r="AH39" s="402" t="inlineStr"/>
      <c r="AI39" s="396" t="n">
        <v>0.211</v>
      </c>
      <c r="AJ39" s="438" t="n">
        <v>0.197</v>
      </c>
      <c r="AK39" s="438" t="n">
        <v>0.21</v>
      </c>
      <c r="AL39" s="441" t="n">
        <v>0.185</v>
      </c>
      <c r="AM39" s="444" t="n">
        <v>0.183</v>
      </c>
      <c r="AN39" s="438" t="n">
        <v>0.195</v>
      </c>
      <c r="AO39" s="396" t="inlineStr"/>
      <c r="AP39" s="396" t="inlineStr"/>
      <c r="AQ39" s="399" t="inlineStr"/>
      <c r="AR39" s="402" t="inlineStr"/>
      <c r="AS39" s="396" t="inlineStr"/>
      <c r="AT39" s="396" t="inlineStr"/>
      <c r="AU39" s="396" t="inlineStr"/>
      <c r="AV39" s="399" t="inlineStr"/>
      <c r="AW39" s="402" t="inlineStr"/>
      <c r="AX39" s="396" t="inlineStr"/>
      <c r="AY39" s="396" t="inlineStr"/>
      <c r="AZ39" s="396" t="inlineStr"/>
      <c r="BA39" s="399" t="inlineStr"/>
      <c r="BB39" s="402" t="inlineStr"/>
      <c r="BC39" s="396" t="inlineStr"/>
      <c r="BD39" s="396" t="inlineStr"/>
      <c r="BE39" s="396" t="inlineStr"/>
      <c r="BF39" s="399" t="inlineStr"/>
      <c r="BG39" s="402" t="inlineStr"/>
      <c r="BH39" s="396" t="inlineStr"/>
      <c r="BI39" s="396" t="inlineStr"/>
      <c r="BJ39" s="396" t="inlineStr"/>
      <c r="BK39" s="399" t="inlineStr"/>
      <c r="BL39" s="402" t="inlineStr"/>
      <c r="BM39" s="396" t="inlineStr"/>
      <c r="BN39" s="396" t="inlineStr"/>
      <c r="BO39" s="396" t="inlineStr"/>
      <c r="BP39" s="399" t="inlineStr"/>
      <c r="BQ39" s="402" t="inlineStr"/>
      <c r="BR39" s="396" t="inlineStr"/>
      <c r="BS39" s="396" t="inlineStr"/>
      <c r="BT39" s="399" t="inlineStr"/>
      <c r="BU39" s="457" t="n"/>
      <c r="BV39" s="457" t="n"/>
      <c r="BW39" s="238" t="n"/>
      <c r="BX39" s="238" t="n"/>
      <c r="BY39" s="238" t="n"/>
      <c r="BZ39" s="238" t="n"/>
      <c r="CA39" s="238" t="n"/>
      <c r="CB39" s="238" t="n"/>
      <c r="CC39" s="238" t="n"/>
      <c r="CD39" s="238" t="n"/>
      <c r="CE39" s="238" t="n"/>
      <c r="CF39" s="238" t="n"/>
      <c r="CG39" s="238" t="n"/>
      <c r="CH39" s="238" t="n"/>
      <c r="CI39" s="238" t="n"/>
      <c r="CJ39" s="238" t="n"/>
      <c r="CK39" s="238" t="n"/>
      <c r="CL39" s="238" t="n"/>
      <c r="CM39" s="238" t="n"/>
      <c r="CN39" s="238" t="n"/>
      <c r="CO39" s="238" t="n"/>
      <c r="CP39" s="238" t="n"/>
      <c r="CQ39" s="238" t="n"/>
      <c r="CR39" s="238" t="n"/>
      <c r="CS39" s="238" t="n"/>
      <c r="CT39" s="238" t="n"/>
      <c r="CU39" s="238" t="n"/>
      <c r="CV39" s="238" t="n"/>
      <c r="CW39" s="238" t="n"/>
      <c r="CX39" s="238" t="n"/>
      <c r="CY39" s="238" t="n"/>
      <c r="CZ39" s="238" t="n"/>
      <c r="DA39" s="238" t="n"/>
      <c r="DB39" s="238" t="n"/>
      <c r="DC39" s="238" t="n"/>
      <c r="DD39" s="238" t="n"/>
      <c r="DE39" s="238" t="n"/>
      <c r="DF39" s="238" t="n"/>
      <c r="DG39" s="238" t="n"/>
      <c r="DH39" s="238" t="n"/>
      <c r="DI39" s="238" t="n"/>
      <c r="DJ39" s="238" t="n"/>
      <c r="DK39" s="238" t="n"/>
      <c r="DL39" s="238" t="n"/>
      <c r="DM39" s="238" t="n"/>
      <c r="DN39" s="238" t="n"/>
      <c r="DO39" s="238" t="n"/>
      <c r="DP39" s="238" t="n"/>
      <c r="DQ39" s="238" t="n"/>
      <c r="DR39" s="238" t="n"/>
      <c r="DS39" s="238" t="n"/>
      <c r="DT39" s="238" t="n"/>
      <c r="DU39" s="238" t="n"/>
      <c r="DV39" s="238" t="n"/>
      <c r="DW39" s="238" t="n"/>
      <c r="DX39" s="238" t="n"/>
      <c r="DY39" s="238" t="n"/>
      <c r="DZ39" s="23" t="n"/>
      <c r="FQ39" s="212" t="n"/>
      <c r="FR39" s="212" t="n"/>
      <c r="FS39" s="212" t="n"/>
      <c r="FT39" s="212" t="n"/>
      <c r="FU39" s="212" t="n"/>
      <c r="FV39" s="212" t="n"/>
      <c r="FW39" s="212" t="n"/>
      <c r="FX39" s="212" t="n"/>
      <c r="FY39" s="212" t="n"/>
      <c r="FZ39" s="212" t="n"/>
    </row>
    <row r="40" ht="39.95" customFormat="1" customHeight="1" s="5">
      <c r="A40" s="10" t="inlineStr">
        <is>
          <t>A</t>
        </is>
      </c>
      <c r="B40" s="6" t="inlineStr">
        <is>
          <t>POSITION 'E'</t>
        </is>
      </c>
      <c r="C40" s="11" t="inlineStr">
        <is>
          <t>L</t>
        </is>
      </c>
      <c r="D40" s="391" t="inlineStr"/>
      <c r="E40" s="394" t="inlineStr"/>
      <c r="F40" s="394" t="inlineStr"/>
      <c r="G40" s="394" t="n">
        <v>0.218</v>
      </c>
      <c r="H40" s="397" t="n">
        <v>0.21</v>
      </c>
      <c r="I40" s="400" t="n">
        <v>0.188</v>
      </c>
      <c r="J40" s="394" t="n">
        <v>0.249</v>
      </c>
      <c r="K40" s="99" t="n">
        <v>0.269</v>
      </c>
      <c r="L40" s="99" t="n">
        <v>0.267</v>
      </c>
      <c r="M40" s="439" t="n">
        <v>0.25</v>
      </c>
      <c r="N40" s="400" t="n">
        <v>0.27</v>
      </c>
      <c r="O40" s="394" t="n">
        <v>0.203</v>
      </c>
      <c r="P40" s="436" t="n">
        <v>0.208</v>
      </c>
      <c r="Q40" s="394" t="inlineStr"/>
      <c r="R40" s="397" t="inlineStr"/>
      <c r="S40" s="400" t="inlineStr"/>
      <c r="T40" s="394" t="inlineStr"/>
      <c r="U40" s="394" t="inlineStr"/>
      <c r="V40" s="394" t="inlineStr"/>
      <c r="W40" s="397" t="inlineStr"/>
      <c r="X40" s="400" t="inlineStr"/>
      <c r="Y40" s="394" t="inlineStr"/>
      <c r="Z40" s="394" t="inlineStr"/>
      <c r="AA40" s="394" t="inlineStr"/>
      <c r="AB40" s="397" t="inlineStr"/>
      <c r="AC40" s="400" t="inlineStr"/>
      <c r="AD40" s="394" t="inlineStr"/>
      <c r="AE40" s="394" t="inlineStr"/>
      <c r="AF40" s="394" t="inlineStr"/>
      <c r="AG40" s="397" t="inlineStr"/>
      <c r="AH40" s="400" t="inlineStr"/>
      <c r="AI40" s="436" t="n">
        <v>0.198</v>
      </c>
      <c r="AJ40" s="394" t="n">
        <v>0.183</v>
      </c>
      <c r="AK40" s="99" t="n">
        <v>0.229</v>
      </c>
      <c r="AL40" s="439" t="n">
        <v>0.208</v>
      </c>
      <c r="AM40" s="442" t="n">
        <v>0.163</v>
      </c>
      <c r="AN40" s="436" t="n">
        <v>0.117</v>
      </c>
      <c r="AO40" s="394" t="inlineStr"/>
      <c r="AP40" s="394" t="inlineStr"/>
      <c r="AQ40" s="397" t="inlineStr"/>
      <c r="AR40" s="400" t="inlineStr"/>
      <c r="AS40" s="394" t="inlineStr"/>
      <c r="AT40" s="394" t="inlineStr"/>
      <c r="AU40" s="394" t="inlineStr"/>
      <c r="AV40" s="397" t="inlineStr"/>
      <c r="AW40" s="400" t="inlineStr"/>
      <c r="AX40" s="394" t="inlineStr"/>
      <c r="AY40" s="394" t="inlineStr"/>
      <c r="AZ40" s="394" t="inlineStr"/>
      <c r="BA40" s="397" t="inlineStr"/>
      <c r="BB40" s="400" t="inlineStr"/>
      <c r="BC40" s="394" t="inlineStr"/>
      <c r="BD40" s="394" t="inlineStr"/>
      <c r="BE40" s="394" t="inlineStr"/>
      <c r="BF40" s="397" t="inlineStr"/>
      <c r="BG40" s="400" t="inlineStr"/>
      <c r="BH40" s="394" t="inlineStr"/>
      <c r="BI40" s="394" t="inlineStr"/>
      <c r="BJ40" s="394" t="inlineStr"/>
      <c r="BK40" s="397" t="inlineStr"/>
      <c r="BL40" s="400" t="inlineStr"/>
      <c r="BM40" s="394" t="inlineStr"/>
      <c r="BN40" s="394" t="inlineStr"/>
      <c r="BO40" s="394" t="inlineStr"/>
      <c r="BP40" s="397" t="inlineStr"/>
      <c r="BQ40" s="400" t="inlineStr"/>
      <c r="BR40" s="394" t="inlineStr"/>
      <c r="BS40" s="394" t="inlineStr"/>
      <c r="BT40" s="397" t="inlineStr"/>
      <c r="BU40" s="454">
        <f>IFERROR(AVERAGE(D40:BT42),0)</f>
        <v/>
      </c>
      <c r="BV40" s="454">
        <f>MIN(D40:BT42)</f>
        <v/>
      </c>
      <c r="BW40" s="238" t="n"/>
      <c r="BX40" s="238" t="n"/>
      <c r="BY40" s="238" t="n"/>
      <c r="BZ40" s="238" t="n"/>
      <c r="CA40" s="238" t="n"/>
      <c r="CB40" s="238" t="n"/>
      <c r="CC40" s="238" t="n"/>
      <c r="CD40" s="238" t="n"/>
      <c r="CE40" s="238" t="n"/>
      <c r="CF40" s="238" t="n"/>
      <c r="CG40" s="238" t="n"/>
      <c r="CH40" s="238" t="n"/>
      <c r="CI40" s="238" t="n"/>
      <c r="CJ40" s="238" t="n"/>
      <c r="CK40" s="238" t="n"/>
      <c r="CL40" s="238" t="n"/>
      <c r="CM40" s="238" t="n"/>
      <c r="CN40" s="238" t="n"/>
      <c r="CO40" s="238" t="n"/>
      <c r="CP40" s="238" t="n"/>
      <c r="CQ40" s="238" t="n"/>
      <c r="CR40" s="238" t="n"/>
      <c r="CS40" s="238" t="n"/>
      <c r="CT40" s="238" t="n"/>
      <c r="CU40" s="238" t="n"/>
      <c r="CV40" s="238" t="n"/>
      <c r="CW40" s="238" t="n"/>
      <c r="CX40" s="238" t="n"/>
      <c r="CY40" s="238" t="n"/>
      <c r="CZ40" s="238" t="n"/>
      <c r="DA40" s="238" t="n"/>
      <c r="DB40" s="238" t="n"/>
      <c r="DC40" s="238" t="n"/>
      <c r="DD40" s="238" t="n"/>
      <c r="DE40" s="238" t="n"/>
      <c r="DF40" s="238" t="n"/>
      <c r="DG40" s="238" t="n"/>
      <c r="DH40" s="238" t="n"/>
      <c r="DI40" s="238" t="n"/>
      <c r="DJ40" s="238" t="n"/>
      <c r="DK40" s="238" t="n"/>
      <c r="DL40" s="238" t="n"/>
      <c r="DM40" s="238" t="n"/>
      <c r="DN40" s="238" t="n"/>
      <c r="DO40" s="238" t="n"/>
      <c r="DP40" s="238" t="n"/>
      <c r="DQ40" s="238" t="n"/>
      <c r="DR40" s="238" t="n"/>
      <c r="DS40" s="238" t="n"/>
      <c r="DT40" s="238" t="n"/>
      <c r="DU40" s="238" t="n"/>
      <c r="DV40" s="238" t="n"/>
      <c r="DW40" s="238" t="n"/>
      <c r="DX40" s="238" t="n"/>
      <c r="DY40" s="238" t="n"/>
      <c r="DZ40" s="23" t="n"/>
      <c r="FQ40" s="212" t="n"/>
      <c r="FR40" s="212" t="n"/>
      <c r="FS40" s="212" t="n"/>
      <c r="FT40" s="212" t="n"/>
      <c r="FU40" s="212" t="n"/>
      <c r="FV40" s="212" t="n"/>
      <c r="FW40" s="212" t="n"/>
      <c r="FX40" s="212" t="n"/>
      <c r="FY40" s="212" t="n"/>
      <c r="FZ40" s="212" t="n"/>
    </row>
    <row r="41" ht="39.95" customFormat="1" customHeight="1" s="5">
      <c r="A41" s="182" t="n">
        <v>0.083</v>
      </c>
      <c r="B41" s="7" t="inlineStr">
        <is>
          <t>OF THE MANWAY</t>
        </is>
      </c>
      <c r="C41" s="11" t="inlineStr">
        <is>
          <t>C</t>
        </is>
      </c>
      <c r="D41" s="392" t="inlineStr"/>
      <c r="E41" s="395" t="inlineStr"/>
      <c r="F41" s="395" t="inlineStr"/>
      <c r="G41" s="437" t="n">
        <v>0.203</v>
      </c>
      <c r="H41" s="398" t="n">
        <v>0.23</v>
      </c>
      <c r="I41" s="401" t="n">
        <v>0.171</v>
      </c>
      <c r="J41" s="395" t="n">
        <v>0.235</v>
      </c>
      <c r="K41" s="437" t="n">
        <v>0.249</v>
      </c>
      <c r="L41" s="101" t="n">
        <v>0.245</v>
      </c>
      <c r="M41" s="440" t="n">
        <v>0.232</v>
      </c>
      <c r="N41" s="103" t="n">
        <v>0.251</v>
      </c>
      <c r="O41" s="395" t="n">
        <v>0.23</v>
      </c>
      <c r="P41" s="101" t="n">
        <v>0.23</v>
      </c>
      <c r="Q41" s="395" t="inlineStr"/>
      <c r="R41" s="398" t="inlineStr"/>
      <c r="S41" s="401" t="inlineStr"/>
      <c r="T41" s="395" t="inlineStr"/>
      <c r="U41" s="395" t="inlineStr"/>
      <c r="V41" s="395" t="inlineStr"/>
      <c r="W41" s="398" t="inlineStr"/>
      <c r="X41" s="401" t="inlineStr"/>
      <c r="Y41" s="395" t="inlineStr"/>
      <c r="Z41" s="395" t="inlineStr"/>
      <c r="AA41" s="395" t="inlineStr"/>
      <c r="AB41" s="398" t="inlineStr"/>
      <c r="AC41" s="401" t="inlineStr"/>
      <c r="AD41" s="395" t="inlineStr"/>
      <c r="AE41" s="395" t="inlineStr"/>
      <c r="AF41" s="395" t="inlineStr"/>
      <c r="AG41" s="398" t="inlineStr"/>
      <c r="AH41" s="401" t="inlineStr"/>
      <c r="AI41" s="437" t="n">
        <v>0.178</v>
      </c>
      <c r="AJ41" s="437" t="n">
        <v>0.189</v>
      </c>
      <c r="AK41" s="437" t="n">
        <v>0.19</v>
      </c>
      <c r="AL41" s="440" t="n">
        <v>0.211</v>
      </c>
      <c r="AM41" s="401" t="n">
        <v>0.18</v>
      </c>
      <c r="AN41" s="437" t="n">
        <v>0.096</v>
      </c>
      <c r="AO41" s="395" t="inlineStr"/>
      <c r="AP41" s="395" t="inlineStr"/>
      <c r="AQ41" s="398" t="inlineStr"/>
      <c r="AR41" s="401" t="inlineStr"/>
      <c r="AS41" s="395" t="inlineStr"/>
      <c r="AT41" s="395" t="inlineStr"/>
      <c r="AU41" s="395" t="inlineStr"/>
      <c r="AV41" s="398" t="inlineStr"/>
      <c r="AW41" s="401" t="inlineStr"/>
      <c r="AX41" s="395" t="inlineStr"/>
      <c r="AY41" s="395" t="inlineStr"/>
      <c r="AZ41" s="395" t="inlineStr"/>
      <c r="BA41" s="398" t="inlineStr"/>
      <c r="BB41" s="401" t="inlineStr"/>
      <c r="BC41" s="395" t="inlineStr"/>
      <c r="BD41" s="395" t="inlineStr"/>
      <c r="BE41" s="395" t="inlineStr"/>
      <c r="BF41" s="398" t="inlineStr"/>
      <c r="BG41" s="401" t="inlineStr"/>
      <c r="BH41" s="395" t="inlineStr"/>
      <c r="BI41" s="395" t="inlineStr"/>
      <c r="BJ41" s="395" t="inlineStr"/>
      <c r="BK41" s="398" t="inlineStr"/>
      <c r="BL41" s="401" t="inlineStr"/>
      <c r="BM41" s="395" t="inlineStr"/>
      <c r="BN41" s="395" t="inlineStr"/>
      <c r="BO41" s="395" t="inlineStr"/>
      <c r="BP41" s="398" t="inlineStr"/>
      <c r="BQ41" s="401" t="inlineStr"/>
      <c r="BR41" s="395" t="inlineStr"/>
      <c r="BS41" s="395" t="inlineStr"/>
      <c r="BT41" s="398" t="inlineStr"/>
      <c r="BU41" s="455" t="n"/>
      <c r="BV41" s="455" t="n"/>
      <c r="BW41" s="238" t="n"/>
      <c r="BX41" s="238" t="n"/>
      <c r="BY41" s="238" t="n"/>
      <c r="BZ41" s="238" t="n"/>
      <c r="CA41" s="238" t="n"/>
      <c r="CB41" s="238" t="n"/>
      <c r="CC41" s="238" t="n"/>
      <c r="CD41" s="238" t="n"/>
      <c r="CE41" s="238" t="n"/>
      <c r="CF41" s="238" t="n"/>
      <c r="CG41" s="238" t="n"/>
      <c r="CH41" s="238" t="n"/>
      <c r="CI41" s="238" t="n"/>
      <c r="CJ41" s="238" t="n"/>
      <c r="CK41" s="238" t="n"/>
      <c r="CL41" s="238" t="n"/>
      <c r="CM41" s="238" t="n"/>
      <c r="CN41" s="238" t="n"/>
      <c r="CO41" s="238" t="n"/>
      <c r="CP41" s="238" t="n"/>
      <c r="CQ41" s="238" t="n"/>
      <c r="CR41" s="238" t="n"/>
      <c r="CS41" s="238" t="n"/>
      <c r="CT41" s="238" t="n"/>
      <c r="CU41" s="238" t="n"/>
      <c r="CV41" s="238" t="n"/>
      <c r="CW41" s="238" t="n"/>
      <c r="CX41" s="238" t="n"/>
      <c r="CY41" s="238" t="n"/>
      <c r="CZ41" s="238" t="n"/>
      <c r="DA41" s="238" t="n"/>
      <c r="DB41" s="238" t="n"/>
      <c r="DC41" s="238" t="n"/>
      <c r="DD41" s="238" t="n"/>
      <c r="DE41" s="238" t="n"/>
      <c r="DF41" s="238" t="n"/>
      <c r="DG41" s="238" t="n"/>
      <c r="DH41" s="238" t="n"/>
      <c r="DI41" s="238" t="n"/>
      <c r="DJ41" s="238" t="n"/>
      <c r="DK41" s="238" t="n"/>
      <c r="DL41" s="238" t="n"/>
      <c r="DM41" s="238" t="n"/>
      <c r="DN41" s="238" t="n"/>
      <c r="DO41" s="238" t="n"/>
      <c r="DP41" s="238" t="n"/>
      <c r="DQ41" s="238" t="n"/>
      <c r="DR41" s="238" t="n"/>
      <c r="DS41" s="238" t="n"/>
      <c r="DT41" s="238" t="n"/>
      <c r="DU41" s="238" t="n"/>
      <c r="DV41" s="238" t="n"/>
      <c r="DW41" s="238" t="n"/>
      <c r="DX41" s="238" t="n"/>
      <c r="DY41" s="238" t="n"/>
      <c r="DZ41" s="23" t="n"/>
      <c r="FQ41" s="212" t="n"/>
      <c r="FR41" s="212" t="n"/>
      <c r="FS41" s="212" t="n"/>
      <c r="FT41" s="212" t="n"/>
      <c r="FU41" s="212" t="n"/>
      <c r="FV41" s="212" t="n"/>
      <c r="FW41" s="212" t="n"/>
      <c r="FX41" s="212" t="n"/>
      <c r="FY41" s="212" t="n"/>
      <c r="FZ41" s="212" t="n"/>
    </row>
    <row r="42" ht="39.95" customFormat="1" customHeight="1" s="5">
      <c r="A42" s="456" t="n"/>
      <c r="B42" s="8" t="inlineStr">
        <is>
          <t>&amp; OSCILLATOR</t>
        </is>
      </c>
      <c r="C42" s="12" t="inlineStr">
        <is>
          <t>R</t>
        </is>
      </c>
      <c r="D42" s="393" t="inlineStr"/>
      <c r="E42" s="396" t="inlineStr"/>
      <c r="F42" s="396" t="inlineStr"/>
      <c r="G42" s="438" t="n">
        <v>0.214</v>
      </c>
      <c r="H42" s="399" t="n">
        <v>0.202</v>
      </c>
      <c r="I42" s="402" t="n">
        <v>0.201</v>
      </c>
      <c r="J42" s="396" t="n">
        <v>0.243</v>
      </c>
      <c r="K42" s="104" t="n">
        <v>0.28</v>
      </c>
      <c r="L42" s="104" t="n">
        <v>0.27</v>
      </c>
      <c r="M42" s="441" t="n">
        <v>0.241</v>
      </c>
      <c r="N42" s="402" t="n">
        <v>0.265</v>
      </c>
      <c r="O42" s="396" t="n">
        <v>0.235</v>
      </c>
      <c r="P42" s="104" t="n">
        <v>0.223</v>
      </c>
      <c r="Q42" s="396" t="inlineStr"/>
      <c r="R42" s="399" t="inlineStr"/>
      <c r="S42" s="402" t="inlineStr"/>
      <c r="T42" s="396" t="inlineStr"/>
      <c r="U42" s="396" t="inlineStr"/>
      <c r="V42" s="396" t="inlineStr"/>
      <c r="W42" s="399" t="inlineStr"/>
      <c r="X42" s="402" t="inlineStr"/>
      <c r="Y42" s="396" t="inlineStr"/>
      <c r="Z42" s="396" t="inlineStr"/>
      <c r="AA42" s="396" t="inlineStr"/>
      <c r="AB42" s="399" t="inlineStr"/>
      <c r="AC42" s="402" t="inlineStr"/>
      <c r="AD42" s="396" t="inlineStr"/>
      <c r="AE42" s="396" t="inlineStr"/>
      <c r="AF42" s="396" t="inlineStr"/>
      <c r="AG42" s="399" t="inlineStr"/>
      <c r="AH42" s="402" t="inlineStr"/>
      <c r="AI42" s="438" t="n">
        <v>0.2</v>
      </c>
      <c r="AJ42" s="438" t="n">
        <v>0.191</v>
      </c>
      <c r="AK42" s="438" t="n">
        <v>0.186</v>
      </c>
      <c r="AL42" s="441" t="n">
        <v>0.218</v>
      </c>
      <c r="AM42" s="444" t="n">
        <v>0.17</v>
      </c>
      <c r="AN42" s="438" t="n">
        <v>0.149</v>
      </c>
      <c r="AO42" s="396" t="inlineStr"/>
      <c r="AP42" s="396" t="inlineStr"/>
      <c r="AQ42" s="399" t="inlineStr"/>
      <c r="AR42" s="402" t="inlineStr"/>
      <c r="AS42" s="396" t="inlineStr"/>
      <c r="AT42" s="396" t="inlineStr"/>
      <c r="AU42" s="396" t="inlineStr"/>
      <c r="AV42" s="399" t="inlineStr"/>
      <c r="AW42" s="402" t="inlineStr"/>
      <c r="AX42" s="396" t="inlineStr"/>
      <c r="AY42" s="396" t="inlineStr"/>
      <c r="AZ42" s="396" t="inlineStr"/>
      <c r="BA42" s="399" t="inlineStr"/>
      <c r="BB42" s="402" t="inlineStr"/>
      <c r="BC42" s="396" t="inlineStr"/>
      <c r="BD42" s="396" t="inlineStr"/>
      <c r="BE42" s="396" t="inlineStr"/>
      <c r="BF42" s="399" t="inlineStr"/>
      <c r="BG42" s="402" t="inlineStr"/>
      <c r="BH42" s="396" t="inlineStr"/>
      <c r="BI42" s="396" t="inlineStr"/>
      <c r="BJ42" s="396" t="inlineStr"/>
      <c r="BK42" s="399" t="inlineStr"/>
      <c r="BL42" s="402" t="inlineStr"/>
      <c r="BM42" s="396" t="inlineStr"/>
      <c r="BN42" s="396" t="inlineStr"/>
      <c r="BO42" s="396" t="inlineStr"/>
      <c r="BP42" s="399" t="inlineStr"/>
      <c r="BQ42" s="402" t="inlineStr"/>
      <c r="BR42" s="396" t="inlineStr"/>
      <c r="BS42" s="396" t="inlineStr"/>
      <c r="BT42" s="399" t="inlineStr"/>
      <c r="BU42" s="457" t="n"/>
      <c r="BV42" s="457" t="n"/>
      <c r="BW42" s="238" t="n"/>
      <c r="BX42" s="238" t="n"/>
      <c r="BY42" s="238" t="n"/>
      <c r="BZ42" s="238" t="n"/>
      <c r="CA42" s="238" t="n"/>
      <c r="CB42" s="238" t="n"/>
      <c r="CC42" s="238" t="n"/>
      <c r="CD42" s="238" t="n"/>
      <c r="CE42" s="238" t="n"/>
      <c r="CF42" s="238" t="n"/>
      <c r="CG42" s="238" t="n"/>
      <c r="CH42" s="238" t="n"/>
      <c r="CI42" s="238" t="n"/>
      <c r="CJ42" s="238" t="n"/>
      <c r="CK42" s="238" t="n"/>
      <c r="CL42" s="238" t="n"/>
      <c r="CM42" s="238" t="n"/>
      <c r="CN42" s="238" t="n"/>
      <c r="CO42" s="238" t="n"/>
      <c r="CP42" s="238" t="n"/>
      <c r="CQ42" s="238" t="n"/>
      <c r="CR42" s="238" t="n"/>
      <c r="CS42" s="238" t="n"/>
      <c r="CT42" s="238" t="n"/>
      <c r="CU42" s="238" t="n"/>
      <c r="CV42" s="238" t="n"/>
      <c r="CW42" s="238" t="n"/>
      <c r="CX42" s="238" t="n"/>
      <c r="CY42" s="238" t="n"/>
      <c r="CZ42" s="238" t="n"/>
      <c r="DA42" s="238" t="n"/>
      <c r="DB42" s="238" t="n"/>
      <c r="DC42" s="238" t="n"/>
      <c r="DD42" s="238" t="n"/>
      <c r="DE42" s="238" t="n"/>
      <c r="DF42" s="238" t="n"/>
      <c r="DG42" s="238" t="n"/>
      <c r="DH42" s="238" t="n"/>
      <c r="DI42" s="238" t="n"/>
      <c r="DJ42" s="238" t="n"/>
      <c r="DK42" s="238" t="n"/>
      <c r="DL42" s="238" t="n"/>
      <c r="DM42" s="238" t="n"/>
      <c r="DN42" s="238" t="n"/>
      <c r="DO42" s="238" t="n"/>
      <c r="DP42" s="238" t="n"/>
      <c r="DQ42" s="238" t="n"/>
      <c r="DR42" s="238" t="n"/>
      <c r="DS42" s="238" t="n"/>
      <c r="DT42" s="238" t="n"/>
      <c r="DU42" s="238" t="n"/>
      <c r="DV42" s="238" t="n"/>
      <c r="DW42" s="238" t="n"/>
      <c r="DX42" s="238" t="n"/>
      <c r="DY42" s="238" t="n"/>
      <c r="DZ42" s="23" t="n"/>
      <c r="FQ42" s="212" t="n"/>
      <c r="FR42" s="212" t="n"/>
      <c r="FS42" s="212" t="n"/>
      <c r="FT42" s="212" t="n"/>
      <c r="FU42" s="212" t="n"/>
      <c r="FV42" s="212" t="n"/>
      <c r="FW42" s="212" t="n"/>
      <c r="FX42" s="212" t="n"/>
      <c r="FY42" s="212" t="n"/>
      <c r="FZ42" s="212" t="n"/>
    </row>
    <row r="43" ht="39.95" customFormat="1" customHeight="1" s="5">
      <c r="A43" s="10" t="inlineStr">
        <is>
          <t>A</t>
        </is>
      </c>
      <c r="B43" s="6" t="n"/>
      <c r="C43" s="11" t="inlineStr">
        <is>
          <t>L</t>
        </is>
      </c>
      <c r="D43" s="108" t="n">
        <v>0.21</v>
      </c>
      <c r="E43" s="99" t="n">
        <v>0.228</v>
      </c>
      <c r="F43" s="99" t="n">
        <v>0.225</v>
      </c>
      <c r="G43" s="436" t="n">
        <v>0.208</v>
      </c>
      <c r="H43" s="439" t="n">
        <v>0.19</v>
      </c>
      <c r="I43" s="400" t="inlineStr">
        <is>
          <t>RT</t>
        </is>
      </c>
      <c r="J43" s="394" t="inlineStr">
        <is>
          <t>RT</t>
        </is>
      </c>
      <c r="K43" s="436" t="n">
        <v>0.256</v>
      </c>
      <c r="L43" s="436" t="n">
        <v>0.243</v>
      </c>
      <c r="M43" s="397" t="inlineStr">
        <is>
          <t>RT</t>
        </is>
      </c>
      <c r="N43" s="400" t="inlineStr">
        <is>
          <t>RT</t>
        </is>
      </c>
      <c r="O43" s="99" t="n">
        <v>0.227</v>
      </c>
      <c r="P43" s="436" t="n">
        <v>0.204</v>
      </c>
      <c r="Q43" s="436" t="n">
        <v>0.199</v>
      </c>
      <c r="R43" s="100" t="n">
        <v>0.214</v>
      </c>
      <c r="S43" s="98" t="n">
        <v>0.198</v>
      </c>
      <c r="T43" s="99" t="n">
        <v>0.222</v>
      </c>
      <c r="U43" s="436" t="n">
        <v>0.177</v>
      </c>
      <c r="V43" s="99" t="n">
        <v>0.194</v>
      </c>
      <c r="W43" s="439" t="n">
        <v>0.181</v>
      </c>
      <c r="X43" s="442" t="n">
        <v>0.125</v>
      </c>
      <c r="Y43" s="436" t="n">
        <v>0.177</v>
      </c>
      <c r="Z43" s="436" t="n">
        <v>0.143</v>
      </c>
      <c r="AA43" s="436" t="n">
        <v>0.164</v>
      </c>
      <c r="AB43" s="100" t="n">
        <v>0.205</v>
      </c>
      <c r="AC43" s="442" t="n">
        <v>0.154</v>
      </c>
      <c r="AD43" s="436" t="n">
        <v>0.179</v>
      </c>
      <c r="AE43" s="436" t="n">
        <v>0.113</v>
      </c>
      <c r="AF43" s="436" t="n">
        <v>0.192</v>
      </c>
      <c r="AG43" s="439" t="n">
        <v>0.15</v>
      </c>
      <c r="AH43" s="442" t="n">
        <v>0.192</v>
      </c>
      <c r="AI43" s="436" t="n">
        <v>0.174</v>
      </c>
      <c r="AJ43" s="436" t="n">
        <v>0.18</v>
      </c>
      <c r="AK43" s="436" t="n">
        <v>0.215</v>
      </c>
      <c r="AL43" s="439" t="n">
        <v>0.203</v>
      </c>
      <c r="AM43" s="98" t="n">
        <v>0.196</v>
      </c>
      <c r="AN43" s="436" t="n">
        <v>0.109</v>
      </c>
      <c r="AO43" s="436" t="n">
        <v>0.145</v>
      </c>
      <c r="AP43" s="99" t="n">
        <v>0.186</v>
      </c>
      <c r="AQ43" s="439" t="n">
        <v>0.185</v>
      </c>
      <c r="AR43" s="98" t="n">
        <v>0.188</v>
      </c>
      <c r="AS43" s="436" t="n">
        <v>0.151</v>
      </c>
      <c r="AT43" s="99" t="n">
        <v>0.19</v>
      </c>
      <c r="AU43" s="436" t="n">
        <v>0.19</v>
      </c>
      <c r="AV43" s="439" t="n">
        <v>0.184</v>
      </c>
      <c r="AW43" s="98" t="n">
        <v>0.2</v>
      </c>
      <c r="AX43" s="436" t="n">
        <v>0.152</v>
      </c>
      <c r="AY43" s="436" t="n">
        <v>0.125</v>
      </c>
      <c r="AZ43" s="436" t="n">
        <v>0.17</v>
      </c>
      <c r="BA43" s="439" t="n">
        <v>0.19</v>
      </c>
      <c r="BB43" s="98" t="n">
        <v>0.19</v>
      </c>
      <c r="BC43" s="436" t="n">
        <v>0.173</v>
      </c>
      <c r="BD43" s="436" t="n">
        <v>0.193</v>
      </c>
      <c r="BE43" s="436" t="n">
        <v>0.182</v>
      </c>
      <c r="BF43" s="439" t="n">
        <v>0.174</v>
      </c>
      <c r="BG43" s="442" t="n">
        <v>0.164</v>
      </c>
      <c r="BH43" s="436" t="n">
        <v>0.171</v>
      </c>
      <c r="BI43" s="436" t="n">
        <v>0.186</v>
      </c>
      <c r="BJ43" s="436" t="n">
        <v>0.188</v>
      </c>
      <c r="BK43" s="439" t="n">
        <v>0.19</v>
      </c>
      <c r="BL43" s="442" t="n">
        <v>0.176</v>
      </c>
      <c r="BM43" s="436" t="n">
        <v>0.198</v>
      </c>
      <c r="BN43" s="436" t="n">
        <v>0.203</v>
      </c>
      <c r="BO43" s="436" t="n">
        <v>0.207</v>
      </c>
      <c r="BP43" s="439" t="n">
        <v>0.21</v>
      </c>
      <c r="BQ43" s="442" t="n">
        <v>0.195</v>
      </c>
      <c r="BR43" s="436" t="n">
        <v>0.198</v>
      </c>
      <c r="BS43" s="436" t="n">
        <v>0.197</v>
      </c>
      <c r="BT43" s="397" t="inlineStr">
        <is>
          <t>RF</t>
        </is>
      </c>
      <c r="BU43" s="454">
        <f>IFERROR(AVERAGE(D43:BT45),0)</f>
        <v/>
      </c>
      <c r="BV43" s="454">
        <f>MIN(D43:BT45)</f>
        <v/>
      </c>
      <c r="BW43" s="238" t="n"/>
      <c r="BX43" s="238" t="n"/>
      <c r="BY43" s="238" t="n"/>
      <c r="BZ43" s="238" t="n"/>
      <c r="CA43" s="238" t="n"/>
      <c r="CB43" s="238" t="n"/>
      <c r="CC43" s="238" t="n"/>
      <c r="CD43" s="238" t="n"/>
      <c r="CE43" s="238" t="n"/>
      <c r="CF43" s="238" t="n"/>
      <c r="CG43" s="238" t="n"/>
      <c r="CH43" s="238" t="n"/>
      <c r="CI43" s="238" t="n"/>
      <c r="CJ43" s="238" t="n"/>
      <c r="CK43" s="238" t="n"/>
      <c r="CL43" s="238" t="n"/>
      <c r="CM43" s="238" t="n"/>
      <c r="CN43" s="238" t="n"/>
      <c r="CO43" s="238" t="n"/>
      <c r="CP43" s="238" t="n"/>
      <c r="CQ43" s="238" t="n"/>
      <c r="CR43" s="238" t="n"/>
      <c r="CS43" s="238" t="n"/>
      <c r="CT43" s="238" t="n"/>
      <c r="CU43" s="238" t="n"/>
      <c r="CV43" s="238" t="n"/>
      <c r="CW43" s="238" t="n"/>
      <c r="CX43" s="238" t="n"/>
      <c r="CY43" s="238" t="n"/>
      <c r="CZ43" s="238" t="n"/>
      <c r="DA43" s="238" t="n"/>
      <c r="DB43" s="238" t="n"/>
      <c r="DC43" s="238" t="n"/>
      <c r="DD43" s="238" t="n"/>
      <c r="DE43" s="238" t="n"/>
      <c r="DF43" s="238" t="n"/>
      <c r="DG43" s="238" t="n"/>
      <c r="DH43" s="238" t="n"/>
      <c r="DI43" s="238" t="n"/>
      <c r="DJ43" s="238" t="n"/>
      <c r="DK43" s="238" t="n"/>
      <c r="DL43" s="238" t="n"/>
      <c r="DM43" s="238" t="n"/>
      <c r="DN43" s="238" t="n"/>
      <c r="DO43" s="238" t="n"/>
      <c r="DP43" s="238" t="n"/>
      <c r="DQ43" s="238" t="n"/>
      <c r="DR43" s="238" t="n"/>
      <c r="DS43" s="238" t="n"/>
      <c r="DT43" s="238" t="n"/>
      <c r="DU43" s="238" t="n"/>
      <c r="DV43" s="238" t="n"/>
      <c r="DW43" s="238" t="n"/>
      <c r="DX43" s="238" t="n"/>
      <c r="DY43" s="238" t="n"/>
      <c r="DZ43" s="23" t="n"/>
      <c r="FQ43" s="212" t="n"/>
      <c r="FR43" s="212" t="n"/>
      <c r="FS43" s="212" t="n"/>
      <c r="FT43" s="212" t="n"/>
      <c r="FU43" s="212" t="n"/>
      <c r="FV43" s="212" t="n"/>
      <c r="FW43" s="212" t="n"/>
      <c r="FX43" s="212" t="n"/>
      <c r="FY43" s="212" t="n"/>
      <c r="FZ43" s="212" t="n"/>
    </row>
    <row r="44" ht="39.95" customFormat="1" customHeight="1" s="5">
      <c r="A44" s="182" t="n">
        <v>0.083</v>
      </c>
      <c r="B44" s="7" t="inlineStr">
        <is>
          <t>+9 FT</t>
        </is>
      </c>
      <c r="C44" s="11" t="inlineStr">
        <is>
          <t>C</t>
        </is>
      </c>
      <c r="D44" s="392" t="n">
        <v>0.225</v>
      </c>
      <c r="E44" s="437" t="n">
        <v>0.211</v>
      </c>
      <c r="F44" s="437" t="n">
        <v>0.216</v>
      </c>
      <c r="G44" s="437" t="n">
        <v>0.218</v>
      </c>
      <c r="H44" s="440" t="n">
        <v>0.198</v>
      </c>
      <c r="I44" s="401" t="n">
        <v>0.104</v>
      </c>
      <c r="J44" s="395" t="inlineStr">
        <is>
          <t>RT</t>
        </is>
      </c>
      <c r="K44" s="437" t="n">
        <v>0.218</v>
      </c>
      <c r="L44" s="101" t="n">
        <v>0.257</v>
      </c>
      <c r="M44" s="398" t="inlineStr">
        <is>
          <t>RT</t>
        </is>
      </c>
      <c r="N44" s="401" t="inlineStr">
        <is>
          <t>RT</t>
        </is>
      </c>
      <c r="O44" s="101" t="n">
        <v>0.225</v>
      </c>
      <c r="P44" s="437" t="n">
        <v>0.187</v>
      </c>
      <c r="Q44" s="437" t="n">
        <v>0.176</v>
      </c>
      <c r="R44" s="102" t="n">
        <v>0.226</v>
      </c>
      <c r="S44" s="443" t="n">
        <v>0.183</v>
      </c>
      <c r="T44" s="101" t="n">
        <v>0.209</v>
      </c>
      <c r="U44" s="101" t="n">
        <v>0.2</v>
      </c>
      <c r="V44" s="437" t="n">
        <v>0.173</v>
      </c>
      <c r="W44" s="102" t="n">
        <v>0.188</v>
      </c>
      <c r="X44" s="443" t="n">
        <v>0.167</v>
      </c>
      <c r="Y44" s="437" t="n">
        <v>0.171</v>
      </c>
      <c r="Z44" s="437" t="n">
        <v>0.167</v>
      </c>
      <c r="AA44" s="437" t="n">
        <v>0.12</v>
      </c>
      <c r="AB44" s="440" t="n">
        <v>0.164</v>
      </c>
      <c r="AC44" s="443" t="n">
        <v>0.121</v>
      </c>
      <c r="AD44" s="437" t="n">
        <v>0.186</v>
      </c>
      <c r="AE44" s="437" t="n">
        <v>0.16</v>
      </c>
      <c r="AF44" s="437" t="n">
        <v>0.144</v>
      </c>
      <c r="AG44" s="440" t="n">
        <v>0.169</v>
      </c>
      <c r="AH44" s="443" t="n">
        <v>0.165</v>
      </c>
      <c r="AI44" s="437" t="n">
        <v>0.184</v>
      </c>
      <c r="AJ44" s="437" t="n">
        <v>0.169</v>
      </c>
      <c r="AK44" s="437" t="n">
        <v>0.203</v>
      </c>
      <c r="AL44" s="440" t="n">
        <v>0.208</v>
      </c>
      <c r="AM44" s="103" t="n">
        <v>0.201</v>
      </c>
      <c r="AN44" s="437" t="n">
        <v>0.107</v>
      </c>
      <c r="AO44" s="437" t="n">
        <v>0.157</v>
      </c>
      <c r="AP44" s="101" t="n">
        <v>0.202</v>
      </c>
      <c r="AQ44" s="102" t="n">
        <v>0.193</v>
      </c>
      <c r="AR44" s="443" t="n">
        <v>0.169</v>
      </c>
      <c r="AS44" s="101" t="n">
        <v>0.191</v>
      </c>
      <c r="AT44" s="437" t="n">
        <v>0.168</v>
      </c>
      <c r="AU44" s="437" t="n">
        <v>0.161</v>
      </c>
      <c r="AV44" s="440" t="n">
        <v>0.158</v>
      </c>
      <c r="AW44" s="443" t="n">
        <v>0.193</v>
      </c>
      <c r="AX44" s="437" t="n">
        <v>0.156</v>
      </c>
      <c r="AY44" s="437" t="n">
        <v>0.175</v>
      </c>
      <c r="AZ44" s="437" t="n">
        <v>0.195</v>
      </c>
      <c r="BA44" s="440" t="n">
        <v>0.178</v>
      </c>
      <c r="BB44" s="443" t="n">
        <v>0.175</v>
      </c>
      <c r="BC44" s="437" t="n">
        <v>0.149</v>
      </c>
      <c r="BD44" s="437" t="n">
        <v>0.177</v>
      </c>
      <c r="BE44" s="437" t="n">
        <v>0.158</v>
      </c>
      <c r="BF44" s="440" t="n">
        <v>0.177</v>
      </c>
      <c r="BG44" s="443" t="n">
        <v>0.159</v>
      </c>
      <c r="BH44" s="437" t="n">
        <v>0.179</v>
      </c>
      <c r="BI44" s="437" t="n">
        <v>0.171</v>
      </c>
      <c r="BJ44" s="437" t="n">
        <v>0.198</v>
      </c>
      <c r="BK44" s="440" t="n">
        <v>0.205</v>
      </c>
      <c r="BL44" s="103" t="n">
        <v>0.214</v>
      </c>
      <c r="BM44" s="101" t="n">
        <v>0.213</v>
      </c>
      <c r="BN44" s="437" t="n">
        <v>0.206</v>
      </c>
      <c r="BO44" s="437" t="n">
        <v>0.198</v>
      </c>
      <c r="BP44" s="102" t="n">
        <v>0.223</v>
      </c>
      <c r="BQ44" s="103" t="n">
        <v>0.22</v>
      </c>
      <c r="BR44" s="437" t="n">
        <v>0.201</v>
      </c>
      <c r="BS44" s="437" t="n">
        <v>0.187</v>
      </c>
      <c r="BT44" s="398" t="n">
        <v>0.083</v>
      </c>
      <c r="BU44" s="455" t="n"/>
      <c r="BV44" s="455" t="n"/>
      <c r="BW44" s="238" t="n"/>
      <c r="BX44" s="238" t="n"/>
      <c r="BY44" s="238" t="n"/>
      <c r="BZ44" s="238" t="n"/>
      <c r="CA44" s="238" t="n"/>
      <c r="CB44" s="238" t="n"/>
      <c r="CC44" s="238" t="n"/>
      <c r="CD44" s="238" t="n"/>
      <c r="CE44" s="238" t="n"/>
      <c r="CF44" s="238" t="n"/>
      <c r="CG44" s="238" t="n"/>
      <c r="CH44" s="238" t="n"/>
      <c r="CI44" s="238" t="n"/>
      <c r="CJ44" s="238" t="n"/>
      <c r="CK44" s="238" t="n"/>
      <c r="CL44" s="238" t="n"/>
      <c r="CM44" s="238" t="n"/>
      <c r="CN44" s="238" t="n"/>
      <c r="CO44" s="238" t="n"/>
      <c r="CP44" s="238" t="n"/>
      <c r="CQ44" s="238" t="n"/>
      <c r="CR44" s="238" t="n"/>
      <c r="CS44" s="238" t="n"/>
      <c r="CT44" s="238" t="n"/>
      <c r="CU44" s="238" t="n"/>
      <c r="CV44" s="238" t="n"/>
      <c r="CW44" s="238" t="n"/>
      <c r="CX44" s="238" t="n"/>
      <c r="CY44" s="238" t="n"/>
      <c r="CZ44" s="238" t="n"/>
      <c r="DA44" s="238" t="n"/>
      <c r="DB44" s="238" t="n"/>
      <c r="DC44" s="238" t="n"/>
      <c r="DD44" s="238" t="n"/>
      <c r="DE44" s="238" t="n"/>
      <c r="DF44" s="238" t="n"/>
      <c r="DG44" s="238" t="n"/>
      <c r="DH44" s="238" t="n"/>
      <c r="DI44" s="238" t="n"/>
      <c r="DJ44" s="238" t="n"/>
      <c r="DK44" s="238" t="n"/>
      <c r="DL44" s="238" t="n"/>
      <c r="DM44" s="238" t="n"/>
      <c r="DN44" s="238" t="n"/>
      <c r="DO44" s="238" t="n"/>
      <c r="DP44" s="238" t="n"/>
      <c r="DQ44" s="238" t="n"/>
      <c r="DR44" s="238" t="n"/>
      <c r="DS44" s="238" t="n"/>
      <c r="DT44" s="238" t="n"/>
      <c r="DU44" s="238" t="n"/>
      <c r="DV44" s="238" t="n"/>
      <c r="DW44" s="238" t="n"/>
      <c r="DX44" s="238" t="n"/>
      <c r="DY44" s="238" t="n"/>
      <c r="DZ44" s="23" t="n"/>
      <c r="FQ44" s="212" t="n"/>
      <c r="FR44" s="212" t="n"/>
      <c r="FS44" s="212" t="n"/>
      <c r="FT44" s="212" t="n"/>
      <c r="FU44" s="212" t="n"/>
      <c r="FV44" s="212" t="n"/>
      <c r="FW44" s="212" t="n"/>
      <c r="FX44" s="212" t="n"/>
      <c r="FY44" s="212" t="n"/>
      <c r="FZ44" s="212" t="n"/>
    </row>
    <row r="45" ht="39.95" customFormat="1" customHeight="1" s="5">
      <c r="A45" s="456" t="n"/>
      <c r="B45" s="8" t="n"/>
      <c r="C45" s="12" t="inlineStr">
        <is>
          <t>R</t>
        </is>
      </c>
      <c r="D45" s="393" t="n">
        <v>0.223</v>
      </c>
      <c r="E45" s="396" t="n">
        <v>0.22</v>
      </c>
      <c r="F45" s="438" t="n">
        <v>0.211</v>
      </c>
      <c r="G45" s="438" t="n">
        <v>0.222</v>
      </c>
      <c r="H45" s="441" t="n">
        <v>0.189</v>
      </c>
      <c r="I45" s="402" t="n">
        <v>0.099</v>
      </c>
      <c r="J45" s="396" t="inlineStr">
        <is>
          <t>RT</t>
        </is>
      </c>
      <c r="K45" s="438" t="n">
        <v>0.25</v>
      </c>
      <c r="L45" s="438" t="n">
        <v>0.251</v>
      </c>
      <c r="M45" s="399" t="inlineStr">
        <is>
          <t>RT</t>
        </is>
      </c>
      <c r="N45" s="402" t="inlineStr">
        <is>
          <t>RT</t>
        </is>
      </c>
      <c r="O45" s="438" t="n">
        <v>0.21</v>
      </c>
      <c r="P45" s="104" t="n">
        <v>0.22</v>
      </c>
      <c r="Q45" s="438" t="n">
        <v>0.189</v>
      </c>
      <c r="R45" s="105" t="n">
        <v>0.224</v>
      </c>
      <c r="S45" s="106" t="n">
        <v>0.192</v>
      </c>
      <c r="T45" s="104" t="n">
        <v>0.214</v>
      </c>
      <c r="U45" s="104" t="n">
        <v>0.214</v>
      </c>
      <c r="V45" s="438" t="n">
        <v>0.187</v>
      </c>
      <c r="W45" s="441" t="n">
        <v>0.176</v>
      </c>
      <c r="X45" s="444" t="n">
        <v>0.149</v>
      </c>
      <c r="Y45" s="438" t="n">
        <v>0.17</v>
      </c>
      <c r="Z45" s="104" t="n">
        <v>0.218</v>
      </c>
      <c r="AA45" s="438" t="n">
        <v>0.174</v>
      </c>
      <c r="AB45" s="105" t="n">
        <v>0.203</v>
      </c>
      <c r="AC45" s="444" t="n">
        <v>0.142</v>
      </c>
      <c r="AD45" s="438" t="n">
        <v>0.183</v>
      </c>
      <c r="AE45" s="438" t="n">
        <v>0.146</v>
      </c>
      <c r="AF45" s="438" t="n">
        <v>0.16</v>
      </c>
      <c r="AG45" s="441" t="n">
        <v>0.172</v>
      </c>
      <c r="AH45" s="444" t="n">
        <v>0.171</v>
      </c>
      <c r="AI45" s="438" t="n">
        <v>0.19</v>
      </c>
      <c r="AJ45" s="438" t="n">
        <v>0.178</v>
      </c>
      <c r="AK45" s="438" t="n">
        <v>0.21</v>
      </c>
      <c r="AL45" s="441" t="n">
        <v>0.209</v>
      </c>
      <c r="AM45" s="444" t="n">
        <v>0.193</v>
      </c>
      <c r="AN45" s="438" t="n">
        <v>0.153</v>
      </c>
      <c r="AO45" s="438" t="n">
        <v>0.137</v>
      </c>
      <c r="AP45" s="104" t="n">
        <v>0.212</v>
      </c>
      <c r="AQ45" s="441" t="n">
        <v>0.165</v>
      </c>
      <c r="AR45" s="444" t="n">
        <v>0.171</v>
      </c>
      <c r="AS45" s="438" t="n">
        <v>0.163</v>
      </c>
      <c r="AT45" s="438" t="n">
        <v>0.122</v>
      </c>
      <c r="AU45" s="104" t="n">
        <v>0.194</v>
      </c>
      <c r="AV45" s="441" t="n">
        <v>0.15</v>
      </c>
      <c r="AW45" s="444" t="n">
        <v>0.164</v>
      </c>
      <c r="AX45" s="438" t="n">
        <v>0.127</v>
      </c>
      <c r="AY45" s="438" t="n">
        <v>0.192</v>
      </c>
      <c r="AZ45" s="104" t="n">
        <v>0.211</v>
      </c>
      <c r="BA45" s="105" t="n">
        <v>0.214</v>
      </c>
      <c r="BB45" s="444" t="n">
        <v>0.193</v>
      </c>
      <c r="BC45" s="438" t="n">
        <v>0.157</v>
      </c>
      <c r="BD45" s="438" t="n">
        <v>0.188</v>
      </c>
      <c r="BE45" s="438" t="n">
        <v>0.15</v>
      </c>
      <c r="BF45" s="441" t="n">
        <v>0.183</v>
      </c>
      <c r="BG45" s="444" t="n">
        <v>0.194</v>
      </c>
      <c r="BH45" s="438" t="n">
        <v>0.185</v>
      </c>
      <c r="BI45" s="438" t="n">
        <v>0.157</v>
      </c>
      <c r="BJ45" s="438" t="n">
        <v>0.192</v>
      </c>
      <c r="BK45" s="441" t="n">
        <v>0.202</v>
      </c>
      <c r="BL45" s="444" t="n">
        <v>0.141</v>
      </c>
      <c r="BM45" s="438" t="n">
        <v>0.172</v>
      </c>
      <c r="BN45" s="438" t="n">
        <v>0.207</v>
      </c>
      <c r="BO45" s="438" t="n">
        <v>0.191</v>
      </c>
      <c r="BP45" s="441" t="n">
        <v>0.177</v>
      </c>
      <c r="BQ45" s="444" t="n">
        <v>0.213</v>
      </c>
      <c r="BR45" s="438" t="n">
        <v>0.196</v>
      </c>
      <c r="BS45" s="438" t="n">
        <v>0.205</v>
      </c>
      <c r="BT45" s="399" t="n">
        <v>0.059</v>
      </c>
      <c r="BU45" s="457" t="n"/>
      <c r="BV45" s="457" t="n"/>
      <c r="BW45" s="238" t="n"/>
      <c r="BX45" s="238" t="n"/>
      <c r="BY45" s="238" t="n"/>
      <c r="BZ45" s="238" t="n"/>
      <c r="CA45" s="238" t="n"/>
      <c r="CB45" s="238" t="n"/>
      <c r="CC45" s="238" t="n"/>
      <c r="CD45" s="238" t="n"/>
      <c r="CE45" s="238" t="n"/>
      <c r="CF45" s="238" t="n"/>
      <c r="CG45" s="238" t="n"/>
      <c r="CH45" s="238" t="n"/>
      <c r="CI45" s="238" t="n"/>
      <c r="CJ45" s="238" t="n"/>
      <c r="CK45" s="238" t="n"/>
      <c r="CL45" s="238" t="n"/>
      <c r="CM45" s="238" t="n"/>
      <c r="CN45" s="238" t="n"/>
      <c r="CO45" s="238" t="n"/>
      <c r="CP45" s="238" t="n"/>
      <c r="CQ45" s="238" t="n"/>
      <c r="CR45" s="238" t="n"/>
      <c r="CS45" s="238" t="n"/>
      <c r="CT45" s="238" t="n"/>
      <c r="CU45" s="238" t="n"/>
      <c r="CV45" s="238" t="n"/>
      <c r="CW45" s="238" t="n"/>
      <c r="CX45" s="238" t="n"/>
      <c r="CY45" s="238" t="n"/>
      <c r="CZ45" s="238" t="n"/>
      <c r="DA45" s="238" t="n"/>
      <c r="DB45" s="238" t="n"/>
      <c r="DC45" s="238" t="n"/>
      <c r="DD45" s="238" t="n"/>
      <c r="DE45" s="238" t="n"/>
      <c r="DF45" s="238" t="n"/>
      <c r="DG45" s="238" t="n"/>
      <c r="DH45" s="238" t="n"/>
      <c r="DI45" s="238" t="n"/>
      <c r="DJ45" s="238" t="n"/>
      <c r="DK45" s="238" t="n"/>
      <c r="DL45" s="238" t="n"/>
      <c r="DM45" s="238" t="n"/>
      <c r="DN45" s="238" t="n"/>
      <c r="DO45" s="238" t="n"/>
      <c r="DP45" s="238" t="n"/>
      <c r="DQ45" s="238" t="n"/>
      <c r="DR45" s="238" t="n"/>
      <c r="DS45" s="238" t="n"/>
      <c r="DT45" s="238" t="n"/>
      <c r="DU45" s="238" t="n"/>
      <c r="DV45" s="238" t="n"/>
      <c r="DW45" s="238" t="n"/>
      <c r="DX45" s="238" t="n"/>
      <c r="DY45" s="238" t="n"/>
      <c r="DZ45" s="23" t="n"/>
      <c r="FQ45" s="212" t="n"/>
      <c r="FR45" s="212" t="n"/>
      <c r="FS45" s="212" t="n"/>
      <c r="FT45" s="212" t="n"/>
      <c r="FU45" s="212" t="n"/>
      <c r="FV45" s="212" t="n"/>
      <c r="FW45" s="212" t="n"/>
      <c r="FX45" s="212" t="n"/>
      <c r="FY45" s="212" t="n"/>
      <c r="FZ45" s="212" t="n"/>
    </row>
    <row r="46" ht="39.95" customFormat="1" customHeight="1" s="5">
      <c r="A46" s="10" t="inlineStr">
        <is>
          <t>A</t>
        </is>
      </c>
      <c r="B46" s="6" t="n"/>
      <c r="C46" s="11" t="inlineStr">
        <is>
          <t>L</t>
        </is>
      </c>
      <c r="D46" s="433" t="n">
        <v>0.205</v>
      </c>
      <c r="E46" s="394" t="n">
        <v>0.215</v>
      </c>
      <c r="F46" s="394" t="n">
        <v>0.23</v>
      </c>
      <c r="G46" s="99" t="n">
        <v>0.226</v>
      </c>
      <c r="H46" s="100" t="n">
        <v>0.209</v>
      </c>
      <c r="I46" s="400" t="n">
        <v>0.258</v>
      </c>
      <c r="J46" s="99" t="n">
        <v>0.242</v>
      </c>
      <c r="K46" s="99" t="n">
        <v>0.253</v>
      </c>
      <c r="L46" s="99" t="n">
        <v>0.253</v>
      </c>
      <c r="M46" s="100" t="n">
        <v>0.253</v>
      </c>
      <c r="N46" s="98" t="n">
        <v>0.251</v>
      </c>
      <c r="O46" s="436" t="n">
        <v>0.21</v>
      </c>
      <c r="P46" s="436" t="n">
        <v>0.211</v>
      </c>
      <c r="Q46" s="436" t="n">
        <v>0.195</v>
      </c>
      <c r="R46" s="439" t="n">
        <v>0.204</v>
      </c>
      <c r="S46" s="98" t="n">
        <v>0.198</v>
      </c>
      <c r="T46" s="99" t="n">
        <v>0.194</v>
      </c>
      <c r="U46" s="99" t="n">
        <v>0.199</v>
      </c>
      <c r="V46" s="436" t="n">
        <v>0.178</v>
      </c>
      <c r="W46" s="100" t="n">
        <v>0.203</v>
      </c>
      <c r="X46" s="442" t="n">
        <v>0.144</v>
      </c>
      <c r="Y46" s="436" t="n">
        <v>0.18</v>
      </c>
      <c r="Z46" s="436" t="n">
        <v>0.195</v>
      </c>
      <c r="AA46" s="99" t="n">
        <v>0.187</v>
      </c>
      <c r="AB46" s="100" t="n">
        <v>0.205</v>
      </c>
      <c r="AC46" s="442" t="n">
        <v>0.178</v>
      </c>
      <c r="AD46" s="436" t="n">
        <v>0.186</v>
      </c>
      <c r="AE46" s="99" t="n">
        <v>0.208</v>
      </c>
      <c r="AF46" s="436" t="n">
        <v>0.179</v>
      </c>
      <c r="AG46" s="439" t="n">
        <v>0.185</v>
      </c>
      <c r="AH46" s="442" t="n">
        <v>0.121</v>
      </c>
      <c r="AI46" s="436" t="n">
        <v>0.111</v>
      </c>
      <c r="AJ46" s="436" t="n">
        <v>0.093</v>
      </c>
      <c r="AK46" s="436" t="n">
        <v>0.144</v>
      </c>
      <c r="AL46" s="439" t="n">
        <v>0.126</v>
      </c>
      <c r="AM46" s="400" t="n">
        <v>0.194</v>
      </c>
      <c r="AN46" s="99" t="n">
        <v>0.212</v>
      </c>
      <c r="AO46" s="99" t="n">
        <v>0.193</v>
      </c>
      <c r="AP46" s="436" t="n">
        <v>0.134</v>
      </c>
      <c r="AQ46" s="439" t="n">
        <v>0.193</v>
      </c>
      <c r="AR46" s="98" t="n">
        <v>0.211</v>
      </c>
      <c r="AS46" s="436" t="n">
        <v>0.192</v>
      </c>
      <c r="AT46" s="436" t="n">
        <v>0.193</v>
      </c>
      <c r="AU46" s="436" t="n">
        <v>0.18</v>
      </c>
      <c r="AV46" s="100" t="n">
        <v>0.198</v>
      </c>
      <c r="AW46" s="442" t="n">
        <v>0.192</v>
      </c>
      <c r="AX46" s="436" t="n">
        <v>0.186</v>
      </c>
      <c r="AY46" s="436" t="n">
        <v>0.2</v>
      </c>
      <c r="AZ46" s="99" t="n">
        <v>0.199</v>
      </c>
      <c r="BA46" s="439" t="n">
        <v>0.184</v>
      </c>
      <c r="BB46" s="442" t="n">
        <v>0.189</v>
      </c>
      <c r="BC46" s="436" t="n">
        <v>0.168</v>
      </c>
      <c r="BD46" s="99" t="n">
        <v>0.204</v>
      </c>
      <c r="BE46" s="436" t="n">
        <v>0.169</v>
      </c>
      <c r="BF46" s="100" t="n">
        <v>0.207</v>
      </c>
      <c r="BG46" s="442" t="n">
        <v>0.198</v>
      </c>
      <c r="BH46" s="436" t="n">
        <v>0.185</v>
      </c>
      <c r="BI46" s="436" t="n">
        <v>0.204</v>
      </c>
      <c r="BJ46" s="436" t="n">
        <v>0.179</v>
      </c>
      <c r="BK46" s="439" t="n">
        <v>0.196</v>
      </c>
      <c r="BL46" s="98" t="n">
        <v>0.207</v>
      </c>
      <c r="BM46" s="99" t="n">
        <v>0.215</v>
      </c>
      <c r="BN46" s="436" t="n">
        <v>0.192</v>
      </c>
      <c r="BO46" s="99" t="n">
        <v>0.215</v>
      </c>
      <c r="BP46" s="100" t="n">
        <v>0.226</v>
      </c>
      <c r="BQ46" s="442" t="n">
        <v>0.202</v>
      </c>
      <c r="BR46" s="99" t="n">
        <v>0.224</v>
      </c>
      <c r="BS46" s="99" t="n">
        <v>0.222</v>
      </c>
      <c r="BT46" s="397" t="n">
        <v>0.08599999999999999</v>
      </c>
      <c r="BU46" s="454">
        <f>IFERROR(AVERAGE(D46:BT48),0)</f>
        <v/>
      </c>
      <c r="BV46" s="454">
        <f>MIN(D46:BT48)</f>
        <v/>
      </c>
      <c r="BW46" s="238" t="n"/>
      <c r="BX46" s="238" t="n"/>
      <c r="BY46" s="238" t="n"/>
      <c r="BZ46" s="238" t="n"/>
      <c r="CA46" s="238" t="n"/>
      <c r="CB46" s="238" t="n"/>
      <c r="CC46" s="238" t="n"/>
      <c r="CD46" s="238" t="n"/>
      <c r="CE46" s="238" t="n"/>
      <c r="CF46" s="238" t="n"/>
      <c r="CG46" s="238" t="n"/>
      <c r="CH46" s="238" t="n"/>
      <c r="CI46" s="238" t="n"/>
      <c r="CJ46" s="238" t="n"/>
      <c r="CK46" s="238" t="n"/>
      <c r="CL46" s="238" t="n"/>
      <c r="CM46" s="238" t="n"/>
      <c r="CN46" s="238" t="n"/>
      <c r="CO46" s="238" t="n"/>
      <c r="CP46" s="238" t="n"/>
      <c r="CQ46" s="238" t="n"/>
      <c r="CR46" s="238" t="n"/>
      <c r="CS46" s="238" t="n"/>
      <c r="CT46" s="238" t="n"/>
      <c r="CU46" s="238" t="n"/>
      <c r="CV46" s="238" t="n"/>
      <c r="CW46" s="238" t="n"/>
      <c r="CX46" s="238" t="n"/>
      <c r="CY46" s="238" t="n"/>
      <c r="CZ46" s="238" t="n"/>
      <c r="DA46" s="238" t="n"/>
      <c r="DB46" s="238" t="n"/>
      <c r="DC46" s="238" t="n"/>
      <c r="DD46" s="238" t="n"/>
      <c r="DE46" s="238" t="n"/>
      <c r="DF46" s="238" t="n"/>
      <c r="DG46" s="238" t="n"/>
      <c r="DH46" s="238" t="n"/>
      <c r="DI46" s="238" t="n"/>
      <c r="DJ46" s="238" t="n"/>
      <c r="DK46" s="238" t="n"/>
      <c r="DL46" s="238" t="n"/>
      <c r="DM46" s="238" t="n"/>
      <c r="DN46" s="238" t="n"/>
      <c r="DO46" s="238" t="n"/>
      <c r="DP46" s="238" t="n"/>
      <c r="DQ46" s="238" t="n"/>
      <c r="DR46" s="238" t="n"/>
      <c r="DS46" s="238" t="n"/>
      <c r="DT46" s="238" t="n"/>
      <c r="DU46" s="238" t="n"/>
      <c r="DV46" s="238" t="n"/>
      <c r="DW46" s="238" t="n"/>
      <c r="DX46" s="238" t="n"/>
      <c r="DY46" s="238" t="n"/>
      <c r="DZ46" s="23" t="n"/>
      <c r="FQ46" s="212" t="n"/>
      <c r="FR46" s="212" t="n"/>
      <c r="FS46" s="212" t="n"/>
      <c r="FT46" s="212" t="n"/>
      <c r="FU46" s="212" t="n"/>
      <c r="FV46" s="212" t="n"/>
      <c r="FW46" s="212" t="n"/>
      <c r="FX46" s="212" t="n"/>
      <c r="FY46" s="212" t="n"/>
      <c r="FZ46" s="212" t="n"/>
    </row>
    <row r="47" ht="39.95" customFormat="1" customHeight="1" s="5">
      <c r="A47" s="182" t="n">
        <v>0.083</v>
      </c>
      <c r="B47" s="7" t="inlineStr">
        <is>
          <t>+7 FT 6 IN</t>
        </is>
      </c>
      <c r="C47" s="11" t="inlineStr">
        <is>
          <t>C</t>
        </is>
      </c>
      <c r="D47" s="392" t="n">
        <v>0.209</v>
      </c>
      <c r="E47" s="395" t="n">
        <v>0.221</v>
      </c>
      <c r="F47" s="437" t="n">
        <v>0.219</v>
      </c>
      <c r="G47" s="437" t="n">
        <v>0.208</v>
      </c>
      <c r="H47" s="440" t="n">
        <v>0.208</v>
      </c>
      <c r="I47" s="103" t="n">
        <v>0.249</v>
      </c>
      <c r="J47" s="395" t="n">
        <v>0.257</v>
      </c>
      <c r="K47" s="101" t="n">
        <v>0.246</v>
      </c>
      <c r="L47" s="101" t="n">
        <v>0.242</v>
      </c>
      <c r="M47" s="102" t="n">
        <v>0.259</v>
      </c>
      <c r="N47" s="103" t="n">
        <v>0.257</v>
      </c>
      <c r="O47" s="437" t="n">
        <v>0.207</v>
      </c>
      <c r="P47" s="437" t="n">
        <v>0.182</v>
      </c>
      <c r="Q47" s="437" t="n">
        <v>0.176</v>
      </c>
      <c r="R47" s="440" t="n">
        <v>0.195</v>
      </c>
      <c r="S47" s="443" t="n">
        <v>0.187</v>
      </c>
      <c r="T47" s="437" t="n">
        <v>0.172</v>
      </c>
      <c r="U47" s="101" t="n">
        <v>0.199</v>
      </c>
      <c r="V47" s="101" t="n">
        <v>0.205</v>
      </c>
      <c r="W47" s="440" t="n">
        <v>0.192</v>
      </c>
      <c r="X47" s="443" t="n">
        <v>0.129</v>
      </c>
      <c r="Y47" s="437" t="n">
        <v>0.177</v>
      </c>
      <c r="Z47" s="437" t="n">
        <v>0.185</v>
      </c>
      <c r="AA47" s="437" t="n">
        <v>0.186</v>
      </c>
      <c r="AB47" s="440" t="n">
        <v>0.168</v>
      </c>
      <c r="AC47" s="103" t="n">
        <v>0.174</v>
      </c>
      <c r="AD47" s="437" t="n">
        <v>0.169</v>
      </c>
      <c r="AE47" s="437" t="n">
        <v>0.181</v>
      </c>
      <c r="AF47" s="437" t="n">
        <v>0.129</v>
      </c>
      <c r="AG47" s="102" t="n">
        <v>0.195</v>
      </c>
      <c r="AH47" s="443" t="n">
        <v>0.181</v>
      </c>
      <c r="AI47" s="437" t="n">
        <v>0.123</v>
      </c>
      <c r="AJ47" s="437" t="n">
        <v>0.12</v>
      </c>
      <c r="AK47" s="437" t="n">
        <v>0.133</v>
      </c>
      <c r="AL47" s="440" t="n">
        <v>0.176</v>
      </c>
      <c r="AM47" s="443" t="n">
        <v>0.155</v>
      </c>
      <c r="AN47" s="101" t="n">
        <v>0.211</v>
      </c>
      <c r="AO47" s="101" t="n">
        <v>0.197</v>
      </c>
      <c r="AP47" s="437" t="n">
        <v>0.138</v>
      </c>
      <c r="AQ47" s="440" t="n">
        <v>0.192</v>
      </c>
      <c r="AR47" s="443" t="n">
        <v>0.184</v>
      </c>
      <c r="AS47" s="437" t="n">
        <v>0.172</v>
      </c>
      <c r="AT47" s="437" t="n">
        <v>0.194</v>
      </c>
      <c r="AU47" s="101" t="n">
        <v>0.205</v>
      </c>
      <c r="AV47" s="102" t="n">
        <v>0.195</v>
      </c>
      <c r="AW47" s="103" t="n">
        <v>0.201</v>
      </c>
      <c r="AX47" s="437" t="n">
        <v>0.189</v>
      </c>
      <c r="AY47" s="437" t="n">
        <v>0.177</v>
      </c>
      <c r="AZ47" s="437" t="n">
        <v>0.195</v>
      </c>
      <c r="BA47" s="440" t="n">
        <v>0.19</v>
      </c>
      <c r="BB47" s="443" t="n">
        <v>0.177</v>
      </c>
      <c r="BC47" s="437" t="n">
        <v>0.195</v>
      </c>
      <c r="BD47" s="437" t="n">
        <v>0.193</v>
      </c>
      <c r="BE47" s="437" t="n">
        <v>0.188</v>
      </c>
      <c r="BF47" s="102" t="n">
        <v>0.207</v>
      </c>
      <c r="BG47" s="443" t="n">
        <v>0.191</v>
      </c>
      <c r="BH47" s="437" t="n">
        <v>0.206</v>
      </c>
      <c r="BI47" s="437" t="n">
        <v>0.194</v>
      </c>
      <c r="BJ47" s="437" t="n">
        <v>0.17</v>
      </c>
      <c r="BK47" s="440" t="n">
        <v>0.208</v>
      </c>
      <c r="BL47" s="443" t="n">
        <v>0.2</v>
      </c>
      <c r="BM47" s="437" t="n">
        <v>0.188</v>
      </c>
      <c r="BN47" s="437" t="n">
        <v>0.2</v>
      </c>
      <c r="BO47" s="437" t="n">
        <v>0.212</v>
      </c>
      <c r="BP47" s="102" t="n">
        <v>0.228</v>
      </c>
      <c r="BQ47" s="103" t="n">
        <v>0.21</v>
      </c>
      <c r="BR47" s="101" t="n">
        <v>0.22</v>
      </c>
      <c r="BS47" s="437" t="n">
        <v>0.204</v>
      </c>
      <c r="BT47" s="398" t="n">
        <v>0.062</v>
      </c>
      <c r="BU47" s="455" t="n"/>
      <c r="BV47" s="455" t="n"/>
      <c r="BW47" s="238" t="n"/>
      <c r="BX47" s="238" t="n"/>
      <c r="BY47" s="238" t="n"/>
      <c r="BZ47" s="238" t="n"/>
      <c r="CA47" s="238" t="n"/>
      <c r="CB47" s="238" t="n"/>
      <c r="CC47" s="238" t="n"/>
      <c r="CD47" s="238" t="n"/>
      <c r="CE47" s="238" t="n"/>
      <c r="CF47" s="238" t="n"/>
      <c r="CG47" s="238" t="n"/>
      <c r="CH47" s="238" t="n"/>
      <c r="CI47" s="238" t="n"/>
      <c r="CJ47" s="238" t="n"/>
      <c r="CK47" s="238" t="n"/>
      <c r="CL47" s="238" t="n"/>
      <c r="CM47" s="238" t="n"/>
      <c r="CN47" s="238" t="n"/>
      <c r="CO47" s="238" t="n"/>
      <c r="CP47" s="238" t="n"/>
      <c r="CQ47" s="238" t="n"/>
      <c r="CR47" s="238" t="n"/>
      <c r="CS47" s="238" t="n"/>
      <c r="CT47" s="238" t="n"/>
      <c r="CU47" s="238" t="n"/>
      <c r="CV47" s="238" t="n"/>
      <c r="CW47" s="238" t="n"/>
      <c r="CX47" s="238" t="n"/>
      <c r="CY47" s="238" t="n"/>
      <c r="CZ47" s="238" t="n"/>
      <c r="DA47" s="238" t="n"/>
      <c r="DB47" s="238" t="n"/>
      <c r="DC47" s="238" t="n"/>
      <c r="DD47" s="238" t="n"/>
      <c r="DE47" s="238" t="n"/>
      <c r="DF47" s="238" t="n"/>
      <c r="DG47" s="238" t="n"/>
      <c r="DH47" s="238" t="n"/>
      <c r="DI47" s="238" t="n"/>
      <c r="DJ47" s="238" t="n"/>
      <c r="DK47" s="238" t="n"/>
      <c r="DL47" s="238" t="n"/>
      <c r="DM47" s="238" t="n"/>
      <c r="DN47" s="238" t="n"/>
      <c r="DO47" s="238" t="n"/>
      <c r="DP47" s="238" t="n"/>
      <c r="DQ47" s="238" t="n"/>
      <c r="DR47" s="238" t="n"/>
      <c r="DS47" s="238" t="n"/>
      <c r="DT47" s="238" t="n"/>
      <c r="DU47" s="238" t="n"/>
      <c r="DV47" s="238" t="n"/>
      <c r="DW47" s="238" t="n"/>
      <c r="DX47" s="238" t="n"/>
      <c r="DY47" s="238" t="n"/>
      <c r="DZ47" s="23" t="n"/>
      <c r="FQ47" s="212" t="n"/>
      <c r="FR47" s="212" t="n"/>
      <c r="FS47" s="212" t="n"/>
      <c r="FT47" s="212" t="n"/>
      <c r="FU47" s="212" t="n"/>
      <c r="FV47" s="212" t="n"/>
      <c r="FW47" s="212" t="n"/>
      <c r="FX47" s="212" t="n"/>
      <c r="FY47" s="212" t="n"/>
      <c r="FZ47" s="212" t="n"/>
    </row>
    <row r="48" ht="39.95" customFormat="1" customHeight="1" s="5">
      <c r="A48" s="456" t="n"/>
      <c r="B48" s="8" t="n"/>
      <c r="C48" s="12" t="inlineStr">
        <is>
          <t>R</t>
        </is>
      </c>
      <c r="D48" s="393" t="n">
        <v>0.212</v>
      </c>
      <c r="E48" s="396" t="n">
        <v>0.218</v>
      </c>
      <c r="F48" s="104" t="n">
        <v>0.231</v>
      </c>
      <c r="G48" s="438" t="n">
        <v>0.203</v>
      </c>
      <c r="H48" s="105" t="n">
        <v>0.234</v>
      </c>
      <c r="I48" s="106" t="n">
        <v>0.242</v>
      </c>
      <c r="J48" s="396" t="n">
        <v>0.257</v>
      </c>
      <c r="K48" s="396" t="n">
        <v>0.249</v>
      </c>
      <c r="L48" s="104" t="n">
        <v>0.239</v>
      </c>
      <c r="M48" s="105" t="n">
        <v>0.243</v>
      </c>
      <c r="N48" s="106" t="n">
        <v>0.239</v>
      </c>
      <c r="O48" s="438" t="n">
        <v>0.179</v>
      </c>
      <c r="P48" s="438" t="n">
        <v>0.152</v>
      </c>
      <c r="Q48" s="104" t="n">
        <v>0.209</v>
      </c>
      <c r="R48" s="441" t="n">
        <v>0.197</v>
      </c>
      <c r="S48" s="444" t="n">
        <v>0.171</v>
      </c>
      <c r="T48" s="104" t="n">
        <v>0.222</v>
      </c>
      <c r="U48" s="104" t="n">
        <v>0.205</v>
      </c>
      <c r="V48" s="438" t="n">
        <v>0.188</v>
      </c>
      <c r="W48" s="441" t="n">
        <v>0.169</v>
      </c>
      <c r="X48" s="444" t="n">
        <v>0.163</v>
      </c>
      <c r="Y48" s="438" t="n">
        <v>0.175</v>
      </c>
      <c r="Z48" s="438" t="n">
        <v>0.17</v>
      </c>
      <c r="AA48" s="438" t="n">
        <v>0.176</v>
      </c>
      <c r="AB48" s="105" t="n">
        <v>0.201</v>
      </c>
      <c r="AC48" s="444" t="n">
        <v>0.177</v>
      </c>
      <c r="AD48" s="104" t="n">
        <v>0.198</v>
      </c>
      <c r="AE48" s="438" t="n">
        <v>0.163</v>
      </c>
      <c r="AF48" s="438" t="n">
        <v>0.164</v>
      </c>
      <c r="AG48" s="441" t="n">
        <v>0.14</v>
      </c>
      <c r="AH48" s="444" t="n">
        <v>0.193</v>
      </c>
      <c r="AI48" s="438" t="n">
        <v>0.13</v>
      </c>
      <c r="AJ48" s="438" t="n">
        <v>0.145</v>
      </c>
      <c r="AK48" s="438" t="n">
        <v>0.166</v>
      </c>
      <c r="AL48" s="441" t="n">
        <v>0.143</v>
      </c>
      <c r="AM48" s="402" t="n">
        <v>0.163</v>
      </c>
      <c r="AN48" s="104" t="n">
        <v>0.2</v>
      </c>
      <c r="AO48" s="438" t="n">
        <v>0.184</v>
      </c>
      <c r="AP48" s="438" t="n">
        <v>0.157</v>
      </c>
      <c r="AQ48" s="441" t="n">
        <v>0.131</v>
      </c>
      <c r="AR48" s="444" t="n">
        <v>0.192</v>
      </c>
      <c r="AS48" s="438" t="n">
        <v>0.174</v>
      </c>
      <c r="AT48" s="438" t="n">
        <v>0.195</v>
      </c>
      <c r="AU48" s="104" t="n">
        <v>0.202</v>
      </c>
      <c r="AV48" s="441" t="n">
        <v>0.176</v>
      </c>
      <c r="AW48" s="444" t="n">
        <v>0.192</v>
      </c>
      <c r="AX48" s="438" t="n">
        <v>0.187</v>
      </c>
      <c r="AY48" s="104" t="n">
        <v>0.208</v>
      </c>
      <c r="AZ48" s="104" t="n">
        <v>0.202</v>
      </c>
      <c r="BA48" s="441" t="n">
        <v>0.195</v>
      </c>
      <c r="BB48" s="444" t="n">
        <v>0.188</v>
      </c>
      <c r="BC48" s="438" t="n">
        <v>0.184</v>
      </c>
      <c r="BD48" s="438" t="n">
        <v>0.187</v>
      </c>
      <c r="BE48" s="438" t="n">
        <v>0.194</v>
      </c>
      <c r="BF48" s="441" t="n">
        <v>0.186</v>
      </c>
      <c r="BG48" s="106" t="n">
        <v>0.212</v>
      </c>
      <c r="BH48" s="438" t="n">
        <v>0.193</v>
      </c>
      <c r="BI48" s="104" t="n">
        <v>0.212</v>
      </c>
      <c r="BJ48" s="396" t="n">
        <v>0.185</v>
      </c>
      <c r="BK48" s="441" t="n">
        <v>0.188</v>
      </c>
      <c r="BL48" s="106" t="n">
        <v>0.215</v>
      </c>
      <c r="BM48" s="104" t="n">
        <v>0.216</v>
      </c>
      <c r="BN48" s="438" t="n">
        <v>0.199</v>
      </c>
      <c r="BO48" s="438" t="n">
        <v>0.216</v>
      </c>
      <c r="BP48" s="105" t="n">
        <v>0.225</v>
      </c>
      <c r="BQ48" s="444" t="n">
        <v>0.196</v>
      </c>
      <c r="BR48" s="438" t="n">
        <v>0.21</v>
      </c>
      <c r="BS48" s="438" t="n">
        <v>0.21</v>
      </c>
      <c r="BT48" s="399" t="n">
        <v>0.001</v>
      </c>
      <c r="BU48" s="457" t="n"/>
      <c r="BV48" s="457" t="n"/>
      <c r="BW48" s="238" t="n"/>
      <c r="BX48" s="238" t="n"/>
      <c r="BY48" s="238" t="n"/>
      <c r="BZ48" s="238" t="n"/>
      <c r="CA48" s="238" t="n"/>
      <c r="CB48" s="238" t="n"/>
      <c r="CC48" s="238" t="n"/>
      <c r="CD48" s="238" t="n"/>
      <c r="CE48" s="238" t="n"/>
      <c r="CF48" s="238" t="n"/>
      <c r="CG48" s="238" t="n"/>
      <c r="CH48" s="238" t="n"/>
      <c r="CI48" s="238" t="n"/>
      <c r="CJ48" s="238" t="n"/>
      <c r="CK48" s="238" t="n"/>
      <c r="CL48" s="238" t="n"/>
      <c r="CM48" s="238" t="n"/>
      <c r="CN48" s="238" t="n"/>
      <c r="CO48" s="238" t="n"/>
      <c r="CP48" s="238" t="n"/>
      <c r="CQ48" s="238" t="n"/>
      <c r="CR48" s="238" t="n"/>
      <c r="CS48" s="238" t="n"/>
      <c r="CT48" s="238" t="n"/>
      <c r="CU48" s="238" t="n"/>
      <c r="CV48" s="238" t="n"/>
      <c r="CW48" s="238" t="n"/>
      <c r="CX48" s="238" t="n"/>
      <c r="CY48" s="238" t="n"/>
      <c r="CZ48" s="238" t="n"/>
      <c r="DA48" s="238" t="n"/>
      <c r="DB48" s="238" t="n"/>
      <c r="DC48" s="238" t="n"/>
      <c r="DD48" s="238" t="n"/>
      <c r="DE48" s="238" t="n"/>
      <c r="DF48" s="238" t="n"/>
      <c r="DG48" s="238" t="n"/>
      <c r="DH48" s="238" t="n"/>
      <c r="DI48" s="238" t="n"/>
      <c r="DJ48" s="238" t="n"/>
      <c r="DK48" s="238" t="n"/>
      <c r="DL48" s="238" t="n"/>
      <c r="DM48" s="238" t="n"/>
      <c r="DN48" s="238" t="n"/>
      <c r="DO48" s="238" t="n"/>
      <c r="DP48" s="238" t="n"/>
      <c r="DQ48" s="238" t="n"/>
      <c r="DR48" s="238" t="n"/>
      <c r="DS48" s="238" t="n"/>
      <c r="DT48" s="238" t="n"/>
      <c r="DU48" s="238" t="n"/>
      <c r="DV48" s="238" t="n"/>
      <c r="DW48" s="238" t="n"/>
      <c r="DX48" s="238" t="n"/>
      <c r="DY48" s="238" t="n"/>
      <c r="DZ48" s="23" t="n"/>
      <c r="FQ48" s="212" t="n"/>
      <c r="FR48" s="212" t="n"/>
      <c r="FS48" s="212" t="n"/>
      <c r="FT48" s="212" t="n"/>
      <c r="FU48" s="212" t="n"/>
      <c r="FV48" s="212" t="n"/>
      <c r="FW48" s="212" t="n"/>
      <c r="FX48" s="212" t="n"/>
      <c r="FY48" s="212" t="n"/>
      <c r="FZ48" s="212" t="n"/>
    </row>
    <row r="49" ht="39.95" customFormat="1" customHeight="1" s="5">
      <c r="A49" s="10" t="inlineStr">
        <is>
          <t>A</t>
        </is>
      </c>
      <c r="B49" s="6" t="n"/>
      <c r="C49" s="11" t="inlineStr">
        <is>
          <t>L</t>
        </is>
      </c>
      <c r="D49" s="433" t="n">
        <v>0.214</v>
      </c>
      <c r="E49" s="99" t="n">
        <v>0.221</v>
      </c>
      <c r="F49" s="394" t="n">
        <v>0.227</v>
      </c>
      <c r="G49" s="436" t="n">
        <v>0.206</v>
      </c>
      <c r="H49" s="439" t="n">
        <v>0.218</v>
      </c>
      <c r="I49" s="98" t="n">
        <v>0.261</v>
      </c>
      <c r="J49" s="394" t="n">
        <v>0.275</v>
      </c>
      <c r="K49" s="99" t="n">
        <v>0.265</v>
      </c>
      <c r="L49" s="99" t="n">
        <v>0.261</v>
      </c>
      <c r="M49" s="100" t="n">
        <v>0.251</v>
      </c>
      <c r="N49" s="442" t="n">
        <v>0.249</v>
      </c>
      <c r="O49" s="394" t="n">
        <v>0.216</v>
      </c>
      <c r="P49" s="436" t="n">
        <v>0.195</v>
      </c>
      <c r="Q49" s="436" t="n">
        <v>0.136</v>
      </c>
      <c r="R49" s="397" t="n">
        <v>0.173</v>
      </c>
      <c r="S49" s="442" t="n">
        <v>0.151</v>
      </c>
      <c r="T49" s="436" t="n">
        <v>0.148</v>
      </c>
      <c r="U49" s="436" t="n">
        <v>0.133</v>
      </c>
      <c r="V49" s="99" t="n">
        <v>0.195</v>
      </c>
      <c r="W49" s="439" t="n">
        <v>0.124</v>
      </c>
      <c r="X49" s="442" t="n">
        <v>0.114</v>
      </c>
      <c r="Y49" s="436" t="n">
        <v>0.113</v>
      </c>
      <c r="Z49" s="436" t="n">
        <v>0.18</v>
      </c>
      <c r="AA49" s="436" t="n">
        <v>0.166</v>
      </c>
      <c r="AB49" s="100" t="n">
        <v>0.181</v>
      </c>
      <c r="AC49" s="98" t="n">
        <v>0.177</v>
      </c>
      <c r="AD49" s="436" t="n">
        <v>0.136</v>
      </c>
      <c r="AE49" s="99" t="n">
        <v>0.194</v>
      </c>
      <c r="AF49" s="99" t="n">
        <v>0.186</v>
      </c>
      <c r="AG49" s="439" t="n">
        <v>0.166</v>
      </c>
      <c r="AH49" s="98" t="n">
        <v>0.197</v>
      </c>
      <c r="AI49" s="99" t="n">
        <v>0.179</v>
      </c>
      <c r="AJ49" s="436" t="n">
        <v>0.152</v>
      </c>
      <c r="AK49" s="99" t="n">
        <v>0.2</v>
      </c>
      <c r="AL49" s="439" t="n">
        <v>0.2</v>
      </c>
      <c r="AM49" s="442" t="n">
        <v>0.171</v>
      </c>
      <c r="AN49" s="436" t="n">
        <v>0.207</v>
      </c>
      <c r="AO49" s="99" t="n">
        <v>0.196</v>
      </c>
      <c r="AP49" s="436" t="n">
        <v>0.196</v>
      </c>
      <c r="AQ49" s="100" t="n">
        <v>0.2</v>
      </c>
      <c r="AR49" s="442" t="n">
        <v>0.189</v>
      </c>
      <c r="AS49" s="436" t="n">
        <v>0.185</v>
      </c>
      <c r="AT49" s="99" t="n">
        <v>0.226</v>
      </c>
      <c r="AU49" s="99" t="n">
        <v>0.205</v>
      </c>
      <c r="AV49" s="100" t="n">
        <v>0.22</v>
      </c>
      <c r="AW49" s="98" t="n">
        <v>0.215</v>
      </c>
      <c r="AX49" s="99" t="n">
        <v>0.222</v>
      </c>
      <c r="AY49" s="99" t="n">
        <v>0.225</v>
      </c>
      <c r="AZ49" s="436" t="n">
        <v>0.192</v>
      </c>
      <c r="BA49" s="439" t="n">
        <v>0.196</v>
      </c>
      <c r="BB49" s="98" t="n">
        <v>0.204</v>
      </c>
      <c r="BC49" s="99" t="n">
        <v>0.209</v>
      </c>
      <c r="BD49" s="436" t="n">
        <v>0.176</v>
      </c>
      <c r="BE49" s="436" t="n">
        <v>0.202</v>
      </c>
      <c r="BF49" s="100" t="n">
        <v>0.213</v>
      </c>
      <c r="BG49" s="442" t="n">
        <v>0.197</v>
      </c>
      <c r="BH49" s="436" t="n">
        <v>0.195</v>
      </c>
      <c r="BI49" s="99" t="n">
        <v>0.211</v>
      </c>
      <c r="BJ49" s="99" t="n">
        <v>0.208</v>
      </c>
      <c r="BK49" s="439" t="n">
        <v>0.206</v>
      </c>
      <c r="BL49" s="98" t="n">
        <v>0.223</v>
      </c>
      <c r="BM49" s="436" t="n">
        <v>0.163</v>
      </c>
      <c r="BN49" s="99" t="n">
        <v>0.215</v>
      </c>
      <c r="BO49" s="436" t="n">
        <v>0.184</v>
      </c>
      <c r="BP49" s="100" t="n">
        <v>0.21</v>
      </c>
      <c r="BQ49" s="442" t="n">
        <v>0.201</v>
      </c>
      <c r="BR49" s="436" t="n">
        <v>0.204</v>
      </c>
      <c r="BS49" s="436" t="n">
        <v>0.194</v>
      </c>
      <c r="BT49" s="397" t="n">
        <v>0.196</v>
      </c>
      <c r="BU49" s="454">
        <f>IFERROR(AVERAGE(D49:BT51),0)</f>
        <v/>
      </c>
      <c r="BV49" s="454">
        <f>MIN(D49:BT51)</f>
        <v/>
      </c>
      <c r="BW49" s="238" t="n"/>
      <c r="BX49" s="238" t="n"/>
      <c r="BY49" s="238" t="n"/>
      <c r="BZ49" s="238" t="n"/>
      <c r="CA49" s="238" t="n"/>
      <c r="CB49" s="238" t="n"/>
      <c r="CC49" s="238" t="n"/>
      <c r="CD49" s="238" t="n"/>
      <c r="CE49" s="238" t="n"/>
      <c r="CF49" s="238" t="n"/>
      <c r="CG49" s="238" t="n"/>
      <c r="CH49" s="238" t="n"/>
      <c r="CI49" s="238" t="n"/>
      <c r="CJ49" s="238" t="n"/>
      <c r="CK49" s="238" t="n"/>
      <c r="CL49" s="238" t="n"/>
      <c r="CM49" s="238" t="n"/>
      <c r="CN49" s="238" t="n"/>
      <c r="CO49" s="238" t="n"/>
      <c r="CP49" s="238" t="n"/>
      <c r="CQ49" s="238" t="n"/>
      <c r="CR49" s="238" t="n"/>
      <c r="CS49" s="238" t="n"/>
      <c r="CT49" s="238" t="n"/>
      <c r="CU49" s="238" t="n"/>
      <c r="CV49" s="238" t="n"/>
      <c r="CW49" s="238" t="n"/>
      <c r="CX49" s="238" t="n"/>
      <c r="CY49" s="238" t="n"/>
      <c r="CZ49" s="238" t="n"/>
      <c r="DA49" s="238" t="n"/>
      <c r="DB49" s="238" t="n"/>
      <c r="DC49" s="238" t="n"/>
      <c r="DD49" s="238" t="n"/>
      <c r="DE49" s="238" t="n"/>
      <c r="DF49" s="238" t="n"/>
      <c r="DG49" s="238" t="n"/>
      <c r="DH49" s="238" t="n"/>
      <c r="DI49" s="238" t="n"/>
      <c r="DJ49" s="238" t="n"/>
      <c r="DK49" s="238" t="n"/>
      <c r="DL49" s="238" t="n"/>
      <c r="DM49" s="238" t="n"/>
      <c r="DN49" s="238" t="n"/>
      <c r="DO49" s="238" t="n"/>
      <c r="DP49" s="238" t="n"/>
      <c r="DQ49" s="238" t="n"/>
      <c r="DR49" s="238" t="n"/>
      <c r="DS49" s="238" t="n"/>
      <c r="DT49" s="238" t="n"/>
      <c r="DU49" s="238" t="n"/>
      <c r="DV49" s="238" t="n"/>
      <c r="DW49" s="238" t="n"/>
      <c r="DX49" s="238" t="n"/>
      <c r="DY49" s="238" t="n"/>
      <c r="DZ49" s="23" t="n"/>
      <c r="FQ49" s="212" t="n"/>
      <c r="FR49" s="212" t="n"/>
      <c r="FS49" s="212" t="n"/>
      <c r="FT49" s="212" t="n"/>
      <c r="FU49" s="212" t="n"/>
      <c r="FV49" s="212" t="n"/>
      <c r="FW49" s="212" t="n"/>
      <c r="FX49" s="212" t="n"/>
      <c r="FY49" s="212" t="n"/>
      <c r="FZ49" s="212" t="n"/>
    </row>
    <row r="50" ht="39.95" customFormat="1" customHeight="1" s="5">
      <c r="A50" s="182" t="n">
        <v>0.083</v>
      </c>
      <c r="B50" s="7" t="inlineStr">
        <is>
          <t>+6 FT</t>
        </is>
      </c>
      <c r="C50" s="11" t="inlineStr">
        <is>
          <t>C</t>
        </is>
      </c>
      <c r="D50" s="107" t="n">
        <v>0.204</v>
      </c>
      <c r="E50" s="437" t="n">
        <v>0.208</v>
      </c>
      <c r="F50" s="395" t="n">
        <v>0.232</v>
      </c>
      <c r="G50" s="437" t="n">
        <v>0.217</v>
      </c>
      <c r="H50" s="102" t="n">
        <v>0.225</v>
      </c>
      <c r="I50" s="103" t="n">
        <v>0.262</v>
      </c>
      <c r="J50" s="395" t="n">
        <v>0.265</v>
      </c>
      <c r="K50" s="101" t="n">
        <v>0.263</v>
      </c>
      <c r="L50" s="395" t="n">
        <v>0.263</v>
      </c>
      <c r="M50" s="102" t="n">
        <v>0.26</v>
      </c>
      <c r="N50" s="443" t="n">
        <v>0.244</v>
      </c>
      <c r="O50" s="395" t="n">
        <v>0.211</v>
      </c>
      <c r="P50" s="437" t="n">
        <v>0.167</v>
      </c>
      <c r="Q50" s="437" t="n">
        <v>0.199</v>
      </c>
      <c r="R50" s="440" t="n">
        <v>0.14</v>
      </c>
      <c r="S50" s="443" t="n">
        <v>0.138</v>
      </c>
      <c r="T50" s="437" t="n">
        <v>0.168</v>
      </c>
      <c r="U50" s="437" t="n">
        <v>0.131</v>
      </c>
      <c r="V50" s="437" t="n">
        <v>0.178</v>
      </c>
      <c r="W50" s="440" t="n">
        <v>0.145</v>
      </c>
      <c r="X50" s="443" t="n">
        <v>0.169</v>
      </c>
      <c r="Y50" s="437" t="n">
        <v>0.111</v>
      </c>
      <c r="Z50" s="437" t="n">
        <v>0.175</v>
      </c>
      <c r="AA50" s="437" t="n">
        <v>0.159</v>
      </c>
      <c r="AB50" s="102" t="n">
        <v>0.194</v>
      </c>
      <c r="AC50" s="443" t="n">
        <v>0.164</v>
      </c>
      <c r="AD50" s="437" t="n">
        <v>0.14</v>
      </c>
      <c r="AE50" s="101" t="n">
        <v>0.188</v>
      </c>
      <c r="AF50" s="101" t="n">
        <v>0.196</v>
      </c>
      <c r="AG50" s="102" t="n">
        <v>0.191</v>
      </c>
      <c r="AH50" s="103" t="n">
        <v>0.187</v>
      </c>
      <c r="AI50" s="437" t="n">
        <v>0.175</v>
      </c>
      <c r="AJ50" s="437" t="n">
        <v>0.169</v>
      </c>
      <c r="AK50" s="101" t="n">
        <v>0.212</v>
      </c>
      <c r="AL50" s="440" t="n">
        <v>0.118</v>
      </c>
      <c r="AM50" s="443" t="n">
        <v>0.175</v>
      </c>
      <c r="AN50" s="101" t="n">
        <v>0.225</v>
      </c>
      <c r="AO50" s="101" t="n">
        <v>0.205</v>
      </c>
      <c r="AP50" s="437" t="n">
        <v>0.204</v>
      </c>
      <c r="AQ50" s="440" t="n">
        <v>0.201</v>
      </c>
      <c r="AR50" s="443" t="n">
        <v>0.141</v>
      </c>
      <c r="AS50" s="437" t="n">
        <v>0.19</v>
      </c>
      <c r="AT50" s="437" t="n">
        <v>0.208</v>
      </c>
      <c r="AU50" s="101" t="n">
        <v>0.207</v>
      </c>
      <c r="AV50" s="102" t="n">
        <v>0.22</v>
      </c>
      <c r="AW50" s="103" t="n">
        <v>0.217</v>
      </c>
      <c r="AX50" s="101" t="n">
        <v>0.226</v>
      </c>
      <c r="AY50" s="101" t="n">
        <v>0.219</v>
      </c>
      <c r="AZ50" s="437" t="n">
        <v>0.166</v>
      </c>
      <c r="BA50" s="102" t="n">
        <v>0.217</v>
      </c>
      <c r="BB50" s="103" t="n">
        <v>0.214</v>
      </c>
      <c r="BC50" s="437" t="n">
        <v>0.179</v>
      </c>
      <c r="BD50" s="437" t="n">
        <v>0.2</v>
      </c>
      <c r="BE50" s="101" t="n">
        <v>0.219</v>
      </c>
      <c r="BF50" s="440" t="n">
        <v>0.205</v>
      </c>
      <c r="BG50" s="103" t="n">
        <v>0.209</v>
      </c>
      <c r="BH50" s="101" t="n">
        <v>0.215</v>
      </c>
      <c r="BI50" s="437" t="n">
        <v>0.206</v>
      </c>
      <c r="BJ50" s="101" t="n">
        <v>0.218</v>
      </c>
      <c r="BK50" s="440" t="n">
        <v>0.204</v>
      </c>
      <c r="BL50" s="103" t="n">
        <v>0.214</v>
      </c>
      <c r="BM50" s="395" t="n">
        <v>0.215</v>
      </c>
      <c r="BN50" s="101" t="n">
        <v>0.219</v>
      </c>
      <c r="BO50" s="437" t="n">
        <v>0.175</v>
      </c>
      <c r="BP50" s="102" t="n">
        <v>0.212</v>
      </c>
      <c r="BQ50" s="443" t="n">
        <v>0.202</v>
      </c>
      <c r="BR50" s="437" t="n">
        <v>0.184</v>
      </c>
      <c r="BS50" s="395" t="n">
        <v>0.173</v>
      </c>
      <c r="BT50" s="398" t="n">
        <v>0.214</v>
      </c>
      <c r="BU50" s="455" t="n"/>
      <c r="BV50" s="455" t="n"/>
      <c r="BW50" s="238" t="n"/>
      <c r="BX50" s="238" t="n"/>
      <c r="BY50" s="238" t="n"/>
      <c r="BZ50" s="238" t="n"/>
      <c r="CA50" s="238" t="n"/>
      <c r="CB50" s="238" t="n"/>
      <c r="CC50" s="238" t="n"/>
      <c r="CD50" s="238" t="n"/>
      <c r="CE50" s="238" t="n"/>
      <c r="CF50" s="238" t="n"/>
      <c r="CG50" s="238" t="n"/>
      <c r="CH50" s="238" t="n"/>
      <c r="CI50" s="238" t="n"/>
      <c r="CJ50" s="238" t="n"/>
      <c r="CK50" s="238" t="n"/>
      <c r="CL50" s="238" t="n"/>
      <c r="CM50" s="238" t="n"/>
      <c r="CN50" s="238" t="n"/>
      <c r="CO50" s="238" t="n"/>
      <c r="CP50" s="238" t="n"/>
      <c r="CQ50" s="238" t="n"/>
      <c r="CR50" s="238" t="n"/>
      <c r="CS50" s="238" t="n"/>
      <c r="CT50" s="238" t="n"/>
      <c r="CU50" s="238" t="n"/>
      <c r="CV50" s="238" t="n"/>
      <c r="CW50" s="238" t="n"/>
      <c r="CX50" s="238" t="n"/>
      <c r="CY50" s="238" t="n"/>
      <c r="CZ50" s="238" t="n"/>
      <c r="DA50" s="238" t="n"/>
      <c r="DB50" s="238" t="n"/>
      <c r="DC50" s="238" t="n"/>
      <c r="DD50" s="238" t="n"/>
      <c r="DE50" s="238" t="n"/>
      <c r="DF50" s="238" t="n"/>
      <c r="DG50" s="238" t="n"/>
      <c r="DH50" s="238" t="n"/>
      <c r="DI50" s="238" t="n"/>
      <c r="DJ50" s="238" t="n"/>
      <c r="DK50" s="238" t="n"/>
      <c r="DL50" s="238" t="n"/>
      <c r="DM50" s="238" t="n"/>
      <c r="DN50" s="238" t="n"/>
      <c r="DO50" s="238" t="n"/>
      <c r="DP50" s="238" t="n"/>
      <c r="DQ50" s="238" t="n"/>
      <c r="DR50" s="238" t="n"/>
      <c r="DS50" s="238" t="n"/>
      <c r="DT50" s="238" t="n"/>
      <c r="DU50" s="238" t="n"/>
      <c r="DV50" s="238" t="n"/>
      <c r="DW50" s="238" t="n"/>
      <c r="DX50" s="238" t="n"/>
      <c r="DY50" s="238" t="n"/>
      <c r="DZ50" s="23" t="n"/>
      <c r="FQ50" s="212" t="n"/>
      <c r="FR50" s="212" t="n"/>
      <c r="FS50" s="212" t="n"/>
      <c r="FT50" s="212" t="n"/>
      <c r="FU50" s="212" t="n"/>
      <c r="FV50" s="212" t="n"/>
      <c r="FW50" s="212" t="n"/>
      <c r="FX50" s="212" t="n"/>
      <c r="FY50" s="212" t="n"/>
      <c r="FZ50" s="212" t="n"/>
    </row>
    <row r="51" ht="39.95" customFormat="1" customHeight="1" s="5">
      <c r="A51" s="456" t="n"/>
      <c r="B51" s="8" t="n"/>
      <c r="C51" s="12" t="inlineStr">
        <is>
          <t>R</t>
        </is>
      </c>
      <c r="D51" s="109" t="n">
        <v>0.23</v>
      </c>
      <c r="E51" s="438" t="n">
        <v>0.212</v>
      </c>
      <c r="F51" s="438" t="n">
        <v>0.212</v>
      </c>
      <c r="G51" s="438" t="n">
        <v>0.218</v>
      </c>
      <c r="H51" s="441" t="n">
        <v>0.213</v>
      </c>
      <c r="I51" s="106" t="n">
        <v>0.26</v>
      </c>
      <c r="J51" s="396" t="n">
        <v>0.265</v>
      </c>
      <c r="K51" s="104" t="n">
        <v>0.264</v>
      </c>
      <c r="L51" s="104" t="n">
        <v>0.262</v>
      </c>
      <c r="M51" s="105" t="n">
        <v>0.258</v>
      </c>
      <c r="N51" s="106" t="n">
        <v>0.249</v>
      </c>
      <c r="O51" s="438" t="n">
        <v>0.194</v>
      </c>
      <c r="P51" s="438" t="n">
        <v>0.182</v>
      </c>
      <c r="Q51" s="438" t="n">
        <v>0.138</v>
      </c>
      <c r="R51" s="441" t="n">
        <v>0.159</v>
      </c>
      <c r="S51" s="444" t="n">
        <v>0.165</v>
      </c>
      <c r="T51" s="438" t="n">
        <v>0.143</v>
      </c>
      <c r="U51" s="438" t="n">
        <v>0.115</v>
      </c>
      <c r="V51" s="104" t="n">
        <v>0.178</v>
      </c>
      <c r="W51" s="441" t="n">
        <v>0.154</v>
      </c>
      <c r="X51" s="444" t="n">
        <v>0.139</v>
      </c>
      <c r="Y51" s="438" t="n">
        <v>0.16</v>
      </c>
      <c r="Z51" s="396" t="n">
        <v>0.201</v>
      </c>
      <c r="AA51" s="438" t="n">
        <v>0.167</v>
      </c>
      <c r="AB51" s="399" t="n">
        <v>0.221</v>
      </c>
      <c r="AC51" s="444" t="n">
        <v>0.189</v>
      </c>
      <c r="AD51" s="438" t="n">
        <v>0.192</v>
      </c>
      <c r="AE51" s="438" t="n">
        <v>0.137</v>
      </c>
      <c r="AF51" s="104" t="n">
        <v>0.192</v>
      </c>
      <c r="AG51" s="441" t="n">
        <v>0.185</v>
      </c>
      <c r="AH51" s="444" t="n">
        <v>0.187</v>
      </c>
      <c r="AI51" s="104" t="n">
        <v>0.187</v>
      </c>
      <c r="AJ51" s="396" t="n">
        <v>0.219</v>
      </c>
      <c r="AK51" s="438" t="n">
        <v>0.179</v>
      </c>
      <c r="AL51" s="441" t="n">
        <v>0.144</v>
      </c>
      <c r="AM51" s="106" t="n">
        <v>0.216</v>
      </c>
      <c r="AN51" s="104" t="n">
        <v>0.207</v>
      </c>
      <c r="AO51" s="104" t="n">
        <v>0.218</v>
      </c>
      <c r="AP51" s="438" t="n">
        <v>0.175</v>
      </c>
      <c r="AQ51" s="441" t="n">
        <v>0.207</v>
      </c>
      <c r="AR51" s="444" t="n">
        <v>0.159</v>
      </c>
      <c r="AS51" s="438" t="n">
        <v>0.178</v>
      </c>
      <c r="AT51" s="438" t="n">
        <v>0.205</v>
      </c>
      <c r="AU51" s="438" t="n">
        <v>0.205</v>
      </c>
      <c r="AV51" s="105" t="n">
        <v>0.226</v>
      </c>
      <c r="AW51" s="106" t="n">
        <v>0.225</v>
      </c>
      <c r="AX51" s="396" t="n">
        <v>0.226</v>
      </c>
      <c r="AY51" s="104" t="n">
        <v>0.219</v>
      </c>
      <c r="AZ51" s="438" t="n">
        <v>0.205</v>
      </c>
      <c r="BA51" s="441" t="n">
        <v>0.207</v>
      </c>
      <c r="BB51" s="106" t="n">
        <v>0.214</v>
      </c>
      <c r="BC51" s="438" t="n">
        <v>0.187</v>
      </c>
      <c r="BD51" s="438" t="n">
        <v>0.189</v>
      </c>
      <c r="BE51" s="438" t="n">
        <v>0.187</v>
      </c>
      <c r="BF51" s="441" t="n">
        <v>0.206</v>
      </c>
      <c r="BG51" s="444" t="n">
        <v>0.203</v>
      </c>
      <c r="BH51" s="438" t="n">
        <v>0.199</v>
      </c>
      <c r="BI51" s="104" t="n">
        <v>0.214</v>
      </c>
      <c r="BJ51" s="438" t="n">
        <v>0.195</v>
      </c>
      <c r="BK51" s="441" t="n">
        <v>0.21</v>
      </c>
      <c r="BL51" s="106" t="n">
        <v>0.217</v>
      </c>
      <c r="BM51" s="438" t="n">
        <v>0.178</v>
      </c>
      <c r="BN51" s="104" t="n">
        <v>0.215</v>
      </c>
      <c r="BO51" s="438" t="n">
        <v>0.194</v>
      </c>
      <c r="BP51" s="105" t="n">
        <v>0.215</v>
      </c>
      <c r="BQ51" s="444" t="n">
        <v>0.202</v>
      </c>
      <c r="BR51" s="438" t="n">
        <v>0.198</v>
      </c>
      <c r="BS51" s="438" t="n">
        <v>0.2</v>
      </c>
      <c r="BT51" s="399" t="n">
        <v>0.211</v>
      </c>
      <c r="BU51" s="457" t="n"/>
      <c r="BV51" s="457" t="n"/>
      <c r="BW51" s="238" t="n"/>
      <c r="BX51" s="238" t="n"/>
      <c r="BY51" s="238" t="n"/>
      <c r="BZ51" s="238" t="n"/>
      <c r="CA51" s="238" t="n"/>
      <c r="CB51" s="238" t="n"/>
      <c r="CC51" s="238" t="n"/>
      <c r="CD51" s="238" t="n"/>
      <c r="CE51" s="238" t="n"/>
      <c r="CF51" s="238" t="n"/>
      <c r="CG51" s="238" t="n"/>
      <c r="CH51" s="238" t="n"/>
      <c r="CI51" s="238" t="n"/>
      <c r="CJ51" s="238" t="n"/>
      <c r="CK51" s="238" t="n"/>
      <c r="CL51" s="238" t="n"/>
      <c r="CM51" s="238" t="n"/>
      <c r="CN51" s="238" t="n"/>
      <c r="CO51" s="238" t="n"/>
      <c r="CP51" s="238" t="n"/>
      <c r="CQ51" s="238" t="n"/>
      <c r="CR51" s="238" t="n"/>
      <c r="CS51" s="238" t="n"/>
      <c r="CT51" s="238" t="n"/>
      <c r="CU51" s="238" t="n"/>
      <c r="CV51" s="238" t="n"/>
      <c r="CW51" s="238" t="n"/>
      <c r="CX51" s="238" t="n"/>
      <c r="CY51" s="238" t="n"/>
      <c r="CZ51" s="238" t="n"/>
      <c r="DA51" s="238" t="n"/>
      <c r="DB51" s="238" t="n"/>
      <c r="DC51" s="238" t="n"/>
      <c r="DD51" s="238" t="n"/>
      <c r="DE51" s="238" t="n"/>
      <c r="DF51" s="238" t="n"/>
      <c r="DG51" s="238" t="n"/>
      <c r="DH51" s="238" t="n"/>
      <c r="DI51" s="238" t="n"/>
      <c r="DJ51" s="238" t="n"/>
      <c r="DK51" s="238" t="n"/>
      <c r="DL51" s="238" t="n"/>
      <c r="DM51" s="238" t="n"/>
      <c r="DN51" s="238" t="n"/>
      <c r="DO51" s="238" t="n"/>
      <c r="DP51" s="238" t="n"/>
      <c r="DQ51" s="238" t="n"/>
      <c r="DR51" s="238" t="n"/>
      <c r="DS51" s="238" t="n"/>
      <c r="DT51" s="238" t="n"/>
      <c r="DU51" s="238" t="n"/>
      <c r="DV51" s="238" t="n"/>
      <c r="DW51" s="238" t="n"/>
      <c r="DX51" s="238" t="n"/>
      <c r="DY51" s="238" t="n"/>
      <c r="DZ51" s="23" t="n"/>
      <c r="FQ51" s="212" t="n"/>
      <c r="FR51" s="212" t="n"/>
      <c r="FS51" s="212" t="n"/>
      <c r="FT51" s="212" t="n"/>
      <c r="FU51" s="212" t="n"/>
      <c r="FV51" s="212" t="n"/>
      <c r="FW51" s="212" t="n"/>
      <c r="FX51" s="212" t="n"/>
      <c r="FY51" s="212" t="n"/>
      <c r="FZ51" s="212" t="n"/>
    </row>
    <row r="52" ht="39.95" customFormat="1" customHeight="1" s="5">
      <c r="A52" s="10" t="inlineStr">
        <is>
          <t>A</t>
        </is>
      </c>
      <c r="B52" s="6" t="n"/>
      <c r="C52" s="11" t="inlineStr">
        <is>
          <t>L</t>
        </is>
      </c>
      <c r="D52" s="433" t="n">
        <v>0.172</v>
      </c>
      <c r="E52" s="436" t="n">
        <v>0.202</v>
      </c>
      <c r="F52" s="394" t="n">
        <v>0.232</v>
      </c>
      <c r="G52" s="436" t="n">
        <v>0.211</v>
      </c>
      <c r="H52" s="439" t="n">
        <v>0.197</v>
      </c>
      <c r="I52" s="400" t="n">
        <v>0.25</v>
      </c>
      <c r="J52" s="394" t="n">
        <v>0.258</v>
      </c>
      <c r="K52" s="394" t="n">
        <v>0.235</v>
      </c>
      <c r="L52" s="394" t="n">
        <v>0.244</v>
      </c>
      <c r="M52" s="397" t="n">
        <v>0.265</v>
      </c>
      <c r="N52" s="400" t="n">
        <v>0.24</v>
      </c>
      <c r="O52" s="436" t="n">
        <v>0.191</v>
      </c>
      <c r="P52" s="99" t="n">
        <v>0.211</v>
      </c>
      <c r="Q52" s="436" t="n">
        <v>0.176</v>
      </c>
      <c r="R52" s="439" t="n">
        <v>0.186</v>
      </c>
      <c r="S52" s="442" t="n">
        <v>0.189</v>
      </c>
      <c r="T52" s="436" t="n">
        <v>0.151</v>
      </c>
      <c r="U52" s="436" t="n">
        <v>0.201</v>
      </c>
      <c r="V52" s="436" t="n">
        <v>0.191</v>
      </c>
      <c r="W52" s="439" t="n">
        <v>0.181</v>
      </c>
      <c r="X52" s="98" t="n">
        <v>0.224</v>
      </c>
      <c r="Y52" s="436" t="n">
        <v>0.166</v>
      </c>
      <c r="Z52" s="436" t="n">
        <v>0.17</v>
      </c>
      <c r="AA52" s="436" t="n">
        <v>0.18</v>
      </c>
      <c r="AB52" s="439" t="n">
        <v>0.177</v>
      </c>
      <c r="AC52" s="98" t="n">
        <v>0.192</v>
      </c>
      <c r="AD52" s="99" t="n">
        <v>0.189</v>
      </c>
      <c r="AE52" s="99" t="n">
        <v>0.214</v>
      </c>
      <c r="AF52" s="394" t="n">
        <v>0.219</v>
      </c>
      <c r="AG52" s="439" t="n">
        <v>0.181</v>
      </c>
      <c r="AH52" s="98" t="n">
        <v>0.192</v>
      </c>
      <c r="AI52" s="436" t="n">
        <v>0.192</v>
      </c>
      <c r="AJ52" s="99" t="n">
        <v>0.208</v>
      </c>
      <c r="AK52" s="436" t="n">
        <v>0.174</v>
      </c>
      <c r="AL52" s="439" t="n">
        <v>0.184</v>
      </c>
      <c r="AM52" s="98" t="n">
        <v>0.209</v>
      </c>
      <c r="AN52" s="436" t="n">
        <v>0.191</v>
      </c>
      <c r="AO52" s="99" t="n">
        <v>0.198</v>
      </c>
      <c r="AP52" s="99" t="n">
        <v>0.21</v>
      </c>
      <c r="AQ52" s="397" t="n">
        <v>0.215</v>
      </c>
      <c r="AR52" s="442" t="n">
        <v>0.212</v>
      </c>
      <c r="AS52" s="436" t="n">
        <v>0.199</v>
      </c>
      <c r="AT52" s="99" t="n">
        <v>0.217</v>
      </c>
      <c r="AU52" s="436" t="n">
        <v>0.199</v>
      </c>
      <c r="AV52" s="439" t="n">
        <v>0.191</v>
      </c>
      <c r="AW52" s="442" t="n">
        <v>0.193</v>
      </c>
      <c r="AX52" s="99" t="n">
        <v>0.204</v>
      </c>
      <c r="AY52" s="99" t="n">
        <v>0.212</v>
      </c>
      <c r="AZ52" s="99" t="n">
        <v>0.211</v>
      </c>
      <c r="BA52" s="439" t="n">
        <v>0.217</v>
      </c>
      <c r="BB52" s="442" t="n">
        <v>0.208</v>
      </c>
      <c r="BC52" s="99" t="n">
        <v>0.201</v>
      </c>
      <c r="BD52" s="99" t="n">
        <v>0.213</v>
      </c>
      <c r="BE52" s="99" t="n">
        <v>0.207</v>
      </c>
      <c r="BF52" s="439" t="n">
        <v>0.213</v>
      </c>
      <c r="BG52" s="98" t="n">
        <v>0.214</v>
      </c>
      <c r="BH52" s="99" t="n">
        <v>0.211</v>
      </c>
      <c r="BI52" s="436" t="n">
        <v>0.206</v>
      </c>
      <c r="BJ52" s="436" t="n">
        <v>0.217</v>
      </c>
      <c r="BK52" s="439" t="n">
        <v>0.192</v>
      </c>
      <c r="BL52" s="442" t="n">
        <v>0.204</v>
      </c>
      <c r="BM52" s="436" t="n">
        <v>0.19</v>
      </c>
      <c r="BN52" s="99" t="n">
        <v>0.214</v>
      </c>
      <c r="BO52" s="436" t="n">
        <v>0.16</v>
      </c>
      <c r="BP52" s="439" t="n">
        <v>0.195</v>
      </c>
      <c r="BQ52" s="98" t="n">
        <v>0.205</v>
      </c>
      <c r="BR52" s="436" t="n">
        <v>0.214</v>
      </c>
      <c r="BS52" s="436" t="n">
        <v>0.191</v>
      </c>
      <c r="BT52" s="397" t="n">
        <v>0.147</v>
      </c>
      <c r="BU52" s="454">
        <f>IFERROR(AVERAGE(D52:BT54),0)</f>
        <v/>
      </c>
      <c r="BV52" s="454">
        <f>MIN(D52:BT54)</f>
        <v/>
      </c>
      <c r="BW52" s="238" t="n"/>
      <c r="BX52" s="238" t="n"/>
      <c r="BY52" s="238" t="n"/>
      <c r="BZ52" s="238" t="n"/>
      <c r="CA52" s="238" t="n"/>
      <c r="CB52" s="238" t="n"/>
      <c r="CC52" s="238" t="n"/>
      <c r="CD52" s="238" t="n"/>
      <c r="CE52" s="238" t="n"/>
      <c r="CF52" s="238" t="n"/>
      <c r="CG52" s="238" t="n"/>
      <c r="CH52" s="238" t="n"/>
      <c r="CI52" s="238" t="n"/>
      <c r="CJ52" s="238" t="n"/>
      <c r="CK52" s="238" t="n"/>
      <c r="CL52" s="238" t="n"/>
      <c r="CM52" s="238" t="n"/>
      <c r="CN52" s="238" t="n"/>
      <c r="CO52" s="238" t="n"/>
      <c r="CP52" s="238" t="n"/>
      <c r="CQ52" s="238" t="n"/>
      <c r="CR52" s="238" t="n"/>
      <c r="CS52" s="238" t="n"/>
      <c r="CT52" s="238" t="n"/>
      <c r="CU52" s="238" t="n"/>
      <c r="CV52" s="238" t="n"/>
      <c r="CW52" s="238" t="n"/>
      <c r="CX52" s="238" t="n"/>
      <c r="CY52" s="238" t="n"/>
      <c r="CZ52" s="238" t="n"/>
      <c r="DA52" s="238" t="n"/>
      <c r="DB52" s="238" t="n"/>
      <c r="DC52" s="238" t="n"/>
      <c r="DD52" s="238" t="n"/>
      <c r="DE52" s="238" t="n"/>
      <c r="DF52" s="238" t="n"/>
      <c r="DG52" s="238" t="n"/>
      <c r="DH52" s="238" t="n"/>
      <c r="DI52" s="238" t="n"/>
      <c r="DJ52" s="238" t="n"/>
      <c r="DK52" s="238" t="n"/>
      <c r="DL52" s="238" t="n"/>
      <c r="DM52" s="238" t="n"/>
      <c r="DN52" s="238" t="n"/>
      <c r="DO52" s="238" t="n"/>
      <c r="DP52" s="238" t="n"/>
      <c r="DQ52" s="238" t="n"/>
      <c r="DR52" s="238" t="n"/>
      <c r="DS52" s="238" t="n"/>
      <c r="DT52" s="238" t="n"/>
      <c r="DU52" s="238" t="n"/>
      <c r="DV52" s="238" t="n"/>
      <c r="DW52" s="238" t="n"/>
      <c r="DX52" s="238" t="n"/>
      <c r="DY52" s="238" t="n"/>
      <c r="DZ52" s="23" t="n"/>
      <c r="FQ52" s="212" t="n"/>
      <c r="FR52" s="212" t="n"/>
      <c r="FS52" s="212" t="n"/>
      <c r="FT52" s="212" t="n"/>
      <c r="FU52" s="212" t="n"/>
      <c r="FV52" s="212" t="n"/>
      <c r="FW52" s="212" t="n"/>
      <c r="FX52" s="212" t="n"/>
      <c r="FY52" s="212" t="n"/>
      <c r="FZ52" s="212" t="n"/>
    </row>
    <row r="53" ht="39.95" customFormat="1" customHeight="1" s="5">
      <c r="A53" s="182" t="n">
        <v>0.083</v>
      </c>
      <c r="B53" s="7" t="inlineStr">
        <is>
          <t>+4 FT 6 IN</t>
        </is>
      </c>
      <c r="C53" s="11" t="inlineStr">
        <is>
          <t>C</t>
        </is>
      </c>
      <c r="D53" s="434" t="n">
        <v>0.183</v>
      </c>
      <c r="E53" s="437" t="n">
        <v>0.2</v>
      </c>
      <c r="F53" s="437" t="n">
        <v>0.204</v>
      </c>
      <c r="G53" s="437" t="n">
        <v>0.19</v>
      </c>
      <c r="H53" s="440" t="n">
        <v>0.198</v>
      </c>
      <c r="I53" s="401" t="n">
        <v>0.254</v>
      </c>
      <c r="J53" s="395" t="n">
        <v>0.244</v>
      </c>
      <c r="K53" s="395" t="n">
        <v>0.229</v>
      </c>
      <c r="L53" s="437" t="n">
        <v>0.217</v>
      </c>
      <c r="M53" s="398" t="n">
        <v>0.25</v>
      </c>
      <c r="N53" s="401" t="n">
        <v>0.224</v>
      </c>
      <c r="O53" s="437" t="n">
        <v>0.191</v>
      </c>
      <c r="P53" s="437" t="n">
        <v>0.183</v>
      </c>
      <c r="Q53" s="101" t="n">
        <v>0.214</v>
      </c>
      <c r="R53" s="102" t="n">
        <v>0.217</v>
      </c>
      <c r="S53" s="443" t="n">
        <v>0.196</v>
      </c>
      <c r="T53" s="437" t="n">
        <v>0.168</v>
      </c>
      <c r="U53" s="437" t="n">
        <v>0.156</v>
      </c>
      <c r="V53" s="437" t="n">
        <v>0.187</v>
      </c>
      <c r="W53" s="440" t="n">
        <v>0.163</v>
      </c>
      <c r="X53" s="103" t="n">
        <v>0.198</v>
      </c>
      <c r="Y53" s="437" t="n">
        <v>0.172</v>
      </c>
      <c r="Z53" s="437" t="n">
        <v>0.186</v>
      </c>
      <c r="AA53" s="437" t="n">
        <v>0.18</v>
      </c>
      <c r="AB53" s="398" t="n">
        <v>0.221</v>
      </c>
      <c r="AC53" s="443" t="n">
        <v>0.167</v>
      </c>
      <c r="AD53" s="437" t="n">
        <v>0.188</v>
      </c>
      <c r="AE53" s="437" t="n">
        <v>0.194</v>
      </c>
      <c r="AF53" s="395" t="n">
        <v>0.324</v>
      </c>
      <c r="AG53" s="440" t="n">
        <v>0.173</v>
      </c>
      <c r="AH53" s="443" t="n">
        <v>0.2</v>
      </c>
      <c r="AI53" s="101" t="n">
        <v>0.226</v>
      </c>
      <c r="AJ53" s="437" t="n">
        <v>0.2</v>
      </c>
      <c r="AK53" s="437" t="n">
        <v>0.193</v>
      </c>
      <c r="AL53" s="440" t="n">
        <v>0.192</v>
      </c>
      <c r="AM53" s="443" t="n">
        <v>0.196</v>
      </c>
      <c r="AN53" s="101" t="n">
        <v>0.212</v>
      </c>
      <c r="AO53" s="395" t="n">
        <v>0.204</v>
      </c>
      <c r="AP53" s="101" t="n">
        <v>0.21</v>
      </c>
      <c r="AQ53" s="398" t="n">
        <v>0.208</v>
      </c>
      <c r="AR53" s="443" t="n">
        <v>0.217</v>
      </c>
      <c r="AS53" s="437" t="n">
        <v>0.164</v>
      </c>
      <c r="AT53" s="101" t="n">
        <v>0.218</v>
      </c>
      <c r="AU53" s="101" t="n">
        <v>0.208</v>
      </c>
      <c r="AV53" s="440" t="n">
        <v>0.208</v>
      </c>
      <c r="AW53" s="103" t="n">
        <v>0.212</v>
      </c>
      <c r="AX53" s="437" t="n">
        <v>0.204</v>
      </c>
      <c r="AY53" s="437" t="n">
        <v>0.197</v>
      </c>
      <c r="AZ53" s="101" t="n">
        <v>0.212</v>
      </c>
      <c r="BA53" s="440" t="n">
        <v>0.194</v>
      </c>
      <c r="BB53" s="443" t="n">
        <v>0.199</v>
      </c>
      <c r="BC53" s="101" t="n">
        <v>0.213</v>
      </c>
      <c r="BD53" s="437" t="n">
        <v>0.204</v>
      </c>
      <c r="BE53" s="437" t="n">
        <v>0.218</v>
      </c>
      <c r="BF53" s="102" t="n">
        <v>0.208</v>
      </c>
      <c r="BG53" s="443" t="n">
        <v>0.2</v>
      </c>
      <c r="BH53" s="437" t="n">
        <v>0.195</v>
      </c>
      <c r="BI53" s="437" t="n">
        <v>0.204</v>
      </c>
      <c r="BJ53" s="101" t="n">
        <v>0.216</v>
      </c>
      <c r="BK53" s="102" t="n">
        <v>0.209</v>
      </c>
      <c r="BL53" s="103" t="n">
        <v>0.212</v>
      </c>
      <c r="BM53" s="101" t="n">
        <v>0.204</v>
      </c>
      <c r="BN53" s="101" t="n">
        <v>0.204</v>
      </c>
      <c r="BO53" s="437" t="n">
        <v>0.192</v>
      </c>
      <c r="BP53" s="102" t="n">
        <v>0.213</v>
      </c>
      <c r="BQ53" s="443" t="n">
        <v>0.207</v>
      </c>
      <c r="BR53" s="437" t="n">
        <v>0.208</v>
      </c>
      <c r="BS53" s="437" t="n">
        <v>0.192</v>
      </c>
      <c r="BT53" s="440" t="n">
        <v>0.187</v>
      </c>
      <c r="BU53" s="455" t="n"/>
      <c r="BV53" s="455" t="n"/>
      <c r="BW53" s="238" t="n"/>
      <c r="BX53" s="238" t="n"/>
      <c r="BY53" s="238" t="n"/>
      <c r="BZ53" s="238" t="n"/>
      <c r="CA53" s="238" t="n"/>
      <c r="CB53" s="238" t="n"/>
      <c r="CC53" s="238" t="n"/>
      <c r="CD53" s="238" t="n"/>
      <c r="CE53" s="238" t="n"/>
      <c r="CF53" s="238" t="n"/>
      <c r="CG53" s="238" t="n"/>
      <c r="CH53" s="238" t="n"/>
      <c r="CI53" s="238" t="n"/>
      <c r="CJ53" s="238" t="n"/>
      <c r="CK53" s="238" t="n"/>
      <c r="CL53" s="238" t="n"/>
      <c r="CM53" s="238" t="n"/>
      <c r="CN53" s="238" t="n"/>
      <c r="CO53" s="238" t="n"/>
      <c r="CP53" s="238" t="n"/>
      <c r="CQ53" s="238" t="n"/>
      <c r="CR53" s="238" t="n"/>
      <c r="CS53" s="238" t="n"/>
      <c r="CT53" s="238" t="n"/>
      <c r="CU53" s="238" t="n"/>
      <c r="CV53" s="238" t="n"/>
      <c r="CW53" s="238" t="n"/>
      <c r="CX53" s="238" t="n"/>
      <c r="CY53" s="238" t="n"/>
      <c r="CZ53" s="238" t="n"/>
      <c r="DA53" s="238" t="n"/>
      <c r="DB53" s="238" t="n"/>
      <c r="DC53" s="238" t="n"/>
      <c r="DD53" s="238" t="n"/>
      <c r="DE53" s="238" t="n"/>
      <c r="DF53" s="238" t="n"/>
      <c r="DG53" s="238" t="n"/>
      <c r="DH53" s="238" t="n"/>
      <c r="DI53" s="238" t="n"/>
      <c r="DJ53" s="238" t="n"/>
      <c r="DK53" s="238" t="n"/>
      <c r="DL53" s="238" t="n"/>
      <c r="DM53" s="238" t="n"/>
      <c r="DN53" s="238" t="n"/>
      <c r="DO53" s="238" t="n"/>
      <c r="DP53" s="238" t="n"/>
      <c r="DQ53" s="238" t="n"/>
      <c r="DR53" s="238" t="n"/>
      <c r="DS53" s="238" t="n"/>
      <c r="DT53" s="238" t="n"/>
      <c r="DU53" s="238" t="n"/>
      <c r="DV53" s="238" t="n"/>
      <c r="DW53" s="238" t="n"/>
      <c r="DX53" s="238" t="n"/>
      <c r="DY53" s="238" t="n"/>
      <c r="DZ53" s="23" t="n"/>
      <c r="FQ53" s="212" t="n"/>
      <c r="FR53" s="212" t="n"/>
      <c r="FS53" s="212" t="n"/>
      <c r="FT53" s="212" t="n"/>
      <c r="FU53" s="212" t="n"/>
      <c r="FV53" s="212" t="n"/>
      <c r="FW53" s="212" t="n"/>
      <c r="FX53" s="212" t="n"/>
      <c r="FY53" s="212" t="n"/>
      <c r="FZ53" s="212" t="n"/>
    </row>
    <row r="54" ht="39.95" customFormat="1" customHeight="1" s="5">
      <c r="A54" s="456" t="n"/>
      <c r="B54" s="8" t="n"/>
      <c r="C54" s="12" t="inlineStr">
        <is>
          <t>R</t>
        </is>
      </c>
      <c r="D54" s="435" t="n">
        <v>0.15</v>
      </c>
      <c r="E54" s="438" t="n">
        <v>0.209</v>
      </c>
      <c r="F54" s="438" t="n">
        <v>0.185</v>
      </c>
      <c r="G54" s="438" t="n">
        <v>0.206</v>
      </c>
      <c r="H54" s="441" t="n">
        <v>0.202</v>
      </c>
      <c r="I54" s="402" t="n">
        <v>0.244</v>
      </c>
      <c r="J54" s="396" t="n">
        <v>0.246</v>
      </c>
      <c r="K54" s="396" t="n">
        <v>0.254</v>
      </c>
      <c r="L54" s="396" t="n">
        <v>0.244</v>
      </c>
      <c r="M54" s="399" t="n">
        <v>0.254</v>
      </c>
      <c r="N54" s="402" t="n">
        <v>0.229</v>
      </c>
      <c r="O54" s="438" t="n">
        <v>0.2</v>
      </c>
      <c r="P54" s="438" t="n">
        <v>0.168</v>
      </c>
      <c r="Q54" s="438" t="n">
        <v>0.198</v>
      </c>
      <c r="R54" s="441" t="n">
        <v>0.169</v>
      </c>
      <c r="S54" s="444" t="n">
        <v>0.175</v>
      </c>
      <c r="T54" s="438" t="n">
        <v>0.182</v>
      </c>
      <c r="U54" s="438" t="n">
        <v>0.14</v>
      </c>
      <c r="V54" s="104" t="n">
        <v>0.196</v>
      </c>
      <c r="W54" s="441" t="n">
        <v>0.159</v>
      </c>
      <c r="X54" s="106" t="n">
        <v>0.195</v>
      </c>
      <c r="Y54" s="438" t="n">
        <v>0.193</v>
      </c>
      <c r="Z54" s="438" t="n">
        <v>0.16</v>
      </c>
      <c r="AA54" s="438" t="n">
        <v>0.167</v>
      </c>
      <c r="AB54" s="105" t="n">
        <v>0.199</v>
      </c>
      <c r="AC54" s="106" t="n">
        <v>0.206</v>
      </c>
      <c r="AD54" s="438" t="n">
        <v>0.195</v>
      </c>
      <c r="AE54" s="438" t="n">
        <v>0.206</v>
      </c>
      <c r="AF54" s="396" t="n">
        <v>0.323</v>
      </c>
      <c r="AG54" s="441" t="n">
        <v>0.183</v>
      </c>
      <c r="AH54" s="444" t="n">
        <v>0.172</v>
      </c>
      <c r="AI54" s="438" t="n">
        <v>0.185</v>
      </c>
      <c r="AJ54" s="438" t="n">
        <v>0.193</v>
      </c>
      <c r="AK54" s="438" t="n">
        <v>0.196</v>
      </c>
      <c r="AL54" s="105" t="n">
        <v>0.213</v>
      </c>
      <c r="AM54" s="444" t="n">
        <v>0.184</v>
      </c>
      <c r="AN54" s="104" t="n">
        <v>0.207</v>
      </c>
      <c r="AO54" s="104" t="n">
        <v>0.21</v>
      </c>
      <c r="AP54" s="396" t="n">
        <v>0.215</v>
      </c>
      <c r="AQ54" s="399" t="n">
        <v>0.21</v>
      </c>
      <c r="AR54" s="444" t="n">
        <v>0.214</v>
      </c>
      <c r="AS54" s="438" t="n">
        <v>0.193</v>
      </c>
      <c r="AT54" s="438" t="n">
        <v>0.186</v>
      </c>
      <c r="AU54" s="438" t="n">
        <v>0.207</v>
      </c>
      <c r="AV54" s="105" t="n">
        <v>0.215</v>
      </c>
      <c r="AW54" s="444" t="n">
        <v>0.207</v>
      </c>
      <c r="AX54" s="104" t="n">
        <v>0.211</v>
      </c>
      <c r="AY54" s="438" t="n">
        <v>0.198</v>
      </c>
      <c r="AZ54" s="104" t="n">
        <v>0.217</v>
      </c>
      <c r="BA54" s="441" t="n">
        <v>0.2</v>
      </c>
      <c r="BB54" s="444" t="n">
        <v>0.199</v>
      </c>
      <c r="BC54" s="438" t="n">
        <v>0.194</v>
      </c>
      <c r="BD54" s="104" t="n">
        <v>0.217</v>
      </c>
      <c r="BE54" s="438" t="n">
        <v>0.216</v>
      </c>
      <c r="BF54" s="105" t="n">
        <v>0.207</v>
      </c>
      <c r="BG54" s="444" t="n">
        <v>0.199</v>
      </c>
      <c r="BH54" s="438" t="n">
        <v>0.21</v>
      </c>
      <c r="BI54" s="438" t="n">
        <v>0.212</v>
      </c>
      <c r="BJ54" s="104" t="n">
        <v>0.212</v>
      </c>
      <c r="BK54" s="441" t="n">
        <v>0.21</v>
      </c>
      <c r="BL54" s="106" t="n">
        <v>0.218</v>
      </c>
      <c r="BM54" s="438" t="n">
        <v>0.206</v>
      </c>
      <c r="BN54" s="104" t="n">
        <v>0.222</v>
      </c>
      <c r="BO54" s="438" t="n">
        <v>0.193</v>
      </c>
      <c r="BP54" s="441" t="n">
        <v>0.188</v>
      </c>
      <c r="BQ54" s="444" t="n">
        <v>0.197</v>
      </c>
      <c r="BR54" s="438" t="n">
        <v>0.205</v>
      </c>
      <c r="BS54" s="438" t="n">
        <v>0.158</v>
      </c>
      <c r="BT54" s="399" t="n">
        <v>0.23</v>
      </c>
      <c r="BU54" s="457" t="n"/>
      <c r="BV54" s="457" t="n"/>
      <c r="BW54" s="238" t="n"/>
      <c r="BX54" s="238" t="n"/>
      <c r="BY54" s="238" t="n"/>
      <c r="BZ54" s="238" t="n"/>
      <c r="CA54" s="238" t="n"/>
      <c r="CB54" s="238" t="n"/>
      <c r="CC54" s="238" t="n"/>
      <c r="CD54" s="238" t="n"/>
      <c r="CE54" s="238" t="n"/>
      <c r="CF54" s="238" t="n"/>
      <c r="CG54" s="238" t="n"/>
      <c r="CH54" s="238" t="n"/>
      <c r="CI54" s="238" t="n"/>
      <c r="CJ54" s="238" t="n"/>
      <c r="CK54" s="238" t="n"/>
      <c r="CL54" s="238" t="n"/>
      <c r="CM54" s="238" t="n"/>
      <c r="CN54" s="238" t="n"/>
      <c r="CO54" s="238" t="n"/>
      <c r="CP54" s="238" t="n"/>
      <c r="CQ54" s="238" t="n"/>
      <c r="CR54" s="238" t="n"/>
      <c r="CS54" s="238" t="n"/>
      <c r="CT54" s="238" t="n"/>
      <c r="CU54" s="238" t="n"/>
      <c r="CV54" s="238" t="n"/>
      <c r="CW54" s="238" t="n"/>
      <c r="CX54" s="238" t="n"/>
      <c r="CY54" s="238" t="n"/>
      <c r="CZ54" s="238" t="n"/>
      <c r="DA54" s="238" t="n"/>
      <c r="DB54" s="238" t="n"/>
      <c r="DC54" s="238" t="n"/>
      <c r="DD54" s="238" t="n"/>
      <c r="DE54" s="238" t="n"/>
      <c r="DF54" s="238" t="n"/>
      <c r="DG54" s="238" t="n"/>
      <c r="DH54" s="238" t="n"/>
      <c r="DI54" s="238" t="n"/>
      <c r="DJ54" s="238" t="n"/>
      <c r="DK54" s="238" t="n"/>
      <c r="DL54" s="238" t="n"/>
      <c r="DM54" s="238" t="n"/>
      <c r="DN54" s="238" t="n"/>
      <c r="DO54" s="238" t="n"/>
      <c r="DP54" s="238" t="n"/>
      <c r="DQ54" s="238" t="n"/>
      <c r="DR54" s="238" t="n"/>
      <c r="DS54" s="238" t="n"/>
      <c r="DT54" s="238" t="n"/>
      <c r="DU54" s="238" t="n"/>
      <c r="DV54" s="238" t="n"/>
      <c r="DW54" s="238" t="n"/>
      <c r="DX54" s="238" t="n"/>
      <c r="DY54" s="238" t="n"/>
      <c r="DZ54" s="23" t="n"/>
      <c r="FQ54" s="212" t="n"/>
      <c r="FR54" s="212" t="n"/>
      <c r="FS54" s="212" t="n"/>
      <c r="FT54" s="212" t="n"/>
      <c r="FU54" s="212" t="n"/>
      <c r="FV54" s="212" t="n"/>
      <c r="FW54" s="212" t="n"/>
      <c r="FX54" s="212" t="n"/>
      <c r="FY54" s="212" t="n"/>
      <c r="FZ54" s="212" t="n"/>
    </row>
    <row r="55" ht="39.95" customFormat="1" customHeight="1" s="5">
      <c r="A55" s="10" t="inlineStr">
        <is>
          <t>A</t>
        </is>
      </c>
      <c r="B55" s="6" t="n"/>
      <c r="C55" s="11" t="inlineStr">
        <is>
          <t>L</t>
        </is>
      </c>
      <c r="D55" s="433" t="n">
        <v>0.187</v>
      </c>
      <c r="E55" s="436" t="n">
        <v>0.202</v>
      </c>
      <c r="F55" s="394" t="n">
        <v>0.215</v>
      </c>
      <c r="G55" s="436" t="n">
        <v>0.206</v>
      </c>
      <c r="H55" s="100" t="n">
        <v>0.227</v>
      </c>
      <c r="I55" s="442" t="n">
        <v>0.224</v>
      </c>
      <c r="J55" s="436" t="n">
        <v>0.221</v>
      </c>
      <c r="K55" s="99" t="n">
        <v>0.269</v>
      </c>
      <c r="L55" s="99" t="n">
        <v>0.269</v>
      </c>
      <c r="M55" s="100" t="n">
        <v>0.267</v>
      </c>
      <c r="N55" s="442" t="n">
        <v>0.223</v>
      </c>
      <c r="O55" s="99" t="n">
        <v>0.205</v>
      </c>
      <c r="P55" s="436" t="n">
        <v>0.169</v>
      </c>
      <c r="Q55" s="99" t="n">
        <v>0.221</v>
      </c>
      <c r="R55" s="439" t="n">
        <v>0.198</v>
      </c>
      <c r="S55" s="442" t="n">
        <v>0.162</v>
      </c>
      <c r="T55" s="99" t="n">
        <v>0.201</v>
      </c>
      <c r="U55" s="436" t="n">
        <v>0.15</v>
      </c>
      <c r="V55" s="394" t="n">
        <v>0.158</v>
      </c>
      <c r="W55" s="397" t="n">
        <v>0.213</v>
      </c>
      <c r="X55" s="400" t="n">
        <v>0.221</v>
      </c>
      <c r="Y55" s="99" t="n">
        <v>0.2</v>
      </c>
      <c r="Z55" s="436" t="n">
        <v>0.195</v>
      </c>
      <c r="AA55" s="436" t="n">
        <v>0.187</v>
      </c>
      <c r="AB55" s="100" t="n">
        <v>0.216</v>
      </c>
      <c r="AC55" s="442" t="n">
        <v>0.205</v>
      </c>
      <c r="AD55" s="436" t="n">
        <v>0.182</v>
      </c>
      <c r="AE55" s="436" t="n">
        <v>0.197</v>
      </c>
      <c r="AF55" s="394" t="n">
        <v>0.314</v>
      </c>
      <c r="AG55" s="397" t="n">
        <v>0.169</v>
      </c>
      <c r="AH55" s="442" t="n">
        <v>0.128</v>
      </c>
      <c r="AI55" s="394" t="n">
        <v>0.166</v>
      </c>
      <c r="AJ55" s="99" t="n">
        <v>0.214</v>
      </c>
      <c r="AK55" s="436" t="n">
        <v>0.186</v>
      </c>
      <c r="AL55" s="439" t="n">
        <v>0.196</v>
      </c>
      <c r="AM55" s="98" t="n">
        <v>0.206</v>
      </c>
      <c r="AN55" s="394" t="n">
        <v>0.213</v>
      </c>
      <c r="AO55" s="99" t="n">
        <v>0.217</v>
      </c>
      <c r="AP55" s="436" t="n">
        <v>0.216</v>
      </c>
      <c r="AQ55" s="439" t="n">
        <v>0.208</v>
      </c>
      <c r="AR55" s="442" t="n">
        <v>0.207</v>
      </c>
      <c r="AS55" s="436" t="n">
        <v>0.163</v>
      </c>
      <c r="AT55" s="436" t="n">
        <v>0.193</v>
      </c>
      <c r="AU55" s="436" t="n">
        <v>0.19</v>
      </c>
      <c r="AV55" s="439" t="n">
        <v>0.196</v>
      </c>
      <c r="AW55" s="442" t="n">
        <v>0.21</v>
      </c>
      <c r="AX55" s="436" t="n">
        <v>0.186</v>
      </c>
      <c r="AY55" s="436" t="n">
        <v>0.195</v>
      </c>
      <c r="AZ55" s="394" t="n">
        <v>0.239</v>
      </c>
      <c r="BA55" s="397" t="n">
        <v>0.202</v>
      </c>
      <c r="BB55" s="98" t="n">
        <v>0.23</v>
      </c>
      <c r="BC55" s="99" t="n">
        <v>0.233</v>
      </c>
      <c r="BD55" s="436" t="n">
        <v>0.212</v>
      </c>
      <c r="BE55" s="436" t="n">
        <v>0.196</v>
      </c>
      <c r="BF55" s="100" t="n">
        <v>0.22</v>
      </c>
      <c r="BG55" s="442" t="n">
        <v>0.211</v>
      </c>
      <c r="BH55" s="436" t="n">
        <v>0.209</v>
      </c>
      <c r="BI55" s="394" t="n">
        <v>0.212</v>
      </c>
      <c r="BJ55" s="99" t="n">
        <v>0.235</v>
      </c>
      <c r="BK55" s="439" t="n">
        <v>0.195</v>
      </c>
      <c r="BL55" s="442" t="n">
        <v>0.198</v>
      </c>
      <c r="BM55" s="436" t="n">
        <v>0.195</v>
      </c>
      <c r="BN55" s="436" t="n">
        <v>0.188</v>
      </c>
      <c r="BO55" s="99" t="n">
        <v>0.226</v>
      </c>
      <c r="BP55" s="397" t="n">
        <v>0.21</v>
      </c>
      <c r="BQ55" s="400" t="n">
        <v>0.178</v>
      </c>
      <c r="BR55" s="394" t="n">
        <v>0.235</v>
      </c>
      <c r="BS55" s="99" t="n">
        <v>0.236</v>
      </c>
      <c r="BT55" s="397" t="n">
        <v>0.229</v>
      </c>
      <c r="BU55" s="454">
        <f>IFERROR(AVERAGE(D55:BT57),0)</f>
        <v/>
      </c>
      <c r="BV55" s="454">
        <f>MIN(D55:BT57)</f>
        <v/>
      </c>
      <c r="BW55" s="238" t="n"/>
      <c r="BX55" s="238" t="n"/>
      <c r="BY55" s="238" t="n"/>
      <c r="BZ55" s="238" t="n"/>
      <c r="CA55" s="238" t="n"/>
      <c r="CB55" s="238" t="n"/>
      <c r="CC55" s="238" t="n"/>
      <c r="CD55" s="238" t="n"/>
      <c r="CE55" s="238" t="n"/>
      <c r="CF55" s="238" t="n"/>
      <c r="CG55" s="238" t="n"/>
      <c r="CH55" s="238" t="n"/>
      <c r="CI55" s="238" t="n"/>
      <c r="CJ55" s="238" t="n"/>
      <c r="CK55" s="238" t="n"/>
      <c r="CL55" s="238" t="n"/>
      <c r="CM55" s="238" t="n"/>
      <c r="CN55" s="238" t="n"/>
      <c r="CO55" s="238" t="n"/>
      <c r="CP55" s="238" t="n"/>
      <c r="CQ55" s="238" t="n"/>
      <c r="CR55" s="238" t="n"/>
      <c r="CS55" s="238" t="n"/>
      <c r="CT55" s="238" t="n"/>
      <c r="CU55" s="238" t="n"/>
      <c r="CV55" s="238" t="n"/>
      <c r="CW55" s="238" t="n"/>
      <c r="CX55" s="238" t="n"/>
      <c r="CY55" s="238" t="n"/>
      <c r="CZ55" s="238" t="n"/>
      <c r="DA55" s="238" t="n"/>
      <c r="DB55" s="238" t="n"/>
      <c r="DC55" s="238" t="n"/>
      <c r="DD55" s="238" t="n"/>
      <c r="DE55" s="238" t="n"/>
      <c r="DF55" s="238" t="n"/>
      <c r="DG55" s="238" t="n"/>
      <c r="DH55" s="238" t="n"/>
      <c r="DI55" s="238" t="n"/>
      <c r="DJ55" s="238" t="n"/>
      <c r="DK55" s="238" t="n"/>
      <c r="DL55" s="238" t="n"/>
      <c r="DM55" s="238" t="n"/>
      <c r="DN55" s="238" t="n"/>
      <c r="DO55" s="238" t="n"/>
      <c r="DP55" s="238" t="n"/>
      <c r="DQ55" s="238" t="n"/>
      <c r="DR55" s="238" t="n"/>
      <c r="DS55" s="238" t="n"/>
      <c r="DT55" s="238" t="n"/>
      <c r="DU55" s="238" t="n"/>
      <c r="DV55" s="238" t="n"/>
      <c r="DW55" s="238" t="n"/>
      <c r="DX55" s="238" t="n"/>
      <c r="DY55" s="238" t="n"/>
      <c r="DZ55" s="23" t="n"/>
      <c r="FQ55" s="212" t="n"/>
      <c r="FR55" s="212" t="n"/>
      <c r="FS55" s="212" t="n"/>
      <c r="FT55" s="212" t="n"/>
      <c r="FU55" s="212" t="n"/>
      <c r="FV55" s="212" t="n"/>
      <c r="FW55" s="212" t="n"/>
      <c r="FX55" s="212" t="n"/>
      <c r="FY55" s="212" t="n"/>
      <c r="FZ55" s="212" t="n"/>
    </row>
    <row r="56" ht="39.95" customFormat="1" customHeight="1" s="5">
      <c r="A56" s="182" t="n">
        <v>0.083</v>
      </c>
      <c r="B56" s="7" t="inlineStr">
        <is>
          <t>+3 FT</t>
        </is>
      </c>
      <c r="C56" s="11" t="inlineStr">
        <is>
          <t>C</t>
        </is>
      </c>
      <c r="D56" s="392" t="n">
        <v>0.195</v>
      </c>
      <c r="E56" s="437" t="n">
        <v>0.197</v>
      </c>
      <c r="F56" s="101" t="n">
        <v>0.22</v>
      </c>
      <c r="G56" s="437" t="n">
        <v>0.205</v>
      </c>
      <c r="H56" s="102" t="n">
        <v>0.229</v>
      </c>
      <c r="I56" s="443" t="n">
        <v>0.247</v>
      </c>
      <c r="J56" s="437" t="n">
        <v>0.249</v>
      </c>
      <c r="K56" s="101" t="n">
        <v>0.266</v>
      </c>
      <c r="L56" s="101" t="n">
        <v>0.261</v>
      </c>
      <c r="M56" s="440" t="n">
        <v>0.253</v>
      </c>
      <c r="N56" s="443" t="n">
        <v>0.254</v>
      </c>
      <c r="O56" s="101" t="n">
        <v>0.215</v>
      </c>
      <c r="P56" s="101" t="n">
        <v>0.236</v>
      </c>
      <c r="Q56" s="395" t="n">
        <v>0.242</v>
      </c>
      <c r="R56" s="440" t="n">
        <v>0.166</v>
      </c>
      <c r="S56" s="443" t="n">
        <v>0.181</v>
      </c>
      <c r="T56" s="437" t="n">
        <v>0.179</v>
      </c>
      <c r="U56" s="437" t="n">
        <v>0.199</v>
      </c>
      <c r="V56" s="101" t="n">
        <v>0.218</v>
      </c>
      <c r="W56" s="398" t="n">
        <v>0.23</v>
      </c>
      <c r="X56" s="103" t="n">
        <v>0.214</v>
      </c>
      <c r="Y56" s="395" t="n">
        <v>0.155</v>
      </c>
      <c r="Z56" s="437" t="n">
        <v>0.176</v>
      </c>
      <c r="AA56" s="101" t="n">
        <v>0.195</v>
      </c>
      <c r="AB56" s="440" t="n">
        <v>0.155</v>
      </c>
      <c r="AC56" s="443" t="n">
        <v>0.175</v>
      </c>
      <c r="AD56" s="101" t="n">
        <v>0.208</v>
      </c>
      <c r="AE56" s="395" t="n">
        <v>0.206</v>
      </c>
      <c r="AF56" s="395" t="n">
        <v>0.328</v>
      </c>
      <c r="AG56" s="440" t="n">
        <v>0.213</v>
      </c>
      <c r="AH56" s="443" t="n">
        <v>0.202</v>
      </c>
      <c r="AI56" s="437" t="n">
        <v>0.151</v>
      </c>
      <c r="AJ56" s="101" t="n">
        <v>0.212</v>
      </c>
      <c r="AK56" s="437" t="n">
        <v>0.211</v>
      </c>
      <c r="AL56" s="102" t="n">
        <v>0.208</v>
      </c>
      <c r="AM56" s="443" t="n">
        <v>0.203</v>
      </c>
      <c r="AN56" s="395" t="n">
        <v>0.212</v>
      </c>
      <c r="AO56" s="437" t="n">
        <v>0.196</v>
      </c>
      <c r="AP56" s="101" t="n">
        <v>0.22</v>
      </c>
      <c r="AQ56" s="102" t="n">
        <v>0.224</v>
      </c>
      <c r="AR56" s="443" t="n">
        <v>0.195</v>
      </c>
      <c r="AS56" s="395" t="n">
        <v>0.183</v>
      </c>
      <c r="AT56" s="437" t="n">
        <v>0.198</v>
      </c>
      <c r="AU56" s="437" t="n">
        <v>0.201</v>
      </c>
      <c r="AV56" s="440" t="n">
        <v>0.201</v>
      </c>
      <c r="AW56" s="443" t="n">
        <v>0.186</v>
      </c>
      <c r="AX56" s="437" t="n">
        <v>0.197</v>
      </c>
      <c r="AY56" s="437" t="n">
        <v>0.193</v>
      </c>
      <c r="AZ56" s="437" t="n">
        <v>0.213</v>
      </c>
      <c r="BA56" s="102" t="n">
        <v>0.22</v>
      </c>
      <c r="BB56" s="443" t="n">
        <v>0.19</v>
      </c>
      <c r="BC56" s="437" t="n">
        <v>0.17</v>
      </c>
      <c r="BD56" s="437" t="n">
        <v>0.182</v>
      </c>
      <c r="BE56" s="437" t="n">
        <v>0.199</v>
      </c>
      <c r="BF56" s="440" t="n">
        <v>0.202</v>
      </c>
      <c r="BG56" s="443" t="n">
        <v>0.206</v>
      </c>
      <c r="BH56" s="437" t="n">
        <v>0.194</v>
      </c>
      <c r="BI56" s="437" t="n">
        <v>0.199</v>
      </c>
      <c r="BJ56" s="101" t="n">
        <v>0.232</v>
      </c>
      <c r="BK56" s="440" t="n">
        <v>0.205</v>
      </c>
      <c r="BL56" s="103" t="n">
        <v>0.23</v>
      </c>
      <c r="BM56" s="395" t="n">
        <v>0.22</v>
      </c>
      <c r="BN56" s="437" t="n">
        <v>0.208</v>
      </c>
      <c r="BO56" s="437" t="n">
        <v>0.183</v>
      </c>
      <c r="BP56" s="440" t="n">
        <v>0.208</v>
      </c>
      <c r="BQ56" s="103" t="n">
        <v>0.229</v>
      </c>
      <c r="BR56" s="437" t="n">
        <v>0.202</v>
      </c>
      <c r="BS56" s="437" t="n">
        <v>0.192</v>
      </c>
      <c r="BT56" s="440" t="n">
        <v>0.194</v>
      </c>
      <c r="BU56" s="455" t="n"/>
      <c r="BV56" s="455" t="n"/>
      <c r="BW56" s="238" t="n"/>
      <c r="BX56" s="238" t="n"/>
      <c r="BY56" s="238" t="n"/>
      <c r="BZ56" s="238" t="n"/>
      <c r="CA56" s="238" t="n"/>
      <c r="CB56" s="238" t="n"/>
      <c r="CC56" s="238" t="n"/>
      <c r="CD56" s="238" t="n"/>
      <c r="CE56" s="238" t="n"/>
      <c r="CF56" s="238" t="n"/>
      <c r="CG56" s="238" t="n"/>
      <c r="CH56" s="238" t="n"/>
      <c r="CI56" s="238" t="n"/>
      <c r="CJ56" s="238" t="n"/>
      <c r="CK56" s="238" t="n"/>
      <c r="CL56" s="238" t="n"/>
      <c r="CM56" s="238" t="n"/>
      <c r="CN56" s="238" t="n"/>
      <c r="CO56" s="238" t="n"/>
      <c r="CP56" s="238" t="n"/>
      <c r="CQ56" s="238" t="n"/>
      <c r="CR56" s="238" t="n"/>
      <c r="CS56" s="238" t="n"/>
      <c r="CT56" s="238" t="n"/>
      <c r="CU56" s="238" t="n"/>
      <c r="CV56" s="238" t="n"/>
      <c r="CW56" s="238" t="n"/>
      <c r="CX56" s="238" t="n"/>
      <c r="CY56" s="238" t="n"/>
      <c r="CZ56" s="238" t="n"/>
      <c r="DA56" s="238" t="n"/>
      <c r="DB56" s="238" t="n"/>
      <c r="DC56" s="238" t="n"/>
      <c r="DD56" s="238" t="n"/>
      <c r="DE56" s="238" t="n"/>
      <c r="DF56" s="238" t="n"/>
      <c r="DG56" s="238" t="n"/>
      <c r="DH56" s="238" t="n"/>
      <c r="DI56" s="238" t="n"/>
      <c r="DJ56" s="238" t="n"/>
      <c r="DK56" s="238" t="n"/>
      <c r="DL56" s="238" t="n"/>
      <c r="DM56" s="238" t="n"/>
      <c r="DN56" s="238" t="n"/>
      <c r="DO56" s="238" t="n"/>
      <c r="DP56" s="238" t="n"/>
      <c r="DQ56" s="238" t="n"/>
      <c r="DR56" s="238" t="n"/>
      <c r="DS56" s="238" t="n"/>
      <c r="DT56" s="238" t="n"/>
      <c r="DU56" s="238" t="n"/>
      <c r="DV56" s="238" t="n"/>
      <c r="DW56" s="238" t="n"/>
      <c r="DX56" s="238" t="n"/>
      <c r="DY56" s="238" t="n"/>
      <c r="DZ56" s="23" t="n"/>
      <c r="FQ56" s="212" t="n"/>
      <c r="FR56" s="212" t="n"/>
      <c r="FS56" s="212" t="n"/>
      <c r="FT56" s="212" t="n"/>
      <c r="FU56" s="212" t="n"/>
      <c r="FV56" s="212" t="n"/>
      <c r="FW56" s="212" t="n"/>
      <c r="FX56" s="212" t="n"/>
      <c r="FY56" s="212" t="n"/>
      <c r="FZ56" s="212" t="n"/>
    </row>
    <row r="57" ht="39.95" customFormat="1" customHeight="1" s="5">
      <c r="A57" s="456" t="n"/>
      <c r="B57" s="8" t="n"/>
      <c r="C57" s="12" t="inlineStr">
        <is>
          <t>R</t>
        </is>
      </c>
      <c r="D57" s="435" t="n">
        <v>0.177</v>
      </c>
      <c r="E57" s="438" t="n">
        <v>0.2</v>
      </c>
      <c r="F57" s="438" t="n">
        <v>0.219</v>
      </c>
      <c r="G57" s="438" t="n">
        <v>0.194</v>
      </c>
      <c r="H57" s="441" t="n">
        <v>0.207</v>
      </c>
      <c r="I57" s="444" t="n">
        <v>0.244</v>
      </c>
      <c r="J57" s="396" t="n">
        <v>0.273</v>
      </c>
      <c r="K57" s="104" t="n">
        <v>0.269</v>
      </c>
      <c r="L57" s="396" t="n">
        <v>0.263</v>
      </c>
      <c r="M57" s="105" t="n">
        <v>0.267</v>
      </c>
      <c r="N57" s="444" t="n">
        <v>0.245</v>
      </c>
      <c r="O57" s="438" t="n">
        <v>0.204</v>
      </c>
      <c r="P57" s="104" t="n">
        <v>0.213</v>
      </c>
      <c r="Q57" s="438" t="n">
        <v>0.196</v>
      </c>
      <c r="R57" s="441" t="n">
        <v>0.157</v>
      </c>
      <c r="S57" s="106" t="n">
        <v>0.217</v>
      </c>
      <c r="T57" s="104" t="n">
        <v>0.313</v>
      </c>
      <c r="U57" s="438" t="n">
        <v>0.166</v>
      </c>
      <c r="V57" s="396" t="n">
        <v>0.176</v>
      </c>
      <c r="W57" s="399" t="n">
        <v>0.219</v>
      </c>
      <c r="X57" s="402" t="n">
        <v>0.233</v>
      </c>
      <c r="Y57" s="396" t="n">
        <v>0.205</v>
      </c>
      <c r="Z57" s="438" t="n">
        <v>0.162</v>
      </c>
      <c r="AA57" s="438" t="n">
        <v>0.183</v>
      </c>
      <c r="AB57" s="441" t="n">
        <v>0.158</v>
      </c>
      <c r="AC57" s="106" t="n">
        <v>0.204</v>
      </c>
      <c r="AD57" s="104" t="n">
        <v>0.197</v>
      </c>
      <c r="AE57" s="396" t="n">
        <v>0.212</v>
      </c>
      <c r="AF57" s="396" t="n">
        <v>0.34</v>
      </c>
      <c r="AG57" s="399" t="n">
        <v>0.195</v>
      </c>
      <c r="AH57" s="444" t="n">
        <v>0.14</v>
      </c>
      <c r="AI57" s="396" t="n">
        <v>0.227</v>
      </c>
      <c r="AJ57" s="438" t="n">
        <v>0.186</v>
      </c>
      <c r="AK57" s="438" t="n">
        <v>0.181</v>
      </c>
      <c r="AL57" s="441" t="n">
        <v>0.206</v>
      </c>
      <c r="AM57" s="402" t="n">
        <v>0.215</v>
      </c>
      <c r="AN57" s="104" t="n">
        <v>0.219</v>
      </c>
      <c r="AO57" s="104" t="n">
        <v>0.217</v>
      </c>
      <c r="AP57" s="438" t="n">
        <v>0.212</v>
      </c>
      <c r="AQ57" s="105" t="n">
        <v>0.22</v>
      </c>
      <c r="AR57" s="444" t="n">
        <v>0.213</v>
      </c>
      <c r="AS57" s="438" t="n">
        <v>0.194</v>
      </c>
      <c r="AT57" s="438" t="n">
        <v>0.197</v>
      </c>
      <c r="AU57" s="438" t="n">
        <v>0.197</v>
      </c>
      <c r="AV57" s="441" t="n">
        <v>0.211</v>
      </c>
      <c r="AW57" s="444" t="n">
        <v>0.19</v>
      </c>
      <c r="AX57" s="438" t="n">
        <v>0.208</v>
      </c>
      <c r="AY57" s="104" t="n">
        <v>0.221</v>
      </c>
      <c r="AZ57" s="438" t="n">
        <v>0.19</v>
      </c>
      <c r="BA57" s="105" t="n">
        <v>0.221</v>
      </c>
      <c r="BB57" s="106" t="n">
        <v>0.216</v>
      </c>
      <c r="BC57" s="104" t="n">
        <v>0.218</v>
      </c>
      <c r="BD57" s="396" t="n">
        <v>0.218</v>
      </c>
      <c r="BE57" s="438" t="n">
        <v>0.197</v>
      </c>
      <c r="BF57" s="399" t="n">
        <v>0.195</v>
      </c>
      <c r="BG57" s="106" t="n">
        <v>0.213</v>
      </c>
      <c r="BH57" s="104" t="n">
        <v>0.224</v>
      </c>
      <c r="BI57" s="438" t="n">
        <v>0.205</v>
      </c>
      <c r="BJ57" s="438" t="n">
        <v>0.204</v>
      </c>
      <c r="BK57" s="399" t="n">
        <v>0.198</v>
      </c>
      <c r="BL57" s="106" t="n">
        <v>0.212</v>
      </c>
      <c r="BM57" s="104" t="n">
        <v>0.223</v>
      </c>
      <c r="BN57" s="104" t="n">
        <v>0.22</v>
      </c>
      <c r="BO57" s="104" t="n">
        <v>0.221</v>
      </c>
      <c r="BP57" s="399" t="n">
        <v>0.174</v>
      </c>
      <c r="BQ57" s="106" t="n">
        <v>0.229</v>
      </c>
      <c r="BR57" s="104" t="n">
        <v>0.216</v>
      </c>
      <c r="BS57" s="438" t="n">
        <v>0.203</v>
      </c>
      <c r="BT57" s="441" t="n">
        <v>0.209</v>
      </c>
      <c r="BU57" s="457" t="n"/>
      <c r="BV57" s="457" t="n"/>
      <c r="BW57" s="238" t="n"/>
      <c r="BX57" s="238" t="n"/>
      <c r="BY57" s="238" t="n"/>
      <c r="BZ57" s="238" t="n"/>
      <c r="CA57" s="238" t="n"/>
      <c r="CB57" s="238" t="n"/>
      <c r="CC57" s="238" t="n"/>
      <c r="CD57" s="238" t="n"/>
      <c r="CE57" s="238" t="n"/>
      <c r="CF57" s="238" t="n"/>
      <c r="CG57" s="238" t="n"/>
      <c r="CH57" s="238" t="n"/>
      <c r="CI57" s="238" t="n"/>
      <c r="CJ57" s="238" t="n"/>
      <c r="CK57" s="238" t="n"/>
      <c r="CL57" s="238" t="n"/>
      <c r="CM57" s="238" t="n"/>
      <c r="CN57" s="238" t="n"/>
      <c r="CO57" s="238" t="n"/>
      <c r="CP57" s="238" t="n"/>
      <c r="CQ57" s="238" t="n"/>
      <c r="CR57" s="238" t="n"/>
      <c r="CS57" s="238" t="n"/>
      <c r="CT57" s="238" t="n"/>
      <c r="CU57" s="238" t="n"/>
      <c r="CV57" s="238" t="n"/>
      <c r="CW57" s="238" t="n"/>
      <c r="CX57" s="238" t="n"/>
      <c r="CY57" s="238" t="n"/>
      <c r="CZ57" s="238" t="n"/>
      <c r="DA57" s="238" t="n"/>
      <c r="DB57" s="238" t="n"/>
      <c r="DC57" s="238" t="n"/>
      <c r="DD57" s="238" t="n"/>
      <c r="DE57" s="238" t="n"/>
      <c r="DF57" s="238" t="n"/>
      <c r="DG57" s="238" t="n"/>
      <c r="DH57" s="238" t="n"/>
      <c r="DI57" s="238" t="n"/>
      <c r="DJ57" s="238" t="n"/>
      <c r="DK57" s="238" t="n"/>
      <c r="DL57" s="238" t="n"/>
      <c r="DM57" s="238" t="n"/>
      <c r="DN57" s="238" t="n"/>
      <c r="DO57" s="238" t="n"/>
      <c r="DP57" s="238" t="n"/>
      <c r="DQ57" s="238" t="n"/>
      <c r="DR57" s="238" t="n"/>
      <c r="DS57" s="238" t="n"/>
      <c r="DT57" s="238" t="n"/>
      <c r="DU57" s="238" t="n"/>
      <c r="DV57" s="238" t="n"/>
      <c r="DW57" s="238" t="n"/>
      <c r="DX57" s="238" t="n"/>
      <c r="DY57" s="238" t="n"/>
      <c r="DZ57" s="23" t="n"/>
      <c r="FQ57" s="212" t="n"/>
      <c r="FR57" s="212" t="n"/>
      <c r="FS57" s="212" t="n"/>
      <c r="FT57" s="212" t="n"/>
      <c r="FU57" s="212" t="n"/>
      <c r="FV57" s="212" t="n"/>
      <c r="FW57" s="212" t="n"/>
      <c r="FX57" s="212" t="n"/>
      <c r="FY57" s="212" t="n"/>
      <c r="FZ57" s="212" t="n"/>
    </row>
    <row r="58" ht="39.95" customFormat="1" customHeight="1" s="5">
      <c r="A58" s="10" t="inlineStr">
        <is>
          <t>A</t>
        </is>
      </c>
      <c r="B58" s="6" t="n"/>
      <c r="C58" s="11" t="inlineStr">
        <is>
          <t>L</t>
        </is>
      </c>
      <c r="D58" s="433" t="n">
        <v>0.08799999999999999</v>
      </c>
      <c r="E58" s="436" t="n">
        <v>0.187</v>
      </c>
      <c r="F58" s="436" t="n">
        <v>0.209</v>
      </c>
      <c r="G58" s="436" t="n">
        <v>0.159</v>
      </c>
      <c r="H58" s="439" t="n">
        <v>0.204</v>
      </c>
      <c r="I58" s="442" t="n">
        <v>0.244</v>
      </c>
      <c r="J58" s="436" t="n">
        <v>0.243</v>
      </c>
      <c r="K58" s="436" t="n">
        <v>0.252</v>
      </c>
      <c r="L58" s="394" t="n">
        <v>0.225</v>
      </c>
      <c r="M58" s="439" t="n">
        <v>0.263</v>
      </c>
      <c r="N58" s="442" t="n">
        <v>0.24</v>
      </c>
      <c r="O58" s="436" t="n">
        <v>0.213</v>
      </c>
      <c r="P58" s="436" t="n">
        <v>0.204</v>
      </c>
      <c r="Q58" s="394" t="n">
        <v>0.218</v>
      </c>
      <c r="R58" s="397" t="n">
        <v>0.2</v>
      </c>
      <c r="S58" s="442" t="n">
        <v>0.197</v>
      </c>
      <c r="T58" s="436" t="n">
        <v>0.162</v>
      </c>
      <c r="U58" s="436" t="n">
        <v>0.188</v>
      </c>
      <c r="V58" s="436" t="n">
        <v>0.184</v>
      </c>
      <c r="W58" s="439" t="n">
        <v>0.189</v>
      </c>
      <c r="X58" s="98" t="n">
        <v>0.221</v>
      </c>
      <c r="Y58" s="436" t="n">
        <v>0.205</v>
      </c>
      <c r="Z58" s="436" t="n">
        <v>0.199</v>
      </c>
      <c r="AA58" s="436" t="n">
        <v>0.206</v>
      </c>
      <c r="AB58" s="397" t="n">
        <v>0.164</v>
      </c>
      <c r="AC58" s="98" t="n">
        <v>0.215</v>
      </c>
      <c r="AD58" s="99" t="n">
        <v>0.213</v>
      </c>
      <c r="AE58" s="436" t="n">
        <v>0.211</v>
      </c>
      <c r="AF58" s="436" t="n">
        <v>0.17</v>
      </c>
      <c r="AG58" s="439" t="n">
        <v>0.201</v>
      </c>
      <c r="AH58" s="442" t="n">
        <v>0.182</v>
      </c>
      <c r="AI58" s="436" t="n">
        <v>0.17</v>
      </c>
      <c r="AJ58" s="436" t="n">
        <v>0.205</v>
      </c>
      <c r="AK58" s="436" t="n">
        <v>0.203</v>
      </c>
      <c r="AL58" s="439" t="n">
        <v>0.191</v>
      </c>
      <c r="AM58" s="98" t="n">
        <v>0.236</v>
      </c>
      <c r="AN58" s="436" t="n">
        <v>0.176</v>
      </c>
      <c r="AO58" s="436" t="n">
        <v>0.179</v>
      </c>
      <c r="AP58" s="436" t="n">
        <v>0.18</v>
      </c>
      <c r="AQ58" s="439" t="n">
        <v>0.193</v>
      </c>
      <c r="AR58" s="442" t="n">
        <v>0.194</v>
      </c>
      <c r="AS58" s="436" t="n">
        <v>0.204</v>
      </c>
      <c r="AT58" s="436" t="n">
        <v>0.192</v>
      </c>
      <c r="AU58" s="436" t="n">
        <v>0.188</v>
      </c>
      <c r="AV58" s="439" t="n">
        <v>0.187</v>
      </c>
      <c r="AW58" s="442" t="n">
        <v>0.19</v>
      </c>
      <c r="AX58" s="436" t="n">
        <v>0.189</v>
      </c>
      <c r="AY58" s="436" t="n">
        <v>0.182</v>
      </c>
      <c r="AZ58" s="436" t="n">
        <v>0.195</v>
      </c>
      <c r="BA58" s="439" t="n">
        <v>0.198</v>
      </c>
      <c r="BB58" s="98" t="n">
        <v>0.222</v>
      </c>
      <c r="BC58" s="436" t="n">
        <v>0.195</v>
      </c>
      <c r="BD58" s="436" t="n">
        <v>0.192</v>
      </c>
      <c r="BE58" s="99" t="n">
        <v>0.214</v>
      </c>
      <c r="BF58" s="439" t="n">
        <v>0.212</v>
      </c>
      <c r="BG58" s="442" t="n">
        <v>0.209</v>
      </c>
      <c r="BH58" s="436" t="n">
        <v>0.196</v>
      </c>
      <c r="BI58" s="436" t="n">
        <v>0.197</v>
      </c>
      <c r="BJ58" s="436" t="n">
        <v>0.208</v>
      </c>
      <c r="BK58" s="439" t="n">
        <v>0.189</v>
      </c>
      <c r="BL58" s="442" t="n">
        <v>0.197</v>
      </c>
      <c r="BM58" s="394" t="n">
        <v>0.236</v>
      </c>
      <c r="BN58" s="394" t="n">
        <v>0.237</v>
      </c>
      <c r="BO58" s="394" t="n">
        <v>0.252</v>
      </c>
      <c r="BP58" s="100" t="n">
        <v>0.213</v>
      </c>
      <c r="BQ58" s="442" t="n">
        <v>0.201</v>
      </c>
      <c r="BR58" s="394" t="n">
        <v>0.234</v>
      </c>
      <c r="BS58" s="99" t="n">
        <v>0.235</v>
      </c>
      <c r="BT58" s="439" t="n">
        <v>0.198</v>
      </c>
      <c r="BU58" s="454">
        <f>IFERROR(AVERAGE(D58:BT60),0)</f>
        <v/>
      </c>
      <c r="BV58" s="454">
        <f>MIN(D58:BT60)</f>
        <v/>
      </c>
      <c r="BW58" s="238" t="n"/>
      <c r="BX58" s="238" t="n"/>
      <c r="BY58" s="238" t="n"/>
      <c r="BZ58" s="238" t="n"/>
      <c r="CA58" s="238" t="n"/>
      <c r="CB58" s="238" t="n"/>
      <c r="CC58" s="238" t="n"/>
      <c r="CD58" s="238" t="n"/>
      <c r="CE58" s="238" t="n"/>
      <c r="CF58" s="238" t="n"/>
      <c r="CG58" s="238" t="n"/>
      <c r="CH58" s="238" t="n"/>
      <c r="CI58" s="238" t="n"/>
      <c r="CJ58" s="238" t="n"/>
      <c r="CK58" s="238" t="n"/>
      <c r="CL58" s="238" t="n"/>
      <c r="CM58" s="238" t="n"/>
      <c r="CN58" s="238" t="n"/>
      <c r="CO58" s="238" t="n"/>
      <c r="CP58" s="238" t="n"/>
      <c r="CQ58" s="238" t="n"/>
      <c r="CR58" s="238" t="n"/>
      <c r="CS58" s="238" t="n"/>
      <c r="CT58" s="238" t="n"/>
      <c r="CU58" s="238" t="n"/>
      <c r="CV58" s="238" t="n"/>
      <c r="CW58" s="238" t="n"/>
      <c r="CX58" s="238" t="n"/>
      <c r="CY58" s="238" t="n"/>
      <c r="CZ58" s="238" t="n"/>
      <c r="DA58" s="238" t="n"/>
      <c r="DB58" s="238" t="n"/>
      <c r="DC58" s="238" t="n"/>
      <c r="DD58" s="238" t="n"/>
      <c r="DE58" s="238" t="n"/>
      <c r="DF58" s="238" t="n"/>
      <c r="DG58" s="238" t="n"/>
      <c r="DH58" s="238" t="n"/>
      <c r="DI58" s="238" t="n"/>
      <c r="DJ58" s="238" t="n"/>
      <c r="DK58" s="238" t="n"/>
      <c r="DL58" s="238" t="n"/>
      <c r="DM58" s="238" t="n"/>
      <c r="DN58" s="238" t="n"/>
      <c r="DO58" s="238" t="n"/>
      <c r="DP58" s="238" t="n"/>
      <c r="DQ58" s="238" t="n"/>
      <c r="DR58" s="238" t="n"/>
      <c r="DS58" s="238" t="n"/>
      <c r="DT58" s="238" t="n"/>
      <c r="DU58" s="238" t="n"/>
      <c r="DV58" s="238" t="n"/>
      <c r="DW58" s="238" t="n"/>
      <c r="DX58" s="238" t="n"/>
      <c r="DY58" s="238" t="n"/>
      <c r="DZ58" s="23" t="n"/>
      <c r="FQ58" s="212" t="n"/>
      <c r="FR58" s="212" t="n"/>
      <c r="FS58" s="212" t="n"/>
      <c r="FT58" s="212" t="n"/>
      <c r="FU58" s="212" t="n"/>
      <c r="FV58" s="212" t="n"/>
      <c r="FW58" s="212" t="n"/>
      <c r="FX58" s="212" t="n"/>
      <c r="FY58" s="212" t="n"/>
      <c r="FZ58" s="212" t="n"/>
    </row>
    <row r="59" ht="39.95" customFormat="1" customHeight="1" s="5">
      <c r="A59" s="182" t="n">
        <v>0.083</v>
      </c>
      <c r="B59" s="7" t="inlineStr">
        <is>
          <t>+1 FT 6 IN</t>
        </is>
      </c>
      <c r="C59" s="11" t="inlineStr">
        <is>
          <t>C</t>
        </is>
      </c>
      <c r="D59" s="434" t="n">
        <v>0.119</v>
      </c>
      <c r="E59" s="437" t="n">
        <v>0.178</v>
      </c>
      <c r="F59" s="437" t="n">
        <v>0.199</v>
      </c>
      <c r="G59" s="437" t="n">
        <v>0.204</v>
      </c>
      <c r="H59" s="102" t="n">
        <v>0.223</v>
      </c>
      <c r="I59" s="401" t="n">
        <v>0.281</v>
      </c>
      <c r="J59" s="437" t="n">
        <v>0.231</v>
      </c>
      <c r="K59" s="437" t="n">
        <v>0.252</v>
      </c>
      <c r="L59" s="101" t="n">
        <v>0.278</v>
      </c>
      <c r="M59" s="440" t="n">
        <v>0.241</v>
      </c>
      <c r="N59" s="401" t="n">
        <v>0.292</v>
      </c>
      <c r="O59" s="437" t="n">
        <v>0.214</v>
      </c>
      <c r="P59" s="437" t="n">
        <v>0.217</v>
      </c>
      <c r="Q59" s="395" t="n">
        <v>0.229</v>
      </c>
      <c r="R59" s="440" t="n">
        <v>0.199</v>
      </c>
      <c r="S59" s="443" t="n">
        <v>0.191</v>
      </c>
      <c r="T59" s="437" t="n">
        <v>0.191</v>
      </c>
      <c r="U59" s="437" t="n">
        <v>0.189</v>
      </c>
      <c r="V59" s="437" t="n">
        <v>0.198</v>
      </c>
      <c r="W59" s="440" t="n">
        <v>0.188</v>
      </c>
      <c r="X59" s="443" t="n">
        <v>0.204</v>
      </c>
      <c r="Y59" s="101" t="n">
        <v>0.221</v>
      </c>
      <c r="Z59" s="437" t="n">
        <v>0.173</v>
      </c>
      <c r="AA59" s="437" t="n">
        <v>0.212</v>
      </c>
      <c r="AB59" s="398" t="n">
        <v>0.23</v>
      </c>
      <c r="AC59" s="103" t="n">
        <v>0.209</v>
      </c>
      <c r="AD59" s="101" t="n">
        <v>0.211</v>
      </c>
      <c r="AE59" s="437" t="n">
        <v>0.205</v>
      </c>
      <c r="AF59" s="437" t="n">
        <v>0.153</v>
      </c>
      <c r="AG59" s="102" t="n">
        <v>0.207</v>
      </c>
      <c r="AH59" s="443" t="n">
        <v>0.203</v>
      </c>
      <c r="AI59" s="437" t="n">
        <v>0.19</v>
      </c>
      <c r="AJ59" s="437" t="n">
        <v>0.193</v>
      </c>
      <c r="AK59" s="437" t="n">
        <v>0.172</v>
      </c>
      <c r="AL59" s="440" t="n">
        <v>0.19</v>
      </c>
      <c r="AM59" s="443" t="n">
        <v>0.172</v>
      </c>
      <c r="AN59" s="437" t="n">
        <v>0.201</v>
      </c>
      <c r="AO59" s="101" t="n">
        <v>0.211</v>
      </c>
      <c r="AP59" s="437" t="n">
        <v>0.194</v>
      </c>
      <c r="AQ59" s="440" t="n">
        <v>0.179</v>
      </c>
      <c r="AR59" s="443" t="n">
        <v>0.164</v>
      </c>
      <c r="AS59" s="437" t="n">
        <v>0.187</v>
      </c>
      <c r="AT59" s="437" t="n">
        <v>0.177</v>
      </c>
      <c r="AU59" s="437" t="n">
        <v>0.177</v>
      </c>
      <c r="AV59" s="440" t="n">
        <v>0.173</v>
      </c>
      <c r="AW59" s="443" t="n">
        <v>0.176</v>
      </c>
      <c r="AX59" s="437" t="n">
        <v>0.176</v>
      </c>
      <c r="AY59" s="437" t="n">
        <v>0.202</v>
      </c>
      <c r="AZ59" s="437" t="n">
        <v>0.189</v>
      </c>
      <c r="BA59" s="398" t="n">
        <v>0.208</v>
      </c>
      <c r="BB59" s="443" t="n">
        <v>0.182</v>
      </c>
      <c r="BC59" s="437" t="n">
        <v>0.195</v>
      </c>
      <c r="BD59" s="437" t="n">
        <v>0.2</v>
      </c>
      <c r="BE59" s="101" t="n">
        <v>0.215</v>
      </c>
      <c r="BF59" s="440" t="n">
        <v>0.202</v>
      </c>
      <c r="BG59" s="443" t="n">
        <v>0.21</v>
      </c>
      <c r="BH59" s="395" t="n">
        <v>0.199</v>
      </c>
      <c r="BI59" s="395" t="n">
        <v>0.207</v>
      </c>
      <c r="BJ59" s="437" t="n">
        <v>0.203</v>
      </c>
      <c r="BK59" s="440" t="n">
        <v>0.191</v>
      </c>
      <c r="BL59" s="443" t="n">
        <v>0.201</v>
      </c>
      <c r="BM59" s="101" t="n">
        <v>0.215</v>
      </c>
      <c r="BN59" s="101" t="n">
        <v>0.235</v>
      </c>
      <c r="BO59" s="101" t="n">
        <v>0.215</v>
      </c>
      <c r="BP59" s="440" t="n">
        <v>0.203</v>
      </c>
      <c r="BQ59" s="103" t="n">
        <v>0.216</v>
      </c>
      <c r="BR59" s="395" t="n">
        <v>0.236</v>
      </c>
      <c r="BS59" s="101" t="n">
        <v>0.211</v>
      </c>
      <c r="BT59" s="398" t="n">
        <v>0.239</v>
      </c>
      <c r="BU59" s="455" t="n"/>
      <c r="BV59" s="455" t="n"/>
      <c r="BW59" s="238" t="n"/>
      <c r="BX59" s="238" t="n"/>
      <c r="BY59" s="238" t="n"/>
      <c r="BZ59" s="238" t="n"/>
      <c r="CA59" s="238" t="n"/>
      <c r="CB59" s="238" t="n"/>
      <c r="CC59" s="238" t="n"/>
      <c r="CD59" s="238" t="n"/>
      <c r="CE59" s="238" t="n"/>
      <c r="CF59" s="238" t="n"/>
      <c r="CG59" s="238" t="n"/>
      <c r="CH59" s="238" t="n"/>
      <c r="CI59" s="238" t="n"/>
      <c r="CJ59" s="238" t="n"/>
      <c r="CK59" s="238" t="n"/>
      <c r="CL59" s="238" t="n"/>
      <c r="CM59" s="238" t="n"/>
      <c r="CN59" s="238" t="n"/>
      <c r="CO59" s="238" t="n"/>
      <c r="CP59" s="238" t="n"/>
      <c r="CQ59" s="238" t="n"/>
      <c r="CR59" s="238" t="n"/>
      <c r="CS59" s="238" t="n"/>
      <c r="CT59" s="238" t="n"/>
      <c r="CU59" s="238" t="n"/>
      <c r="CV59" s="238" t="n"/>
      <c r="CW59" s="238" t="n"/>
      <c r="CX59" s="238" t="n"/>
      <c r="CY59" s="238" t="n"/>
      <c r="CZ59" s="238" t="n"/>
      <c r="DA59" s="238" t="n"/>
      <c r="DB59" s="238" t="n"/>
      <c r="DC59" s="238" t="n"/>
      <c r="DD59" s="238" t="n"/>
      <c r="DE59" s="238" t="n"/>
      <c r="DF59" s="238" t="n"/>
      <c r="DG59" s="238" t="n"/>
      <c r="DH59" s="238" t="n"/>
      <c r="DI59" s="238" t="n"/>
      <c r="DJ59" s="238" t="n"/>
      <c r="DK59" s="238" t="n"/>
      <c r="DL59" s="238" t="n"/>
      <c r="DM59" s="238" t="n"/>
      <c r="DN59" s="238" t="n"/>
      <c r="DO59" s="238" t="n"/>
      <c r="DP59" s="238" t="n"/>
      <c r="DQ59" s="238" t="n"/>
      <c r="DR59" s="238" t="n"/>
      <c r="DS59" s="238" t="n"/>
      <c r="DT59" s="238" t="n"/>
      <c r="DU59" s="238" t="n"/>
      <c r="DV59" s="238" t="n"/>
      <c r="DW59" s="238" t="n"/>
      <c r="DX59" s="238" t="n"/>
      <c r="DY59" s="238" t="n"/>
      <c r="DZ59" s="23" t="n"/>
      <c r="FQ59" s="212" t="n"/>
      <c r="FR59" s="212" t="n"/>
      <c r="FS59" s="212" t="n"/>
      <c r="FT59" s="212" t="n"/>
      <c r="FU59" s="212" t="n"/>
      <c r="FV59" s="212" t="n"/>
      <c r="FW59" s="212" t="n"/>
      <c r="FX59" s="212" t="n"/>
      <c r="FY59" s="212" t="n"/>
      <c r="FZ59" s="212" t="n"/>
    </row>
    <row r="60" ht="39.95" customFormat="1" customHeight="1" s="5">
      <c r="A60" s="456" t="n"/>
      <c r="B60" s="8" t="n"/>
      <c r="C60" s="12" t="inlineStr">
        <is>
          <t>R</t>
        </is>
      </c>
      <c r="D60" s="435" t="n">
        <v>0.133</v>
      </c>
      <c r="E60" s="438" t="n">
        <v>0.182</v>
      </c>
      <c r="F60" s="438" t="n">
        <v>0.2</v>
      </c>
      <c r="G60" s="438" t="n">
        <v>0.194</v>
      </c>
      <c r="H60" s="399" t="n">
        <v>0.197</v>
      </c>
      <c r="I60" s="444" t="n">
        <v>0.227</v>
      </c>
      <c r="J60" s="438" t="n">
        <v>0.236</v>
      </c>
      <c r="K60" s="438" t="n">
        <v>0.258</v>
      </c>
      <c r="L60" s="438" t="n">
        <v>0.245</v>
      </c>
      <c r="M60" s="441" t="n">
        <v>0.237</v>
      </c>
      <c r="N60" s="106" t="n">
        <v>0.256</v>
      </c>
      <c r="O60" s="438" t="n">
        <v>0.213</v>
      </c>
      <c r="P60" s="438" t="n">
        <v>0.181</v>
      </c>
      <c r="Q60" s="438" t="n">
        <v>0.208</v>
      </c>
      <c r="R60" s="441" t="n">
        <v>0.207</v>
      </c>
      <c r="S60" s="444" t="n">
        <v>0.208</v>
      </c>
      <c r="T60" s="438" t="n">
        <v>0.179</v>
      </c>
      <c r="U60" s="438" t="n">
        <v>0.187</v>
      </c>
      <c r="V60" s="438" t="n">
        <v>0.206</v>
      </c>
      <c r="W60" s="441" t="n">
        <v>0.202</v>
      </c>
      <c r="X60" s="402" t="n">
        <v>0.189</v>
      </c>
      <c r="Y60" s="104" t="n">
        <v>0.227</v>
      </c>
      <c r="Z60" s="104" t="n">
        <v>0.219</v>
      </c>
      <c r="AA60" s="438" t="n">
        <v>0.202</v>
      </c>
      <c r="AB60" s="399" t="n">
        <v>0.207</v>
      </c>
      <c r="AC60" s="444" t="n">
        <v>0.198</v>
      </c>
      <c r="AD60" s="104" t="n">
        <v>0.211</v>
      </c>
      <c r="AE60" s="438" t="n">
        <v>0.214</v>
      </c>
      <c r="AF60" s="438" t="n">
        <v>0.19</v>
      </c>
      <c r="AG60" s="399" t="n">
        <v>0.24</v>
      </c>
      <c r="AH60" s="444" t="n">
        <v>0.183</v>
      </c>
      <c r="AI60" s="438" t="n">
        <v>0.196</v>
      </c>
      <c r="AJ60" s="438" t="n">
        <v>0.166</v>
      </c>
      <c r="AK60" s="438" t="n">
        <v>0.169</v>
      </c>
      <c r="AL60" s="441" t="n">
        <v>0.188</v>
      </c>
      <c r="AM60" s="106" t="n">
        <v>0.209</v>
      </c>
      <c r="AN60" s="438" t="n">
        <v>0.188</v>
      </c>
      <c r="AO60" s="396" t="n">
        <v>0.243</v>
      </c>
      <c r="AP60" s="438" t="n">
        <v>0.194</v>
      </c>
      <c r="AQ60" s="441" t="n">
        <v>0.207</v>
      </c>
      <c r="AR60" s="402" t="n">
        <v>0.208</v>
      </c>
      <c r="AS60" s="438" t="n">
        <v>0.187</v>
      </c>
      <c r="AT60" s="438" t="n">
        <v>0.196</v>
      </c>
      <c r="AU60" s="438" t="n">
        <v>0.177</v>
      </c>
      <c r="AV60" s="441" t="n">
        <v>0.195</v>
      </c>
      <c r="AW60" s="444" t="n">
        <v>0.168</v>
      </c>
      <c r="AX60" s="438" t="n">
        <v>0.182</v>
      </c>
      <c r="AY60" s="438" t="n">
        <v>0.202</v>
      </c>
      <c r="AZ60" s="438" t="n">
        <v>0.159</v>
      </c>
      <c r="BA60" s="441" t="n">
        <v>0.196</v>
      </c>
      <c r="BB60" s="444" t="n">
        <v>0.178</v>
      </c>
      <c r="BC60" s="438" t="n">
        <v>0.19</v>
      </c>
      <c r="BD60" s="438" t="n">
        <v>0.187</v>
      </c>
      <c r="BE60" s="438" t="n">
        <v>0.192</v>
      </c>
      <c r="BF60" s="441" t="n">
        <v>0.209</v>
      </c>
      <c r="BG60" s="444" t="n">
        <v>0.195</v>
      </c>
      <c r="BH60" s="438" t="n">
        <v>0.205</v>
      </c>
      <c r="BI60" s="396" t="n">
        <v>0.21</v>
      </c>
      <c r="BJ60" s="438" t="n">
        <v>0.209</v>
      </c>
      <c r="BK60" s="441" t="n">
        <v>0.212</v>
      </c>
      <c r="BL60" s="106" t="n">
        <v>0.218</v>
      </c>
      <c r="BM60" s="396" t="n">
        <v>0.215</v>
      </c>
      <c r="BN60" s="396" t="n">
        <v>0.219</v>
      </c>
      <c r="BO60" s="396" t="n">
        <v>0.235</v>
      </c>
      <c r="BP60" s="441" t="n">
        <v>0.211</v>
      </c>
      <c r="BQ60" s="444" t="n">
        <v>0.183</v>
      </c>
      <c r="BR60" s="438" t="n">
        <v>0.206</v>
      </c>
      <c r="BS60" s="396" t="n">
        <v>0.239</v>
      </c>
      <c r="BT60" s="441" t="n">
        <v>0.206</v>
      </c>
      <c r="BU60" s="457" t="n"/>
      <c r="BV60" s="457" t="n"/>
      <c r="BW60" s="238" t="n"/>
      <c r="BX60" s="238" t="n"/>
      <c r="BY60" s="238" t="n"/>
      <c r="BZ60" s="238" t="n"/>
      <c r="CA60" s="238" t="n"/>
      <c r="CB60" s="238" t="n"/>
      <c r="CC60" s="238" t="n"/>
      <c r="CD60" s="238" t="n"/>
      <c r="CE60" s="238" t="n"/>
      <c r="CF60" s="238" t="n"/>
      <c r="CG60" s="238" t="n"/>
      <c r="CH60" s="238" t="n"/>
      <c r="CI60" s="238" t="n"/>
      <c r="CJ60" s="238" t="n"/>
      <c r="CK60" s="238" t="n"/>
      <c r="CL60" s="238" t="n"/>
      <c r="CM60" s="238" t="n"/>
      <c r="CN60" s="238" t="n"/>
      <c r="CO60" s="238" t="n"/>
      <c r="CP60" s="238" t="n"/>
      <c r="CQ60" s="238" t="n"/>
      <c r="CR60" s="238" t="n"/>
      <c r="CS60" s="238" t="n"/>
      <c r="CT60" s="238" t="n"/>
      <c r="CU60" s="238" t="n"/>
      <c r="CV60" s="238" t="n"/>
      <c r="CW60" s="238" t="n"/>
      <c r="CX60" s="238" t="n"/>
      <c r="CY60" s="238" t="n"/>
      <c r="CZ60" s="238" t="n"/>
      <c r="DA60" s="238" t="n"/>
      <c r="DB60" s="238" t="n"/>
      <c r="DC60" s="238" t="n"/>
      <c r="DD60" s="238" t="n"/>
      <c r="DE60" s="238" t="n"/>
      <c r="DF60" s="238" t="n"/>
      <c r="DG60" s="238" t="n"/>
      <c r="DH60" s="238" t="n"/>
      <c r="DI60" s="238" t="n"/>
      <c r="DJ60" s="238" t="n"/>
      <c r="DK60" s="238" t="n"/>
      <c r="DL60" s="238" t="n"/>
      <c r="DM60" s="238" t="n"/>
      <c r="DN60" s="238" t="n"/>
      <c r="DO60" s="238" t="n"/>
      <c r="DP60" s="238" t="n"/>
      <c r="DQ60" s="238" t="n"/>
      <c r="DR60" s="238" t="n"/>
      <c r="DS60" s="238" t="n"/>
      <c r="DT60" s="238" t="n"/>
      <c r="DU60" s="238" t="n"/>
      <c r="DV60" s="238" t="n"/>
      <c r="DW60" s="238" t="n"/>
      <c r="DX60" s="238" t="n"/>
      <c r="DY60" s="238" t="n"/>
      <c r="DZ60" s="23" t="n"/>
      <c r="FQ60" s="212" t="n"/>
      <c r="FR60" s="212" t="n"/>
      <c r="FS60" s="212" t="n"/>
      <c r="FT60" s="212" t="n"/>
      <c r="FU60" s="212" t="n"/>
      <c r="FV60" s="212" t="n"/>
      <c r="FW60" s="212" t="n"/>
      <c r="FX60" s="212" t="n"/>
      <c r="FY60" s="212" t="n"/>
      <c r="FZ60" s="212" t="n"/>
    </row>
    <row r="61" ht="39.95" customFormat="1" customHeight="1" s="5">
      <c r="A61" s="10" t="inlineStr">
        <is>
          <t>A</t>
        </is>
      </c>
      <c r="B61" s="6" t="n"/>
      <c r="C61" s="11" t="inlineStr">
        <is>
          <t>L</t>
        </is>
      </c>
      <c r="D61" s="433" t="n">
        <v>0.213</v>
      </c>
      <c r="E61" s="394" t="n">
        <v>0.241</v>
      </c>
      <c r="F61" s="436" t="n">
        <v>0.195</v>
      </c>
      <c r="G61" s="436" t="n">
        <v>0.203</v>
      </c>
      <c r="H61" s="397" t="n">
        <v>0.219</v>
      </c>
      <c r="I61" s="442" t="n">
        <v>0.25</v>
      </c>
      <c r="J61" s="99" t="n">
        <v>0.278</v>
      </c>
      <c r="K61" s="436" t="n">
        <v>0.26</v>
      </c>
      <c r="L61" s="436" t="n">
        <v>0.248</v>
      </c>
      <c r="M61" s="100" t="n">
        <v>0.28</v>
      </c>
      <c r="N61" s="98" t="n">
        <v>0.264</v>
      </c>
      <c r="O61" s="436" t="n">
        <v>0.218</v>
      </c>
      <c r="P61" s="436" t="n">
        <v>0.203</v>
      </c>
      <c r="Q61" s="99" t="n">
        <v>0.229</v>
      </c>
      <c r="R61" s="439" t="n">
        <v>0.206</v>
      </c>
      <c r="S61" s="442" t="n">
        <v>0.198</v>
      </c>
      <c r="T61" s="436" t="n">
        <v>0.204</v>
      </c>
      <c r="U61" s="99" t="n">
        <v>0.208</v>
      </c>
      <c r="V61" s="99" t="n">
        <v>0.218</v>
      </c>
      <c r="W61" s="100" t="n">
        <v>0.206</v>
      </c>
      <c r="X61" s="400" t="n">
        <v>0.239</v>
      </c>
      <c r="Y61" s="394" t="n">
        <v>0.251</v>
      </c>
      <c r="Z61" s="99" t="n">
        <v>0.234</v>
      </c>
      <c r="AA61" s="436" t="n">
        <v>0.193</v>
      </c>
      <c r="AB61" s="100" t="n">
        <v>0.215</v>
      </c>
      <c r="AC61" s="98" t="n">
        <v>0.205</v>
      </c>
      <c r="AD61" s="436" t="n">
        <v>0.196</v>
      </c>
      <c r="AE61" s="436" t="n">
        <v>0.213</v>
      </c>
      <c r="AF61" s="99" t="n">
        <v>0.21</v>
      </c>
      <c r="AG61" s="100" t="n">
        <v>0.223</v>
      </c>
      <c r="AH61" s="442" t="n">
        <v>0.204</v>
      </c>
      <c r="AI61" s="436" t="n">
        <v>0.19</v>
      </c>
      <c r="AJ61" s="99" t="n">
        <v>0.212</v>
      </c>
      <c r="AK61" s="99" t="n">
        <v>0.219</v>
      </c>
      <c r="AL61" s="100" t="n">
        <v>0.223</v>
      </c>
      <c r="AM61" s="98" t="n">
        <v>0.217</v>
      </c>
      <c r="AN61" s="436" t="n">
        <v>0.197</v>
      </c>
      <c r="AO61" s="436" t="n">
        <v>0.195</v>
      </c>
      <c r="AP61" s="99" t="inlineStr">
        <is>
          <t>RF</t>
        </is>
      </c>
      <c r="AQ61" s="397" t="n">
        <v>0.257</v>
      </c>
      <c r="AR61" s="98" t="n">
        <v>0.227</v>
      </c>
      <c r="AS61" s="99" t="n">
        <v>0.221</v>
      </c>
      <c r="AT61" s="436" t="n">
        <v>0.188</v>
      </c>
      <c r="AU61" s="99" t="n">
        <v>0.203</v>
      </c>
      <c r="AV61" s="439" t="n">
        <v>0.185</v>
      </c>
      <c r="AW61" s="98" t="n">
        <v>0.227</v>
      </c>
      <c r="AX61" s="436" t="n">
        <v>0.172</v>
      </c>
      <c r="AY61" s="99" t="n">
        <v>0.219</v>
      </c>
      <c r="AZ61" s="436" t="n">
        <v>0.204</v>
      </c>
      <c r="BA61" s="100" t="n">
        <v>0.215</v>
      </c>
      <c r="BB61" s="98" t="n">
        <v>0.207</v>
      </c>
      <c r="BC61" s="436" t="n">
        <v>0.187</v>
      </c>
      <c r="BD61" s="436" t="n">
        <v>0.202</v>
      </c>
      <c r="BE61" s="436" t="n">
        <v>0.181</v>
      </c>
      <c r="BF61" s="439" t="n">
        <v>0.187</v>
      </c>
      <c r="BG61" s="98" t="inlineStr">
        <is>
          <t>RF</t>
        </is>
      </c>
      <c r="BH61" s="394" t="n">
        <v>0.248</v>
      </c>
      <c r="BI61" s="99" t="n">
        <v>0.219</v>
      </c>
      <c r="BJ61" s="99" t="n">
        <v>0.223</v>
      </c>
      <c r="BK61" s="439" t="n">
        <v>0.2</v>
      </c>
      <c r="BL61" s="98" t="n">
        <v>0.223</v>
      </c>
      <c r="BM61" s="99" t="n">
        <v>0.211</v>
      </c>
      <c r="BN61" s="394" t="n">
        <v>0.201</v>
      </c>
      <c r="BO61" s="394" t="inlineStr">
        <is>
          <t>RF</t>
        </is>
      </c>
      <c r="BP61" s="397" t="n">
        <v>0.22</v>
      </c>
      <c r="BQ61" s="98" t="n">
        <v>0.232</v>
      </c>
      <c r="BR61" s="99" t="n">
        <v>0.217</v>
      </c>
      <c r="BS61" s="394" t="inlineStr">
        <is>
          <t>RF</t>
        </is>
      </c>
      <c r="BT61" s="397" t="inlineStr">
        <is>
          <t>RF</t>
        </is>
      </c>
      <c r="BU61" s="454">
        <f>IFERROR(AVERAGE(D61:BT63),0)</f>
        <v/>
      </c>
      <c r="BV61" s="454">
        <f>MIN(D61:BT63)</f>
        <v/>
      </c>
      <c r="BW61" s="238" t="n"/>
      <c r="BX61" s="238" t="n"/>
      <c r="BY61" s="238" t="n"/>
      <c r="BZ61" s="238" t="n"/>
      <c r="CA61" s="238" t="n"/>
      <c r="CB61" s="238" t="n"/>
      <c r="CC61" s="238" t="n"/>
      <c r="CD61" s="238" t="n"/>
      <c r="CE61" s="238" t="n"/>
      <c r="CF61" s="238" t="n"/>
      <c r="CG61" s="238" t="n"/>
      <c r="CH61" s="238" t="n"/>
      <c r="CI61" s="238" t="n"/>
      <c r="CJ61" s="238" t="n"/>
      <c r="CK61" s="238" t="n"/>
      <c r="CL61" s="238" t="n"/>
      <c r="CM61" s="238" t="n"/>
      <c r="CN61" s="238" t="n"/>
      <c r="CO61" s="238" t="n"/>
      <c r="CP61" s="238" t="n"/>
      <c r="CQ61" s="238" t="n"/>
      <c r="CR61" s="238" t="n"/>
      <c r="CS61" s="238" t="n"/>
      <c r="CT61" s="238" t="n"/>
      <c r="CU61" s="238" t="n"/>
      <c r="CV61" s="238" t="n"/>
      <c r="CW61" s="238" t="n"/>
      <c r="CX61" s="238" t="n"/>
      <c r="CY61" s="238" t="n"/>
      <c r="CZ61" s="238" t="n"/>
      <c r="DA61" s="238" t="n"/>
      <c r="DB61" s="238" t="n"/>
      <c r="DC61" s="238" t="n"/>
      <c r="DD61" s="238" t="n"/>
      <c r="DE61" s="238" t="n"/>
      <c r="DF61" s="238" t="n"/>
      <c r="DG61" s="238" t="n"/>
      <c r="DH61" s="238" t="n"/>
      <c r="DI61" s="238" t="n"/>
      <c r="DJ61" s="238" t="n"/>
      <c r="DK61" s="238" t="n"/>
      <c r="DL61" s="238" t="n"/>
      <c r="DM61" s="238" t="n"/>
      <c r="DN61" s="238" t="n"/>
      <c r="DO61" s="238" t="n"/>
      <c r="DP61" s="238" t="n"/>
      <c r="DQ61" s="238" t="n"/>
      <c r="DR61" s="238" t="n"/>
      <c r="DS61" s="238" t="n"/>
      <c r="DT61" s="238" t="n"/>
      <c r="DU61" s="238" t="n"/>
      <c r="DV61" s="238" t="n"/>
      <c r="DW61" s="238" t="n"/>
      <c r="DX61" s="238" t="n"/>
      <c r="DY61" s="238" t="n"/>
      <c r="DZ61" s="23" t="n"/>
      <c r="FQ61" s="212" t="n"/>
      <c r="FR61" s="212" t="n"/>
      <c r="FS61" s="212" t="n"/>
      <c r="FT61" s="212" t="n"/>
      <c r="FU61" s="212" t="n"/>
      <c r="FV61" s="212" t="n"/>
      <c r="FW61" s="212" t="n"/>
      <c r="FX61" s="212" t="n"/>
      <c r="FY61" s="212" t="n"/>
      <c r="FZ61" s="212" t="n"/>
    </row>
    <row r="62" ht="39.95" customFormat="1" customHeight="1" s="5">
      <c r="A62" s="182" t="n">
        <v>0.083</v>
      </c>
      <c r="B62" s="7" t="inlineStr">
        <is>
          <t>0 REFERENCE</t>
        </is>
      </c>
      <c r="C62" s="11" t="inlineStr">
        <is>
          <t>C</t>
        </is>
      </c>
      <c r="D62" s="107" t="n">
        <v>0.216</v>
      </c>
      <c r="E62" s="101" t="n">
        <v>0.219</v>
      </c>
      <c r="F62" s="101" t="n">
        <v>0.206</v>
      </c>
      <c r="G62" s="395" t="n">
        <v>0.231</v>
      </c>
      <c r="H62" s="440" t="n">
        <v>0.189</v>
      </c>
      <c r="I62" s="103" t="n">
        <v>0.278</v>
      </c>
      <c r="J62" s="101" t="n">
        <v>0.278</v>
      </c>
      <c r="K62" s="437" t="n">
        <v>0.231</v>
      </c>
      <c r="L62" s="101" t="n">
        <v>0.283</v>
      </c>
      <c r="M62" s="398" t="n">
        <v>0.296</v>
      </c>
      <c r="N62" s="103" t="n">
        <v>0.263</v>
      </c>
      <c r="O62" s="101" t="n">
        <v>0.225</v>
      </c>
      <c r="P62" s="437" t="n">
        <v>0.198</v>
      </c>
      <c r="Q62" s="101" t="n">
        <v>0.227</v>
      </c>
      <c r="R62" s="440" t="n">
        <v>0.212</v>
      </c>
      <c r="S62" s="103" t="n">
        <v>0.21</v>
      </c>
      <c r="T62" s="437" t="n">
        <v>0.204</v>
      </c>
      <c r="U62" s="101" t="n">
        <v>0.228</v>
      </c>
      <c r="V62" s="101" t="n">
        <v>0.201</v>
      </c>
      <c r="W62" s="440" t="n">
        <v>0.203</v>
      </c>
      <c r="X62" s="103" t="n">
        <v>0.23</v>
      </c>
      <c r="Y62" s="395" t="n">
        <v>0.246</v>
      </c>
      <c r="Z62" s="437" t="n">
        <v>0.197</v>
      </c>
      <c r="AA62" s="101" t="n">
        <v>0.211</v>
      </c>
      <c r="AB62" s="102" t="n">
        <v>0.213</v>
      </c>
      <c r="AC62" s="443" t="n">
        <v>0.205</v>
      </c>
      <c r="AD62" s="101" t="n">
        <v>0.216</v>
      </c>
      <c r="AE62" s="437" t="n">
        <v>0.201</v>
      </c>
      <c r="AF62" s="101" t="n">
        <v>0.214</v>
      </c>
      <c r="AG62" s="102" t="n">
        <v>0.207</v>
      </c>
      <c r="AH62" s="443" t="n">
        <v>0.185</v>
      </c>
      <c r="AI62" s="437" t="n">
        <v>0.206</v>
      </c>
      <c r="AJ62" s="437" t="n">
        <v>0.21</v>
      </c>
      <c r="AK62" s="101" t="n">
        <v>0.21</v>
      </c>
      <c r="AL62" s="440" t="n">
        <v>0.169</v>
      </c>
      <c r="AM62" s="103" t="n">
        <v>0.217</v>
      </c>
      <c r="AN62" s="437" t="n">
        <v>0.201</v>
      </c>
      <c r="AO62" s="101" t="n">
        <v>0.208</v>
      </c>
      <c r="AP62" s="395" t="n">
        <v>0.238</v>
      </c>
      <c r="AQ62" s="398" t="n">
        <v>0.244</v>
      </c>
      <c r="AR62" s="401" t="n">
        <v>0.192</v>
      </c>
      <c r="AS62" s="437" t="n">
        <v>0.184</v>
      </c>
      <c r="AT62" s="437" t="n">
        <v>0.192</v>
      </c>
      <c r="AU62" s="101" t="n">
        <v>0.213</v>
      </c>
      <c r="AV62" s="440" t="n">
        <v>0.199</v>
      </c>
      <c r="AW62" s="103" t="n">
        <v>0.227</v>
      </c>
      <c r="AX62" s="437" t="n">
        <v>0.192</v>
      </c>
      <c r="AY62" s="101" t="n">
        <v>0.239</v>
      </c>
      <c r="AZ62" s="437" t="n">
        <v>0.2</v>
      </c>
      <c r="BA62" s="440" t="n">
        <v>0.202</v>
      </c>
      <c r="BB62" s="103" t="n">
        <v>0.201</v>
      </c>
      <c r="BC62" s="437" t="n">
        <v>0.166</v>
      </c>
      <c r="BD62" s="437" t="n">
        <v>0.174</v>
      </c>
      <c r="BE62" s="437" t="n">
        <v>0.176</v>
      </c>
      <c r="BF62" s="440" t="n">
        <v>0.186</v>
      </c>
      <c r="BG62" s="103" t="n">
        <v>0.221</v>
      </c>
      <c r="BH62" s="395" t="n">
        <v>0.228</v>
      </c>
      <c r="BI62" s="101" t="n">
        <v>0.261</v>
      </c>
      <c r="BJ62" s="101" t="n">
        <v>0.217</v>
      </c>
      <c r="BK62" s="102" t="n">
        <v>0.219</v>
      </c>
      <c r="BL62" s="103" t="n">
        <v>0.221</v>
      </c>
      <c r="BM62" s="101" t="n">
        <v>0.229</v>
      </c>
      <c r="BN62" s="101" t="n">
        <v>0.238</v>
      </c>
      <c r="BO62" s="395" t="inlineStr">
        <is>
          <t>RF</t>
        </is>
      </c>
      <c r="BP62" s="102" t="inlineStr">
        <is>
          <t>RF</t>
        </is>
      </c>
      <c r="BQ62" s="443" t="n">
        <v>0.219</v>
      </c>
      <c r="BR62" s="437" t="n">
        <v>0.196</v>
      </c>
      <c r="BS62" s="395" t="n">
        <v>0.251</v>
      </c>
      <c r="BT62" s="398" t="n">
        <v>0.221</v>
      </c>
      <c r="BU62" s="455" t="n"/>
      <c r="BV62" s="455" t="n"/>
      <c r="BW62" s="238" t="n"/>
      <c r="BX62" s="238" t="n"/>
      <c r="BY62" s="238" t="n"/>
      <c r="BZ62" s="238" t="n"/>
      <c r="CA62" s="238" t="n"/>
      <c r="CB62" s="238" t="n"/>
      <c r="CC62" s="238" t="n"/>
      <c r="CD62" s="238" t="n"/>
      <c r="CE62" s="238" t="n"/>
      <c r="CF62" s="238" t="n"/>
      <c r="CG62" s="238" t="n"/>
      <c r="CH62" s="238" t="n"/>
      <c r="CI62" s="238" t="n"/>
      <c r="CJ62" s="238" t="n"/>
      <c r="CK62" s="238" t="n"/>
      <c r="CL62" s="238" t="n"/>
      <c r="CM62" s="238" t="n"/>
      <c r="CN62" s="238" t="n"/>
      <c r="CO62" s="238" t="n"/>
      <c r="CP62" s="238" t="n"/>
      <c r="CQ62" s="238" t="n"/>
      <c r="CR62" s="238" t="n"/>
      <c r="CS62" s="238" t="n"/>
      <c r="CT62" s="238" t="n"/>
      <c r="CU62" s="238" t="n"/>
      <c r="CV62" s="238" t="n"/>
      <c r="CW62" s="238" t="n"/>
      <c r="CX62" s="238" t="n"/>
      <c r="CY62" s="238" t="n"/>
      <c r="CZ62" s="238" t="n"/>
      <c r="DA62" s="238" t="n"/>
      <c r="DB62" s="238" t="n"/>
      <c r="DC62" s="238" t="n"/>
      <c r="DD62" s="238" t="n"/>
      <c r="DE62" s="238" t="n"/>
      <c r="DF62" s="238" t="n"/>
      <c r="DG62" s="238" t="n"/>
      <c r="DH62" s="238" t="n"/>
      <c r="DI62" s="238" t="n"/>
      <c r="DJ62" s="238" t="n"/>
      <c r="DK62" s="238" t="n"/>
      <c r="DL62" s="238" t="n"/>
      <c r="DM62" s="238" t="n"/>
      <c r="DN62" s="238" t="n"/>
      <c r="DO62" s="238" t="n"/>
      <c r="DP62" s="238" t="n"/>
      <c r="DQ62" s="238" t="n"/>
      <c r="DR62" s="238" t="n"/>
      <c r="DS62" s="238" t="n"/>
      <c r="DT62" s="238" t="n"/>
      <c r="DU62" s="238" t="n"/>
      <c r="DV62" s="238" t="n"/>
      <c r="DW62" s="238" t="n"/>
      <c r="DX62" s="238" t="n"/>
      <c r="DY62" s="238" t="n"/>
      <c r="DZ62" s="23" t="n"/>
      <c r="FQ62" s="212" t="n"/>
      <c r="FR62" s="212" t="n"/>
      <c r="FS62" s="212" t="n"/>
      <c r="FT62" s="212" t="n"/>
      <c r="FU62" s="212" t="n"/>
      <c r="FV62" s="212" t="n"/>
      <c r="FW62" s="212" t="n"/>
      <c r="FX62" s="212" t="n"/>
      <c r="FY62" s="212" t="n"/>
      <c r="FZ62" s="212" t="n"/>
    </row>
    <row r="63" ht="39.95" customFormat="1" customHeight="1" s="5">
      <c r="A63" s="456" t="n"/>
      <c r="B63" s="8" t="n"/>
      <c r="C63" s="12" t="inlineStr">
        <is>
          <t>R</t>
        </is>
      </c>
      <c r="D63" s="109" t="inlineStr">
        <is>
          <t>RF</t>
        </is>
      </c>
      <c r="E63" s="438" t="n">
        <v>0.2</v>
      </c>
      <c r="F63" s="438" t="n">
        <v>0.192</v>
      </c>
      <c r="G63" s="396" t="n">
        <v>0.215</v>
      </c>
      <c r="H63" s="399" t="n">
        <v>0.194</v>
      </c>
      <c r="I63" s="106" t="n">
        <v>0.266</v>
      </c>
      <c r="J63" s="104" t="n">
        <v>0.278</v>
      </c>
      <c r="K63" s="438" t="n">
        <v>0.251</v>
      </c>
      <c r="L63" s="104" t="n">
        <v>0.27</v>
      </c>
      <c r="M63" s="399" t="n">
        <v>0.281</v>
      </c>
      <c r="N63" s="106" t="n">
        <v>0.263</v>
      </c>
      <c r="O63" s="104" t="n">
        <v>0.225</v>
      </c>
      <c r="P63" s="438" t="n">
        <v>0.211</v>
      </c>
      <c r="Q63" s="104" t="n">
        <v>0.227</v>
      </c>
      <c r="R63" s="441" t="n">
        <v>0.206</v>
      </c>
      <c r="S63" s="444" t="n">
        <v>0.199</v>
      </c>
      <c r="T63" s="396" t="n">
        <v>0.202</v>
      </c>
      <c r="U63" s="104" t="n">
        <v>0.213</v>
      </c>
      <c r="V63" s="104" t="n">
        <v>0.208</v>
      </c>
      <c r="W63" s="105" t="n">
        <v>0.217</v>
      </c>
      <c r="X63" s="106" t="n">
        <v>0.234</v>
      </c>
      <c r="Y63" s="104" t="inlineStr">
        <is>
          <t>RF</t>
        </is>
      </c>
      <c r="Z63" s="438" t="n">
        <v>0.195</v>
      </c>
      <c r="AA63" s="438" t="n">
        <v>0.207</v>
      </c>
      <c r="AB63" s="105" t="n">
        <v>0.218</v>
      </c>
      <c r="AC63" s="106" t="n">
        <v>0.213</v>
      </c>
      <c r="AD63" s="438" t="n">
        <v>0.2</v>
      </c>
      <c r="AE63" s="104" t="n">
        <v>0.237</v>
      </c>
      <c r="AF63" s="104" t="n">
        <v>0.208</v>
      </c>
      <c r="AG63" s="105" t="n">
        <v>0.218</v>
      </c>
      <c r="AH63" s="444" t="n">
        <v>0.195</v>
      </c>
      <c r="AI63" s="438" t="n">
        <v>0.193</v>
      </c>
      <c r="AJ63" s="438" t="n">
        <v>0.198</v>
      </c>
      <c r="AK63" s="438" t="n">
        <v>0.177</v>
      </c>
      <c r="AL63" s="105" t="n">
        <v>0.205</v>
      </c>
      <c r="AM63" s="106" t="n">
        <v>0.233</v>
      </c>
      <c r="AN63" s="438" t="n">
        <v>0.18</v>
      </c>
      <c r="AO63" s="438" t="n">
        <v>0.174</v>
      </c>
      <c r="AP63" s="396" t="n">
        <v>0.257</v>
      </c>
      <c r="AQ63" s="399" t="inlineStr">
        <is>
          <t>RF</t>
        </is>
      </c>
      <c r="AR63" s="106" t="n">
        <v>0.22</v>
      </c>
      <c r="AS63" s="396" t="n">
        <v>0.215</v>
      </c>
      <c r="AT63" s="104" t="n">
        <v>0.198</v>
      </c>
      <c r="AU63" s="104" t="n">
        <v>0.208</v>
      </c>
      <c r="AV63" s="441" t="n">
        <v>0.179</v>
      </c>
      <c r="AW63" s="402" t="n">
        <v>0.179</v>
      </c>
      <c r="AX63" s="104" t="n">
        <v>0.219</v>
      </c>
      <c r="AY63" s="104" t="n">
        <v>0.208</v>
      </c>
      <c r="AZ63" s="438" t="n">
        <v>0.196</v>
      </c>
      <c r="BA63" s="441" t="n">
        <v>0.194</v>
      </c>
      <c r="BB63" s="444" t="n">
        <v>0.194</v>
      </c>
      <c r="BC63" s="438" t="n">
        <v>0.173</v>
      </c>
      <c r="BD63" s="438" t="n">
        <v>0.184</v>
      </c>
      <c r="BE63" s="438" t="n">
        <v>0.188</v>
      </c>
      <c r="BF63" s="441" t="n">
        <v>0.164</v>
      </c>
      <c r="BG63" s="402" t="n">
        <v>0.229</v>
      </c>
      <c r="BH63" s="396" t="inlineStr">
        <is>
          <t>RF</t>
        </is>
      </c>
      <c r="BI63" s="104" t="n">
        <v>0.222</v>
      </c>
      <c r="BJ63" s="104" t="n">
        <v>0.217</v>
      </c>
      <c r="BK63" s="105" t="n">
        <v>0.219</v>
      </c>
      <c r="BL63" s="106" t="n">
        <v>0.237</v>
      </c>
      <c r="BM63" s="104" t="n">
        <v>0.229</v>
      </c>
      <c r="BN63" s="438" t="n">
        <v>0.219</v>
      </c>
      <c r="BO63" s="396" t="n">
        <v>0.246</v>
      </c>
      <c r="BP63" s="105" t="inlineStr">
        <is>
          <t>RF</t>
        </is>
      </c>
      <c r="BQ63" s="106" t="n">
        <v>0.22</v>
      </c>
      <c r="BR63" s="438" t="n">
        <v>0.199</v>
      </c>
      <c r="BS63" s="396" t="n">
        <v>0.232</v>
      </c>
      <c r="BT63" s="399" t="n">
        <v>0.221</v>
      </c>
      <c r="BU63" s="457" t="n"/>
      <c r="BV63" s="457" t="n"/>
      <c r="BW63" s="238" t="n"/>
      <c r="BX63" s="238" t="n"/>
      <c r="BY63" s="238" t="n"/>
      <c r="BZ63" s="238" t="n"/>
      <c r="CA63" s="238" t="n"/>
      <c r="CB63" s="238" t="n"/>
      <c r="CC63" s="238" t="n"/>
      <c r="CD63" s="238" t="n"/>
      <c r="CE63" s="238" t="n"/>
      <c r="CF63" s="238" t="n"/>
      <c r="CG63" s="238" t="n"/>
      <c r="CH63" s="238" t="n"/>
      <c r="CI63" s="238" t="n"/>
      <c r="CJ63" s="238" t="n"/>
      <c r="CK63" s="238" t="n"/>
      <c r="CL63" s="238" t="n"/>
      <c r="CM63" s="238" t="n"/>
      <c r="CN63" s="238" t="n"/>
      <c r="CO63" s="238" t="n"/>
      <c r="CP63" s="238" t="n"/>
      <c r="CQ63" s="238" t="n"/>
      <c r="CR63" s="238" t="n"/>
      <c r="CS63" s="238" t="n"/>
      <c r="CT63" s="238" t="n"/>
      <c r="CU63" s="238" t="n"/>
      <c r="CV63" s="238" t="n"/>
      <c r="CW63" s="238" t="n"/>
      <c r="CX63" s="238" t="n"/>
      <c r="CY63" s="238" t="n"/>
      <c r="CZ63" s="238" t="n"/>
      <c r="DA63" s="238" t="n"/>
      <c r="DB63" s="238" t="n"/>
      <c r="DC63" s="238" t="n"/>
      <c r="DD63" s="238" t="n"/>
      <c r="DE63" s="238" t="n"/>
      <c r="DF63" s="238" t="n"/>
      <c r="DG63" s="238" t="n"/>
      <c r="DH63" s="238" t="n"/>
      <c r="DI63" s="238" t="n"/>
      <c r="DJ63" s="238" t="n"/>
      <c r="DK63" s="238" t="n"/>
      <c r="DL63" s="238" t="n"/>
      <c r="DM63" s="238" t="n"/>
      <c r="DN63" s="238" t="n"/>
      <c r="DO63" s="238" t="n"/>
      <c r="DP63" s="238" t="n"/>
      <c r="DQ63" s="238" t="n"/>
      <c r="DR63" s="238" t="n"/>
      <c r="DS63" s="238" t="n"/>
      <c r="DT63" s="238" t="n"/>
      <c r="DU63" s="238" t="n"/>
      <c r="DV63" s="238" t="n"/>
      <c r="DW63" s="238" t="n"/>
      <c r="DX63" s="238" t="n"/>
      <c r="DY63" s="238" t="n"/>
      <c r="DZ63" s="23" t="n"/>
      <c r="FQ63" s="212" t="n"/>
      <c r="FR63" s="212" t="n"/>
      <c r="FS63" s="212" t="n"/>
      <c r="FT63" s="212" t="n"/>
      <c r="FU63" s="212" t="n"/>
      <c r="FV63" s="212" t="n"/>
      <c r="FW63" s="212" t="n"/>
      <c r="FX63" s="212" t="n"/>
      <c r="FY63" s="212" t="n"/>
      <c r="FZ63" s="212" t="n"/>
    </row>
    <row r="64" ht="39.95" customFormat="1" customHeight="1" s="5">
      <c r="A64" s="10" t="inlineStr">
        <is>
          <t>A</t>
        </is>
      </c>
      <c r="B64" s="6" t="inlineStr">
        <is>
          <t>POSITION 'A'</t>
        </is>
      </c>
      <c r="C64" s="11" t="inlineStr">
        <is>
          <t>L</t>
        </is>
      </c>
      <c r="D64" s="391" t="inlineStr"/>
      <c r="E64" s="436" t="n">
        <v>0.206</v>
      </c>
      <c r="F64" s="99" t="n">
        <v>0.225</v>
      </c>
      <c r="G64" s="436" t="n">
        <v>0.183</v>
      </c>
      <c r="H64" s="439" t="n">
        <v>0.165</v>
      </c>
      <c r="I64" s="400" t="n">
        <v>0.262</v>
      </c>
      <c r="J64" s="436" t="n">
        <v>0.24</v>
      </c>
      <c r="K64" s="394" t="inlineStr"/>
      <c r="L64" s="394" t="inlineStr"/>
      <c r="M64" s="397" t="inlineStr"/>
      <c r="N64" s="442" t="n">
        <v>0.242</v>
      </c>
      <c r="O64" s="436" t="n">
        <v>0.183</v>
      </c>
      <c r="P64" s="99" t="n">
        <v>0.223</v>
      </c>
      <c r="Q64" s="436" t="n">
        <v>0.183</v>
      </c>
      <c r="R64" s="439" t="n">
        <v>0.204</v>
      </c>
      <c r="S64" s="442" t="n">
        <v>0.186</v>
      </c>
      <c r="T64" s="394" t="inlineStr"/>
      <c r="U64" s="394" t="inlineStr"/>
      <c r="V64" s="99" t="n">
        <v>0.212</v>
      </c>
      <c r="W64" s="439" t="n">
        <v>0.191</v>
      </c>
      <c r="X64" s="442" t="n">
        <v>0.188</v>
      </c>
      <c r="Y64" s="436" t="n">
        <v>0.191</v>
      </c>
      <c r="Z64" s="436" t="n">
        <v>0.197</v>
      </c>
      <c r="AA64" s="436" t="n">
        <v>0.193</v>
      </c>
      <c r="AB64" s="397" t="inlineStr"/>
      <c r="AC64" s="400" t="inlineStr"/>
      <c r="AD64" s="394" t="inlineStr"/>
      <c r="AE64" s="394" t="inlineStr"/>
      <c r="AF64" s="394" t="inlineStr"/>
      <c r="AG64" s="397" t="inlineStr"/>
      <c r="AH64" s="400" t="inlineStr"/>
      <c r="AI64" s="99" t="n">
        <v>0.225</v>
      </c>
      <c r="AJ64" s="436" t="n">
        <v>0.208</v>
      </c>
      <c r="AK64" s="436" t="n">
        <v>0.196</v>
      </c>
      <c r="AL64" s="439" t="n">
        <v>0.197</v>
      </c>
      <c r="AM64" s="400" t="inlineStr"/>
      <c r="AN64" s="99" t="n">
        <v>0.209</v>
      </c>
      <c r="AO64" s="436" t="n">
        <v>0.189</v>
      </c>
      <c r="AP64" s="436" t="n">
        <v>0.193</v>
      </c>
      <c r="AQ64" s="439" t="n">
        <v>0.175</v>
      </c>
      <c r="AR64" s="442" t="n">
        <v>0.181</v>
      </c>
      <c r="AS64" s="436" t="n">
        <v>0.189</v>
      </c>
      <c r="AT64" s="394" t="inlineStr"/>
      <c r="AU64" s="394" t="inlineStr"/>
      <c r="AV64" s="439" t="n">
        <v>0.206</v>
      </c>
      <c r="AW64" s="442" t="n">
        <v>0.169</v>
      </c>
      <c r="AX64" s="436" t="n">
        <v>0.199</v>
      </c>
      <c r="AY64" s="436" t="n">
        <v>0.202</v>
      </c>
      <c r="AZ64" s="436" t="n">
        <v>0.188</v>
      </c>
      <c r="BA64" s="439" t="n">
        <v>0.192</v>
      </c>
      <c r="BB64" s="400" t="inlineStr"/>
      <c r="BC64" s="394" t="inlineStr"/>
      <c r="BD64" s="394" t="inlineStr"/>
      <c r="BE64" s="99" t="n">
        <v>0.212</v>
      </c>
      <c r="BF64" s="100" t="n">
        <v>0.216</v>
      </c>
      <c r="BG64" s="442" t="n">
        <v>0.157</v>
      </c>
      <c r="BH64" s="436" t="n">
        <v>0.204</v>
      </c>
      <c r="BI64" s="436" t="n">
        <v>0.193</v>
      </c>
      <c r="BJ64" s="436" t="n">
        <v>0.177</v>
      </c>
      <c r="BK64" s="397" t="inlineStr"/>
      <c r="BL64" s="400" t="inlineStr"/>
      <c r="BM64" s="394" t="n">
        <v>0.206</v>
      </c>
      <c r="BN64" s="394" t="n">
        <v>0.216</v>
      </c>
      <c r="BO64" s="394" t="n">
        <v>0.228</v>
      </c>
      <c r="BP64" s="397" t="n">
        <v>0.222</v>
      </c>
      <c r="BQ64" s="400" t="n">
        <v>0.229</v>
      </c>
      <c r="BR64" s="394" t="n">
        <v>0.222</v>
      </c>
      <c r="BS64" s="394" t="inlineStr"/>
      <c r="BT64" s="397" t="inlineStr"/>
      <c r="BU64" s="454">
        <f>IFERROR(AVERAGE(D64:BT66),0)</f>
        <v/>
      </c>
      <c r="BV64" s="454">
        <f>MIN(D64:BT66)</f>
        <v/>
      </c>
      <c r="BW64" s="238" t="n"/>
      <c r="BX64" s="238" t="n"/>
      <c r="BY64" s="238" t="n"/>
      <c r="BZ64" s="238" t="n"/>
      <c r="CA64" s="238" t="n"/>
      <c r="CB64" s="238" t="n"/>
      <c r="CC64" s="238" t="n"/>
      <c r="CD64" s="238" t="n"/>
      <c r="CE64" s="238" t="n"/>
      <c r="CF64" s="238" t="n"/>
      <c r="CG64" s="238" t="n"/>
      <c r="CH64" s="238" t="n"/>
      <c r="CI64" s="238" t="n"/>
      <c r="CJ64" s="238" t="n"/>
      <c r="CK64" s="238" t="n"/>
      <c r="CL64" s="238" t="n"/>
      <c r="CM64" s="238" t="n"/>
      <c r="CN64" s="238" t="n"/>
      <c r="CO64" s="238" t="n"/>
      <c r="CP64" s="238" t="n"/>
      <c r="CQ64" s="238" t="n"/>
      <c r="CR64" s="238" t="n"/>
      <c r="CS64" s="238" t="n"/>
      <c r="CT64" s="238" t="n"/>
      <c r="CU64" s="238" t="n"/>
      <c r="CV64" s="238" t="n"/>
      <c r="CW64" s="238" t="n"/>
      <c r="CX64" s="238" t="n"/>
      <c r="CY64" s="238" t="n"/>
      <c r="CZ64" s="238" t="n"/>
      <c r="DA64" s="238" t="n"/>
      <c r="DB64" s="238" t="n"/>
      <c r="DC64" s="238" t="n"/>
      <c r="DD64" s="238" t="n"/>
      <c r="DE64" s="238" t="n"/>
      <c r="DF64" s="238" t="n"/>
      <c r="DG64" s="238" t="n"/>
      <c r="DH64" s="238" t="n"/>
      <c r="DI64" s="238" t="n"/>
      <c r="DJ64" s="238" t="n"/>
      <c r="DK64" s="238" t="n"/>
      <c r="DL64" s="238" t="n"/>
      <c r="DM64" s="238" t="n"/>
      <c r="DN64" s="238" t="n"/>
      <c r="DO64" s="238" t="n"/>
      <c r="DP64" s="238" t="n"/>
      <c r="DQ64" s="238" t="n"/>
      <c r="DR64" s="238" t="n"/>
      <c r="DS64" s="238" t="n"/>
      <c r="DT64" s="238" t="n"/>
      <c r="DU64" s="238" t="n"/>
      <c r="DV64" s="238" t="n"/>
      <c r="DW64" s="238" t="n"/>
      <c r="DX64" s="238" t="n"/>
      <c r="DY64" s="238" t="n"/>
      <c r="DZ64" s="23" t="n"/>
      <c r="FQ64" s="212" t="n"/>
      <c r="FR64" s="212" t="n"/>
      <c r="FS64" s="212" t="n"/>
      <c r="FT64" s="212" t="n"/>
      <c r="FU64" s="212" t="n"/>
      <c r="FV64" s="212" t="n"/>
      <c r="FW64" s="212" t="n"/>
      <c r="FX64" s="212" t="n"/>
      <c r="FY64" s="212" t="n"/>
      <c r="FZ64" s="212" t="n"/>
    </row>
    <row r="65" ht="39.95" customFormat="1" customHeight="1" s="5">
      <c r="A65" s="182" t="n">
        <v>0.083</v>
      </c>
      <c r="B65" s="7" t="inlineStr">
        <is>
          <t xml:space="preserve">OF THE </t>
        </is>
      </c>
      <c r="C65" s="11" t="inlineStr">
        <is>
          <t>C</t>
        </is>
      </c>
      <c r="D65" s="392" t="inlineStr"/>
      <c r="E65" s="437" t="n">
        <v>0.208</v>
      </c>
      <c r="F65" s="101" t="n">
        <v>0.219</v>
      </c>
      <c r="G65" s="437" t="n">
        <v>0.183</v>
      </c>
      <c r="H65" s="440" t="n">
        <v>0.165</v>
      </c>
      <c r="I65" s="103" t="n">
        <v>0.255</v>
      </c>
      <c r="J65" s="437" t="n">
        <v>0.245</v>
      </c>
      <c r="K65" s="395" t="inlineStr"/>
      <c r="L65" s="395" t="inlineStr"/>
      <c r="M65" s="398" t="inlineStr"/>
      <c r="N65" s="443" t="n">
        <v>0.238</v>
      </c>
      <c r="O65" s="437" t="n">
        <v>0.19</v>
      </c>
      <c r="P65" s="437" t="n">
        <v>0.203</v>
      </c>
      <c r="Q65" s="437" t="n">
        <v>0.213</v>
      </c>
      <c r="R65" s="440" t="n">
        <v>0.204</v>
      </c>
      <c r="S65" s="443" t="n">
        <v>0.198</v>
      </c>
      <c r="T65" s="395" t="inlineStr"/>
      <c r="U65" s="395" t="inlineStr"/>
      <c r="V65" s="437" t="n">
        <v>0.209</v>
      </c>
      <c r="W65" s="440" t="n">
        <v>0.201</v>
      </c>
      <c r="X65" s="443" t="n">
        <v>0.184</v>
      </c>
      <c r="Y65" s="437" t="n">
        <v>0.194</v>
      </c>
      <c r="Z65" s="437" t="n">
        <v>0.181</v>
      </c>
      <c r="AA65" s="437" t="n">
        <v>0.186</v>
      </c>
      <c r="AB65" s="398" t="inlineStr"/>
      <c r="AC65" s="401" t="inlineStr"/>
      <c r="AD65" s="395" t="inlineStr"/>
      <c r="AE65" s="395" t="inlineStr"/>
      <c r="AF65" s="395" t="inlineStr"/>
      <c r="AG65" s="398" t="inlineStr"/>
      <c r="AH65" s="401" t="inlineStr"/>
      <c r="AI65" s="101" t="n">
        <v>0.215</v>
      </c>
      <c r="AJ65" s="437" t="n">
        <v>0.192</v>
      </c>
      <c r="AK65" s="101" t="n">
        <v>0.229</v>
      </c>
      <c r="AL65" s="440" t="n">
        <v>0.199</v>
      </c>
      <c r="AM65" s="401" t="inlineStr"/>
      <c r="AN65" s="437" t="n">
        <v>0.194</v>
      </c>
      <c r="AO65" s="437" t="n">
        <v>0.193</v>
      </c>
      <c r="AP65" s="395" t="n">
        <v>0.202</v>
      </c>
      <c r="AQ65" s="102" t="n">
        <v>0.21</v>
      </c>
      <c r="AR65" s="443" t="n">
        <v>0.174</v>
      </c>
      <c r="AS65" s="437" t="n">
        <v>0.191</v>
      </c>
      <c r="AT65" s="395" t="inlineStr"/>
      <c r="AU65" s="395" t="inlineStr"/>
      <c r="AV65" s="440" t="n">
        <v>0.168</v>
      </c>
      <c r="AW65" s="443" t="n">
        <v>0.16</v>
      </c>
      <c r="AX65" s="437" t="n">
        <v>0.168</v>
      </c>
      <c r="AY65" s="437" t="n">
        <v>0.197</v>
      </c>
      <c r="AZ65" s="437" t="n">
        <v>0.186</v>
      </c>
      <c r="BA65" s="440" t="n">
        <v>0.178</v>
      </c>
      <c r="BB65" s="401" t="inlineStr"/>
      <c r="BC65" s="395" t="inlineStr"/>
      <c r="BD65" s="395" t="inlineStr"/>
      <c r="BE65" s="101" t="n">
        <v>0.226</v>
      </c>
      <c r="BF65" s="440" t="n">
        <v>0.202</v>
      </c>
      <c r="BG65" s="443" t="n">
        <v>0.164</v>
      </c>
      <c r="BH65" s="437" t="n">
        <v>0.178</v>
      </c>
      <c r="BI65" s="437" t="n">
        <v>0.191</v>
      </c>
      <c r="BJ65" s="437" t="n">
        <v>0.196</v>
      </c>
      <c r="BK65" s="398" t="inlineStr"/>
      <c r="BL65" s="401" t="inlineStr"/>
      <c r="BM65" s="395" t="n">
        <v>0.215</v>
      </c>
      <c r="BN65" s="395" t="n">
        <v>0.227</v>
      </c>
      <c r="BO65" s="395" t="n">
        <v>0.212</v>
      </c>
      <c r="BP65" s="398" t="n">
        <v>0.228</v>
      </c>
      <c r="BQ65" s="401" t="n">
        <v>0.236</v>
      </c>
      <c r="BR65" s="395" t="n">
        <v>0.203</v>
      </c>
      <c r="BS65" s="395" t="inlineStr"/>
      <c r="BT65" s="398" t="inlineStr"/>
      <c r="BU65" s="455" t="n"/>
      <c r="BV65" s="455" t="n"/>
      <c r="BW65" s="238" t="n"/>
      <c r="BX65" s="238" t="n"/>
      <c r="BY65" s="238" t="n"/>
      <c r="BZ65" s="238" t="n"/>
      <c r="CA65" s="238" t="n"/>
      <c r="CB65" s="238" t="n"/>
      <c r="CC65" s="238" t="n"/>
      <c r="CD65" s="238" t="n"/>
      <c r="CE65" s="238" t="n"/>
      <c r="CF65" s="238" t="n"/>
      <c r="CG65" s="238" t="n"/>
      <c r="CH65" s="238" t="n"/>
      <c r="CI65" s="238" t="n"/>
      <c r="CJ65" s="238" t="n"/>
      <c r="CK65" s="238" t="n"/>
      <c r="CL65" s="238" t="n"/>
      <c r="CM65" s="238" t="n"/>
      <c r="CN65" s="238" t="n"/>
      <c r="CO65" s="238" t="n"/>
      <c r="CP65" s="238" t="n"/>
      <c r="CQ65" s="238" t="n"/>
      <c r="CR65" s="238" t="n"/>
      <c r="CS65" s="238" t="n"/>
      <c r="CT65" s="238" t="n"/>
      <c r="CU65" s="238" t="n"/>
      <c r="CV65" s="238" t="n"/>
      <c r="CW65" s="238" t="n"/>
      <c r="CX65" s="238" t="n"/>
      <c r="CY65" s="238" t="n"/>
      <c r="CZ65" s="238" t="n"/>
      <c r="DA65" s="238" t="n"/>
      <c r="DB65" s="238" t="n"/>
      <c r="DC65" s="238" t="n"/>
      <c r="DD65" s="238" t="n"/>
      <c r="DE65" s="238" t="n"/>
      <c r="DF65" s="238" t="n"/>
      <c r="DG65" s="238" t="n"/>
      <c r="DH65" s="238" t="n"/>
      <c r="DI65" s="238" t="n"/>
      <c r="DJ65" s="238" t="n"/>
      <c r="DK65" s="238" t="n"/>
      <c r="DL65" s="238" t="n"/>
      <c r="DM65" s="238" t="n"/>
      <c r="DN65" s="238" t="n"/>
      <c r="DO65" s="238" t="n"/>
      <c r="DP65" s="238" t="n"/>
      <c r="DQ65" s="238" t="n"/>
      <c r="DR65" s="238" t="n"/>
      <c r="DS65" s="238" t="n"/>
      <c r="DT65" s="238" t="n"/>
      <c r="DU65" s="238" t="n"/>
      <c r="DV65" s="238" t="n"/>
      <c r="DW65" s="238" t="n"/>
      <c r="DX65" s="238" t="n"/>
      <c r="DY65" s="238" t="n"/>
      <c r="DZ65" s="23" t="n"/>
      <c r="FQ65" s="212" t="n"/>
      <c r="FR65" s="212" t="n"/>
      <c r="FS65" s="212" t="n"/>
      <c r="FT65" s="212" t="n"/>
      <c r="FU65" s="212" t="n"/>
      <c r="FV65" s="212" t="n"/>
      <c r="FW65" s="212" t="n"/>
      <c r="FX65" s="212" t="n"/>
      <c r="FY65" s="212" t="n"/>
      <c r="FZ65" s="212" t="n"/>
    </row>
    <row r="66" ht="39.95" customFormat="1" customHeight="1" s="5">
      <c r="A66" s="456" t="n"/>
      <c r="B66" s="8" t="inlineStr">
        <is>
          <t>SECONDARIES</t>
        </is>
      </c>
      <c r="C66" s="12" t="inlineStr">
        <is>
          <t>R</t>
        </is>
      </c>
      <c r="D66" s="393" t="inlineStr"/>
      <c r="E66" s="438" t="n">
        <v>0.208</v>
      </c>
      <c r="F66" s="104" t="n">
        <v>0.23</v>
      </c>
      <c r="G66" s="438" t="n">
        <v>0.184</v>
      </c>
      <c r="H66" s="399" t="n">
        <v>0.19</v>
      </c>
      <c r="I66" s="444" t="n">
        <v>0.236</v>
      </c>
      <c r="J66" s="438" t="n">
        <v>0.248</v>
      </c>
      <c r="K66" s="396" t="inlineStr"/>
      <c r="L66" s="396" t="inlineStr"/>
      <c r="M66" s="399" t="inlineStr"/>
      <c r="N66" s="444" t="n">
        <v>0.222</v>
      </c>
      <c r="O66" s="438" t="n">
        <v>0.204</v>
      </c>
      <c r="P66" s="438" t="n">
        <v>0.179</v>
      </c>
      <c r="Q66" s="438" t="n">
        <v>0.216</v>
      </c>
      <c r="R66" s="441" t="n">
        <v>0.178</v>
      </c>
      <c r="S66" s="106" t="n">
        <v>0.214</v>
      </c>
      <c r="T66" s="396" t="inlineStr"/>
      <c r="U66" s="396" t="inlineStr"/>
      <c r="V66" s="104" t="n">
        <v>0.212</v>
      </c>
      <c r="W66" s="105" t="n">
        <v>0.208</v>
      </c>
      <c r="X66" s="444" t="n">
        <v>0.193</v>
      </c>
      <c r="Y66" s="438" t="n">
        <v>0.198</v>
      </c>
      <c r="Z66" s="438" t="n">
        <v>0.212</v>
      </c>
      <c r="AA66" s="438" t="n">
        <v>0.188</v>
      </c>
      <c r="AB66" s="399" t="inlineStr"/>
      <c r="AC66" s="402" t="inlineStr"/>
      <c r="AD66" s="396" t="inlineStr"/>
      <c r="AE66" s="396" t="inlineStr"/>
      <c r="AF66" s="396" t="inlineStr"/>
      <c r="AG66" s="399" t="inlineStr"/>
      <c r="AH66" s="402" t="inlineStr"/>
      <c r="AI66" s="438" t="n">
        <v>0.202</v>
      </c>
      <c r="AJ66" s="438" t="n">
        <v>0.156</v>
      </c>
      <c r="AK66" s="104" t="n">
        <v>0.219</v>
      </c>
      <c r="AL66" s="105" t="n">
        <v>0.209</v>
      </c>
      <c r="AM66" s="402" t="inlineStr"/>
      <c r="AN66" s="438" t="n">
        <v>0.195</v>
      </c>
      <c r="AO66" s="438" t="n">
        <v>0.175</v>
      </c>
      <c r="AP66" s="396" t="n">
        <v>0.196</v>
      </c>
      <c r="AQ66" s="441" t="n">
        <v>0.196</v>
      </c>
      <c r="AR66" s="444" t="n">
        <v>0.185</v>
      </c>
      <c r="AS66" s="104" t="n">
        <v>0.205</v>
      </c>
      <c r="AT66" s="396" t="inlineStr"/>
      <c r="AU66" s="396" t="inlineStr"/>
      <c r="AV66" s="441" t="n">
        <v>0.168</v>
      </c>
      <c r="AW66" s="444" t="n">
        <v>0.177</v>
      </c>
      <c r="AX66" s="438" t="n">
        <v>0.169</v>
      </c>
      <c r="AY66" s="438" t="n">
        <v>0.181</v>
      </c>
      <c r="AZ66" s="438" t="n">
        <v>0.193</v>
      </c>
      <c r="BA66" s="441" t="n">
        <v>0.194</v>
      </c>
      <c r="BB66" s="402" t="inlineStr"/>
      <c r="BC66" s="396" t="inlineStr"/>
      <c r="BD66" s="396" t="inlineStr"/>
      <c r="BE66" s="104" t="n">
        <v>0.213</v>
      </c>
      <c r="BF66" s="105" t="n">
        <v>0.216</v>
      </c>
      <c r="BG66" s="444" t="n">
        <v>0.152</v>
      </c>
      <c r="BH66" s="396" t="n">
        <v>0.206</v>
      </c>
      <c r="BI66" s="438" t="n">
        <v>0.201</v>
      </c>
      <c r="BJ66" s="438" t="n">
        <v>0.187</v>
      </c>
      <c r="BK66" s="399" t="inlineStr"/>
      <c r="BL66" s="402" t="inlineStr"/>
      <c r="BM66" s="396" t="n">
        <v>0.217</v>
      </c>
      <c r="BN66" s="396" t="n">
        <v>0.225</v>
      </c>
      <c r="BO66" s="396" t="n">
        <v>0.217</v>
      </c>
      <c r="BP66" s="399" t="n">
        <v>0.225</v>
      </c>
      <c r="BQ66" s="402" t="n">
        <v>0.232</v>
      </c>
      <c r="BR66" s="396" t="n">
        <v>0.225</v>
      </c>
      <c r="BS66" s="396" t="inlineStr"/>
      <c r="BT66" s="399" t="inlineStr"/>
      <c r="BU66" s="457" t="n"/>
      <c r="BV66" s="457" t="n"/>
      <c r="BW66" s="238" t="n"/>
      <c r="BX66" s="238" t="n"/>
      <c r="BY66" s="238" t="n"/>
      <c r="BZ66" s="238" t="n"/>
      <c r="CA66" s="238" t="n"/>
      <c r="CB66" s="238" t="n"/>
      <c r="CC66" s="238" t="n"/>
      <c r="CD66" s="238" t="n"/>
      <c r="CE66" s="238" t="n"/>
      <c r="CF66" s="238" t="n"/>
      <c r="CG66" s="238" t="n"/>
      <c r="CH66" s="238" t="n"/>
      <c r="CI66" s="238" t="n"/>
      <c r="CJ66" s="238" t="n"/>
      <c r="CK66" s="238" t="n"/>
      <c r="CL66" s="238" t="n"/>
      <c r="CM66" s="238" t="n"/>
      <c r="CN66" s="238" t="n"/>
      <c r="CO66" s="238" t="n"/>
      <c r="CP66" s="238" t="n"/>
      <c r="CQ66" s="238" t="n"/>
      <c r="CR66" s="238" t="n"/>
      <c r="CS66" s="238" t="n"/>
      <c r="CT66" s="238" t="n"/>
      <c r="CU66" s="238" t="n"/>
      <c r="CV66" s="238" t="n"/>
      <c r="CW66" s="238" t="n"/>
      <c r="CX66" s="238" t="n"/>
      <c r="CY66" s="238" t="n"/>
      <c r="CZ66" s="238" t="n"/>
      <c r="DA66" s="238" t="n"/>
      <c r="DB66" s="238" t="n"/>
      <c r="DC66" s="238" t="n"/>
      <c r="DD66" s="238" t="n"/>
      <c r="DE66" s="238" t="n"/>
      <c r="DF66" s="238" t="n"/>
      <c r="DG66" s="238" t="n"/>
      <c r="DH66" s="238" t="n"/>
      <c r="DI66" s="238" t="n"/>
      <c r="DJ66" s="238" t="n"/>
      <c r="DK66" s="238" t="n"/>
      <c r="DL66" s="238" t="n"/>
      <c r="DM66" s="238" t="n"/>
      <c r="DN66" s="238" t="n"/>
      <c r="DO66" s="238" t="n"/>
      <c r="DP66" s="238" t="n"/>
      <c r="DQ66" s="238" t="n"/>
      <c r="DR66" s="238" t="n"/>
      <c r="DS66" s="238" t="n"/>
      <c r="DT66" s="238" t="n"/>
      <c r="DU66" s="238" t="n"/>
      <c r="DV66" s="238" t="n"/>
      <c r="DW66" s="238" t="n"/>
      <c r="DX66" s="238" t="n"/>
      <c r="DY66" s="238" t="n"/>
      <c r="DZ66" s="23" t="n"/>
      <c r="FQ66" s="212" t="n"/>
      <c r="FR66" s="212" t="n"/>
      <c r="FS66" s="212" t="n"/>
      <c r="FT66" s="212" t="n"/>
      <c r="FU66" s="212" t="n"/>
      <c r="FV66" s="212" t="n"/>
      <c r="FW66" s="212" t="n"/>
      <c r="FX66" s="212" t="n"/>
      <c r="FY66" s="212" t="n"/>
      <c r="FZ66" s="212" t="n"/>
    </row>
    <row r="67" ht="39.95" customFormat="1" customHeight="1" s="5">
      <c r="A67" s="10" t="inlineStr">
        <is>
          <t>A</t>
        </is>
      </c>
      <c r="B67" s="6" t="inlineStr">
        <is>
          <t>POSITION 'B'</t>
        </is>
      </c>
      <c r="C67" s="11" t="inlineStr">
        <is>
          <t>L</t>
        </is>
      </c>
      <c r="D67" s="391" t="inlineStr"/>
      <c r="E67" s="99" t="n">
        <v>0.227</v>
      </c>
      <c r="F67" s="436" t="n">
        <v>0.198</v>
      </c>
      <c r="G67" s="436" t="n">
        <v>0.205</v>
      </c>
      <c r="H67" s="439" t="n">
        <v>0.211</v>
      </c>
      <c r="I67" s="442" t="n">
        <v>0.225</v>
      </c>
      <c r="J67" s="436" t="n">
        <v>0.234</v>
      </c>
      <c r="K67" s="394" t="inlineStr"/>
      <c r="L67" s="394" t="inlineStr"/>
      <c r="M67" s="397" t="inlineStr"/>
      <c r="N67" s="442" t="n">
        <v>0.252</v>
      </c>
      <c r="O67" s="436" t="n">
        <v>0.19</v>
      </c>
      <c r="P67" s="99" t="n">
        <v>0.228</v>
      </c>
      <c r="Q67" s="436" t="n">
        <v>0.21</v>
      </c>
      <c r="R67" s="439" t="n">
        <v>0.201</v>
      </c>
      <c r="S67" s="442" t="n">
        <v>0.184</v>
      </c>
      <c r="T67" s="394" t="inlineStr"/>
      <c r="U67" s="394" t="inlineStr"/>
      <c r="V67" s="436" t="n">
        <v>0.204</v>
      </c>
      <c r="W67" s="439" t="n">
        <v>0.198</v>
      </c>
      <c r="X67" s="442" t="n">
        <v>0.218</v>
      </c>
      <c r="Y67" s="394" t="n">
        <v>0.217</v>
      </c>
      <c r="Z67" s="99" t="n">
        <v>0.214</v>
      </c>
      <c r="AA67" s="436" t="n">
        <v>0.192</v>
      </c>
      <c r="AB67" s="397" t="inlineStr"/>
      <c r="AC67" s="400" t="inlineStr"/>
      <c r="AD67" s="394" t="inlineStr"/>
      <c r="AE67" s="394" t="inlineStr"/>
      <c r="AF67" s="394" t="inlineStr"/>
      <c r="AG67" s="397" t="inlineStr"/>
      <c r="AH67" s="400" t="inlineStr"/>
      <c r="AI67" s="436" t="n">
        <v>0.199</v>
      </c>
      <c r="AJ67" s="436" t="n">
        <v>0.196</v>
      </c>
      <c r="AK67" s="436" t="n">
        <v>0.21</v>
      </c>
      <c r="AL67" s="439" t="n">
        <v>0.176</v>
      </c>
      <c r="AM67" s="400" t="inlineStr"/>
      <c r="AN67" s="99" t="n">
        <v>0.199</v>
      </c>
      <c r="AO67" s="436" t="n">
        <v>0.189</v>
      </c>
      <c r="AP67" s="436" t="n">
        <v>0.198</v>
      </c>
      <c r="AQ67" s="439" t="n">
        <v>0.209</v>
      </c>
      <c r="AR67" s="400" t="n">
        <v>0.237</v>
      </c>
      <c r="AS67" s="99" t="n">
        <v>0.221</v>
      </c>
      <c r="AT67" s="394" t="inlineStr"/>
      <c r="AU67" s="394" t="inlineStr"/>
      <c r="AV67" s="439" t="n">
        <v>0.196</v>
      </c>
      <c r="AW67" s="442" t="n">
        <v>0.199</v>
      </c>
      <c r="AX67" s="436" t="n">
        <v>0.189</v>
      </c>
      <c r="AY67" s="436" t="n">
        <v>0.194</v>
      </c>
      <c r="AZ67" s="436" t="n">
        <v>0.171</v>
      </c>
      <c r="BA67" s="439" t="n">
        <v>0.195</v>
      </c>
      <c r="BB67" s="400" t="inlineStr"/>
      <c r="BC67" s="394" t="inlineStr"/>
      <c r="BD67" s="394" t="inlineStr"/>
      <c r="BE67" s="436" t="n">
        <v>0.178</v>
      </c>
      <c r="BF67" s="439" t="n">
        <v>0.192</v>
      </c>
      <c r="BG67" s="442" t="n">
        <v>0.195</v>
      </c>
      <c r="BH67" s="436" t="n">
        <v>0.216</v>
      </c>
      <c r="BI67" s="99" t="n">
        <v>0.225</v>
      </c>
      <c r="BJ67" s="436" t="n">
        <v>0.178</v>
      </c>
      <c r="BK67" s="397" t="inlineStr"/>
      <c r="BL67" s="400" t="inlineStr"/>
      <c r="BM67" s="394" t="n">
        <v>0.204</v>
      </c>
      <c r="BN67" s="394" t="n">
        <v>0.228</v>
      </c>
      <c r="BO67" s="394" t="n">
        <v>0.228</v>
      </c>
      <c r="BP67" s="397" t="n">
        <v>0.227</v>
      </c>
      <c r="BQ67" s="400" t="n">
        <v>0.221</v>
      </c>
      <c r="BR67" s="394" t="n">
        <v>0.21</v>
      </c>
      <c r="BS67" s="394" t="inlineStr"/>
      <c r="BT67" s="397" t="inlineStr"/>
      <c r="BU67" s="454">
        <f>IFERROR(AVERAGE(D67:BT69),0)</f>
        <v/>
      </c>
      <c r="BV67" s="454">
        <f>MIN(D67:BT69)</f>
        <v/>
      </c>
      <c r="BW67" s="238" t="n"/>
      <c r="BX67" s="238" t="n"/>
      <c r="BY67" s="238" t="n"/>
      <c r="BZ67" s="238" t="n"/>
      <c r="CA67" s="238" t="n"/>
      <c r="CB67" s="238" t="n"/>
      <c r="CC67" s="238" t="n"/>
      <c r="CD67" s="238" t="n"/>
      <c r="CE67" s="238" t="n"/>
      <c r="CF67" s="238" t="n"/>
      <c r="CG67" s="238" t="n"/>
      <c r="CH67" s="238" t="n"/>
      <c r="CI67" s="238" t="n"/>
      <c r="CJ67" s="238" t="n"/>
      <c r="CK67" s="238" t="n"/>
      <c r="CL67" s="238" t="n"/>
      <c r="CM67" s="238" t="n"/>
      <c r="CN67" s="238" t="n"/>
      <c r="CO67" s="238" t="n"/>
      <c r="CP67" s="238" t="n"/>
      <c r="CQ67" s="238" t="n"/>
      <c r="CR67" s="238" t="n"/>
      <c r="CS67" s="238" t="n"/>
      <c r="CT67" s="238" t="n"/>
      <c r="CU67" s="238" t="n"/>
      <c r="CV67" s="238" t="n"/>
      <c r="CW67" s="238" t="n"/>
      <c r="CX67" s="238" t="n"/>
      <c r="CY67" s="238" t="n"/>
      <c r="CZ67" s="238" t="n"/>
      <c r="DA67" s="238" t="n"/>
      <c r="DB67" s="238" t="n"/>
      <c r="DC67" s="238" t="n"/>
      <c r="DD67" s="238" t="n"/>
      <c r="DE67" s="238" t="n"/>
      <c r="DF67" s="238" t="n"/>
      <c r="DG67" s="238" t="n"/>
      <c r="DH67" s="238" t="n"/>
      <c r="DI67" s="238" t="n"/>
      <c r="DJ67" s="238" t="n"/>
      <c r="DK67" s="238" t="n"/>
      <c r="DL67" s="238" t="n"/>
      <c r="DM67" s="238" t="n"/>
      <c r="DN67" s="238" t="n"/>
      <c r="DO67" s="238" t="n"/>
      <c r="DP67" s="238" t="n"/>
      <c r="DQ67" s="238" t="n"/>
      <c r="DR67" s="238" t="n"/>
      <c r="DS67" s="238" t="n"/>
      <c r="DT67" s="238" t="n"/>
      <c r="DU67" s="238" t="n"/>
      <c r="DV67" s="238" t="n"/>
      <c r="DW67" s="238" t="n"/>
      <c r="DX67" s="238" t="n"/>
      <c r="DY67" s="238" t="n"/>
      <c r="DZ67" s="23" t="n"/>
      <c r="FQ67" s="212" t="n"/>
      <c r="FR67" s="212" t="n"/>
      <c r="FS67" s="212" t="n"/>
      <c r="FT67" s="212" t="n"/>
      <c r="FU67" s="212" t="n"/>
      <c r="FV67" s="212" t="n"/>
      <c r="FW67" s="212" t="n"/>
      <c r="FX67" s="212" t="n"/>
      <c r="FY67" s="212" t="n"/>
      <c r="FZ67" s="212" t="n"/>
    </row>
    <row r="68" ht="39.95" customFormat="1" customHeight="1" s="5">
      <c r="A68" s="182" t="n">
        <v>0.083</v>
      </c>
      <c r="B68" s="7" t="inlineStr">
        <is>
          <t xml:space="preserve">OF THE </t>
        </is>
      </c>
      <c r="C68" s="11" t="inlineStr">
        <is>
          <t>C</t>
        </is>
      </c>
      <c r="D68" s="392" t="inlineStr"/>
      <c r="E68" s="437" t="n">
        <v>0.191</v>
      </c>
      <c r="F68" s="437" t="n">
        <v>0.177</v>
      </c>
      <c r="G68" s="437" t="n">
        <v>0.206</v>
      </c>
      <c r="H68" s="440" t="n">
        <v>0.211</v>
      </c>
      <c r="I68" s="443" t="n">
        <v>0.209</v>
      </c>
      <c r="J68" s="437" t="n">
        <v>0.222</v>
      </c>
      <c r="K68" s="395" t="inlineStr"/>
      <c r="L68" s="395" t="inlineStr"/>
      <c r="M68" s="398" t="inlineStr"/>
      <c r="N68" s="443" t="n">
        <v>0.253</v>
      </c>
      <c r="O68" s="437" t="n">
        <v>0.202</v>
      </c>
      <c r="P68" s="437" t="n">
        <v>0.185</v>
      </c>
      <c r="Q68" s="437" t="n">
        <v>0.198</v>
      </c>
      <c r="R68" s="440" t="n">
        <v>0.186</v>
      </c>
      <c r="S68" s="443" t="n">
        <v>0.193</v>
      </c>
      <c r="T68" s="395" t="inlineStr"/>
      <c r="U68" s="395" t="inlineStr"/>
      <c r="V68" s="437" t="n">
        <v>0.188</v>
      </c>
      <c r="W68" s="440" t="n">
        <v>0.2</v>
      </c>
      <c r="X68" s="443" t="n">
        <v>0.221</v>
      </c>
      <c r="Y68" s="437" t="n">
        <v>0.206</v>
      </c>
      <c r="Z68" s="437" t="n">
        <v>0.202</v>
      </c>
      <c r="AA68" s="437" t="n">
        <v>0.187</v>
      </c>
      <c r="AB68" s="398" t="inlineStr"/>
      <c r="AC68" s="401" t="inlineStr"/>
      <c r="AD68" s="395" t="inlineStr"/>
      <c r="AE68" s="395" t="inlineStr"/>
      <c r="AF68" s="395" t="inlineStr"/>
      <c r="AG68" s="398" t="inlineStr"/>
      <c r="AH68" s="401" t="inlineStr"/>
      <c r="AI68" s="437" t="n">
        <v>0.181</v>
      </c>
      <c r="AJ68" s="437" t="n">
        <v>0.187</v>
      </c>
      <c r="AK68" s="101" t="n">
        <v>0.208</v>
      </c>
      <c r="AL68" s="440" t="n">
        <v>0.178</v>
      </c>
      <c r="AM68" s="401" t="inlineStr"/>
      <c r="AN68" s="101" t="n">
        <v>0.203</v>
      </c>
      <c r="AO68" s="437" t="n">
        <v>0.205</v>
      </c>
      <c r="AP68" s="437" t="n">
        <v>0.196</v>
      </c>
      <c r="AQ68" s="440" t="n">
        <v>0.219</v>
      </c>
      <c r="AR68" s="401" t="n">
        <v>0.235</v>
      </c>
      <c r="AS68" s="101" t="n">
        <v>0.218</v>
      </c>
      <c r="AT68" s="395" t="inlineStr"/>
      <c r="AU68" s="395" t="inlineStr"/>
      <c r="AV68" s="440" t="n">
        <v>0.184</v>
      </c>
      <c r="AW68" s="443" t="n">
        <v>0.163</v>
      </c>
      <c r="AX68" s="437" t="n">
        <v>0.193</v>
      </c>
      <c r="AY68" s="437" t="n">
        <v>0.183</v>
      </c>
      <c r="AZ68" s="437" t="n">
        <v>0.186</v>
      </c>
      <c r="BA68" s="440" t="n">
        <v>0.151</v>
      </c>
      <c r="BB68" s="401" t="inlineStr"/>
      <c r="BC68" s="395" t="inlineStr"/>
      <c r="BD68" s="395" t="inlineStr"/>
      <c r="BE68" s="101" t="n">
        <v>0.193</v>
      </c>
      <c r="BF68" s="440" t="n">
        <v>0.186</v>
      </c>
      <c r="BG68" s="443" t="n">
        <v>0.218</v>
      </c>
      <c r="BH68" s="437" t="n">
        <v>0.206</v>
      </c>
      <c r="BI68" s="437" t="n">
        <v>0.187</v>
      </c>
      <c r="BJ68" s="437" t="n">
        <v>0.184</v>
      </c>
      <c r="BK68" s="398" t="inlineStr"/>
      <c r="BL68" s="401" t="inlineStr"/>
      <c r="BM68" s="395" t="n">
        <v>0.201</v>
      </c>
      <c r="BN68" s="395" t="n">
        <v>0.217</v>
      </c>
      <c r="BO68" s="395" t="n">
        <v>0.234</v>
      </c>
      <c r="BP68" s="398" t="n">
        <v>0.226</v>
      </c>
      <c r="BQ68" s="401" t="n">
        <v>0.228</v>
      </c>
      <c r="BR68" s="395" t="n">
        <v>0.211</v>
      </c>
      <c r="BS68" s="395" t="inlineStr"/>
      <c r="BT68" s="398" t="inlineStr"/>
      <c r="BU68" s="455" t="n"/>
      <c r="BV68" s="455" t="n"/>
      <c r="BW68" s="238" t="n"/>
      <c r="BX68" s="238" t="n"/>
      <c r="BY68" s="238" t="n"/>
      <c r="BZ68" s="238" t="n"/>
      <c r="CA68" s="238" t="n"/>
      <c r="CB68" s="238" t="n"/>
      <c r="CC68" s="238" t="n"/>
      <c r="CD68" s="238" t="n"/>
      <c r="CE68" s="238" t="n"/>
      <c r="CF68" s="238" t="n"/>
      <c r="CG68" s="238" t="n"/>
      <c r="CH68" s="238" t="n"/>
      <c r="CI68" s="238" t="n"/>
      <c r="CJ68" s="238" t="n"/>
      <c r="CK68" s="238" t="n"/>
      <c r="CL68" s="238" t="n"/>
      <c r="CM68" s="238" t="n"/>
      <c r="CN68" s="238" t="n"/>
      <c r="CO68" s="238" t="n"/>
      <c r="CP68" s="238" t="n"/>
      <c r="CQ68" s="238" t="n"/>
      <c r="CR68" s="238" t="n"/>
      <c r="CS68" s="238" t="n"/>
      <c r="CT68" s="238" t="n"/>
      <c r="CU68" s="238" t="n"/>
      <c r="CV68" s="238" t="n"/>
      <c r="CW68" s="238" t="n"/>
      <c r="CX68" s="238" t="n"/>
      <c r="CY68" s="238" t="n"/>
      <c r="CZ68" s="238" t="n"/>
      <c r="DA68" s="238" t="n"/>
      <c r="DB68" s="238" t="n"/>
      <c r="DC68" s="238" t="n"/>
      <c r="DD68" s="238" t="n"/>
      <c r="DE68" s="238" t="n"/>
      <c r="DF68" s="238" t="n"/>
      <c r="DG68" s="238" t="n"/>
      <c r="DH68" s="238" t="n"/>
      <c r="DI68" s="238" t="n"/>
      <c r="DJ68" s="238" t="n"/>
      <c r="DK68" s="238" t="n"/>
      <c r="DL68" s="238" t="n"/>
      <c r="DM68" s="238" t="n"/>
      <c r="DN68" s="238" t="n"/>
      <c r="DO68" s="238" t="n"/>
      <c r="DP68" s="238" t="n"/>
      <c r="DQ68" s="238" t="n"/>
      <c r="DR68" s="238" t="n"/>
      <c r="DS68" s="238" t="n"/>
      <c r="DT68" s="238" t="n"/>
      <c r="DU68" s="238" t="n"/>
      <c r="DV68" s="238" t="n"/>
      <c r="DW68" s="238" t="n"/>
      <c r="DX68" s="238" t="n"/>
      <c r="DY68" s="238" t="n"/>
      <c r="DZ68" s="23" t="n"/>
      <c r="FQ68" s="212" t="n"/>
      <c r="FR68" s="212" t="n"/>
      <c r="FS68" s="212" t="n"/>
      <c r="FT68" s="212" t="n"/>
      <c r="FU68" s="212" t="n"/>
      <c r="FV68" s="212" t="n"/>
      <c r="FW68" s="212" t="n"/>
      <c r="FX68" s="212" t="n"/>
      <c r="FY68" s="212" t="n"/>
      <c r="FZ68" s="212" t="n"/>
    </row>
    <row r="69" ht="39.95" customFormat="1" customHeight="1" s="5">
      <c r="A69" s="456" t="n"/>
      <c r="B69" s="8" t="inlineStr">
        <is>
          <t>SECONDARIES</t>
        </is>
      </c>
      <c r="C69" s="12" t="inlineStr">
        <is>
          <t>R</t>
        </is>
      </c>
      <c r="D69" s="393" t="inlineStr"/>
      <c r="E69" s="438" t="n">
        <v>0.185</v>
      </c>
      <c r="F69" s="438" t="n">
        <v>0.179</v>
      </c>
      <c r="G69" s="438" t="n">
        <v>0.214</v>
      </c>
      <c r="H69" s="441" t="n">
        <v>0.219</v>
      </c>
      <c r="I69" s="444" t="n">
        <v>0.216</v>
      </c>
      <c r="J69" s="438" t="n">
        <v>0.243</v>
      </c>
      <c r="K69" s="396" t="inlineStr"/>
      <c r="L69" s="396" t="inlineStr"/>
      <c r="M69" s="399" t="inlineStr"/>
      <c r="N69" s="444" t="n">
        <v>0.242</v>
      </c>
      <c r="O69" s="438" t="n">
        <v>0.215</v>
      </c>
      <c r="P69" s="438" t="n">
        <v>0.184</v>
      </c>
      <c r="Q69" s="438" t="n">
        <v>0.189</v>
      </c>
      <c r="R69" s="441" t="n">
        <v>0.191</v>
      </c>
      <c r="S69" s="444" t="n">
        <v>0.208</v>
      </c>
      <c r="T69" s="396" t="inlineStr"/>
      <c r="U69" s="396" t="inlineStr"/>
      <c r="V69" s="104" t="n">
        <v>0.2</v>
      </c>
      <c r="W69" s="441" t="n">
        <v>0.196</v>
      </c>
      <c r="X69" s="444" t="n">
        <v>0.218</v>
      </c>
      <c r="Y69" s="438" t="n">
        <v>0.218</v>
      </c>
      <c r="Z69" s="438" t="n">
        <v>0.189</v>
      </c>
      <c r="AA69" s="438" t="n">
        <v>0.184</v>
      </c>
      <c r="AB69" s="399" t="inlineStr"/>
      <c r="AC69" s="402" t="inlineStr"/>
      <c r="AD69" s="396" t="inlineStr"/>
      <c r="AE69" s="396" t="inlineStr"/>
      <c r="AF69" s="396" t="inlineStr"/>
      <c r="AG69" s="399" t="inlineStr"/>
      <c r="AH69" s="402" t="inlineStr"/>
      <c r="AI69" s="438" t="n">
        <v>0.184</v>
      </c>
      <c r="AJ69" s="438" t="n">
        <v>0.21</v>
      </c>
      <c r="AK69" s="438" t="n">
        <v>0.195</v>
      </c>
      <c r="AL69" s="441" t="n">
        <v>0.191</v>
      </c>
      <c r="AM69" s="402" t="inlineStr"/>
      <c r="AN69" s="438" t="n">
        <v>0.188</v>
      </c>
      <c r="AO69" s="438" t="n">
        <v>0.197</v>
      </c>
      <c r="AP69" s="438" t="n">
        <v>0.205</v>
      </c>
      <c r="AQ69" s="441" t="n">
        <v>0.222</v>
      </c>
      <c r="AR69" s="402" t="n">
        <v>0.192</v>
      </c>
      <c r="AS69" s="104" t="n">
        <v>0.219</v>
      </c>
      <c r="AT69" s="396" t="inlineStr"/>
      <c r="AU69" s="396" t="inlineStr"/>
      <c r="AV69" s="105" t="n">
        <v>0.201</v>
      </c>
      <c r="AW69" s="444" t="n">
        <v>0.183</v>
      </c>
      <c r="AX69" s="438" t="n">
        <v>0.187</v>
      </c>
      <c r="AY69" s="438" t="n">
        <v>0.198</v>
      </c>
      <c r="AZ69" s="438" t="n">
        <v>0.187</v>
      </c>
      <c r="BA69" s="441" t="n">
        <v>0.187</v>
      </c>
      <c r="BB69" s="402" t="inlineStr"/>
      <c r="BC69" s="396" t="inlineStr"/>
      <c r="BD69" s="396" t="inlineStr"/>
      <c r="BE69" s="104" t="n">
        <v>0.196</v>
      </c>
      <c r="BF69" s="105" t="n">
        <v>0.212</v>
      </c>
      <c r="BG69" s="444" t="n">
        <v>0.211</v>
      </c>
      <c r="BH69" s="438" t="n">
        <v>0.208</v>
      </c>
      <c r="BI69" s="438" t="n">
        <v>0.19</v>
      </c>
      <c r="BJ69" s="438" t="n">
        <v>0.207</v>
      </c>
      <c r="BK69" s="399" t="inlineStr"/>
      <c r="BL69" s="402" t="inlineStr"/>
      <c r="BM69" s="396" t="n">
        <v>0.211</v>
      </c>
      <c r="BN69" s="396" t="n">
        <v>0.22</v>
      </c>
      <c r="BO69" s="396" t="n">
        <v>0.23</v>
      </c>
      <c r="BP69" s="399" t="n">
        <v>0.227</v>
      </c>
      <c r="BQ69" s="402" t="n">
        <v>0.222</v>
      </c>
      <c r="BR69" s="396" t="n">
        <v>0.205</v>
      </c>
      <c r="BS69" s="396" t="inlineStr"/>
      <c r="BT69" s="399" t="inlineStr"/>
      <c r="BU69" s="457" t="n"/>
      <c r="BV69" s="457" t="n"/>
      <c r="BW69" s="238" t="n"/>
      <c r="BX69" s="238" t="n"/>
      <c r="BY69" s="238" t="n"/>
      <c r="BZ69" s="238" t="n"/>
      <c r="CA69" s="238" t="n"/>
      <c r="CB69" s="238" t="n"/>
      <c r="CC69" s="238" t="n"/>
      <c r="CD69" s="238" t="n"/>
      <c r="CE69" s="238" t="n"/>
      <c r="CF69" s="238" t="n"/>
      <c r="CG69" s="238" t="n"/>
      <c r="CH69" s="238" t="n"/>
      <c r="CI69" s="238" t="n"/>
      <c r="CJ69" s="238" t="n"/>
      <c r="CK69" s="238" t="n"/>
      <c r="CL69" s="238" t="n"/>
      <c r="CM69" s="238" t="n"/>
      <c r="CN69" s="238" t="n"/>
      <c r="CO69" s="238" t="n"/>
      <c r="CP69" s="238" t="n"/>
      <c r="CQ69" s="238" t="n"/>
      <c r="CR69" s="238" t="n"/>
      <c r="CS69" s="238" t="n"/>
      <c r="CT69" s="238" t="n"/>
      <c r="CU69" s="238" t="n"/>
      <c r="CV69" s="238" t="n"/>
      <c r="CW69" s="238" t="n"/>
      <c r="CX69" s="238" t="n"/>
      <c r="CY69" s="238" t="n"/>
      <c r="CZ69" s="238" t="n"/>
      <c r="DA69" s="238" t="n"/>
      <c r="DB69" s="238" t="n"/>
      <c r="DC69" s="238" t="n"/>
      <c r="DD69" s="238" t="n"/>
      <c r="DE69" s="238" t="n"/>
      <c r="DF69" s="238" t="n"/>
      <c r="DG69" s="238" t="n"/>
      <c r="DH69" s="238" t="n"/>
      <c r="DI69" s="238" t="n"/>
      <c r="DJ69" s="238" t="n"/>
      <c r="DK69" s="238" t="n"/>
      <c r="DL69" s="238" t="n"/>
      <c r="DM69" s="238" t="n"/>
      <c r="DN69" s="238" t="n"/>
      <c r="DO69" s="238" t="n"/>
      <c r="DP69" s="238" t="n"/>
      <c r="DQ69" s="238" t="n"/>
      <c r="DR69" s="238" t="n"/>
      <c r="DS69" s="238" t="n"/>
      <c r="DT69" s="238" t="n"/>
      <c r="DU69" s="238" t="n"/>
      <c r="DV69" s="238" t="n"/>
      <c r="DW69" s="238" t="n"/>
      <c r="DX69" s="238" t="n"/>
      <c r="DY69" s="238" t="n"/>
      <c r="DZ69" s="23" t="n"/>
      <c r="FQ69" s="212" t="n"/>
      <c r="FR69" s="212" t="n"/>
      <c r="FS69" s="212" t="n"/>
      <c r="FT69" s="212" t="n"/>
      <c r="FU69" s="212" t="n"/>
      <c r="FV69" s="212" t="n"/>
      <c r="FW69" s="212" t="n"/>
      <c r="FX69" s="212" t="n"/>
      <c r="FY69" s="212" t="n"/>
      <c r="FZ69" s="212" t="n"/>
    </row>
    <row r="70" ht="39.95" customFormat="1" customHeight="1" s="5">
      <c r="A70" s="10" t="inlineStr">
        <is>
          <t>A</t>
        </is>
      </c>
      <c r="B70" s="6" t="n"/>
      <c r="C70" s="11" t="inlineStr">
        <is>
          <t>L</t>
        </is>
      </c>
      <c r="D70" s="108" t="n">
        <v>0.212</v>
      </c>
      <c r="E70" s="436" t="n">
        <v>0.221</v>
      </c>
      <c r="F70" s="436" t="n">
        <v>0.189</v>
      </c>
      <c r="G70" s="436" t="n">
        <v>0.204</v>
      </c>
      <c r="H70" s="439" t="n">
        <v>0.149</v>
      </c>
      <c r="I70" s="98" t="n">
        <v>0.26</v>
      </c>
      <c r="J70" s="99" t="n">
        <v>0.269</v>
      </c>
      <c r="K70" s="394" t="n">
        <v>0.266</v>
      </c>
      <c r="L70" s="99" t="n">
        <v>0.284</v>
      </c>
      <c r="M70" s="100" t="n">
        <v>0.279</v>
      </c>
      <c r="N70" s="98" t="n">
        <v>0.263</v>
      </c>
      <c r="O70" s="99" t="n">
        <v>0.226</v>
      </c>
      <c r="P70" s="436" t="n">
        <v>0.203</v>
      </c>
      <c r="Q70" s="99" t="n">
        <v>0.238</v>
      </c>
      <c r="R70" s="100" t="n">
        <v>0.218</v>
      </c>
      <c r="S70" s="442" t="n">
        <v>0.207</v>
      </c>
      <c r="T70" s="99" t="n">
        <v>0.21</v>
      </c>
      <c r="U70" s="99" t="n">
        <v>0.224</v>
      </c>
      <c r="V70" s="99" t="n">
        <v>0.217</v>
      </c>
      <c r="W70" s="100" t="n">
        <v>0.215</v>
      </c>
      <c r="X70" s="442" t="n">
        <v>0.207</v>
      </c>
      <c r="Y70" s="436" t="n">
        <v>0.187</v>
      </c>
      <c r="Z70" s="99" t="n">
        <v>0.213</v>
      </c>
      <c r="AA70" s="99" t="n">
        <v>0.212</v>
      </c>
      <c r="AB70" s="100" t="n">
        <v>0.224</v>
      </c>
      <c r="AC70" s="98" t="n">
        <v>0.207</v>
      </c>
      <c r="AD70" s="436" t="n">
        <v>0.209</v>
      </c>
      <c r="AE70" s="436" t="n">
        <v>0.205</v>
      </c>
      <c r="AF70" s="436" t="n">
        <v>0.206</v>
      </c>
      <c r="AG70" s="100" t="n">
        <v>0.236</v>
      </c>
      <c r="AH70" s="98" t="n">
        <v>0.207</v>
      </c>
      <c r="AI70" s="99" t="n">
        <v>0.215</v>
      </c>
      <c r="AJ70" s="99" t="n">
        <v>0.225</v>
      </c>
      <c r="AK70" s="99" t="n">
        <v>0.219</v>
      </c>
      <c r="AL70" s="100" t="n">
        <v>0.211</v>
      </c>
      <c r="AM70" s="98" t="n">
        <v>0.204</v>
      </c>
      <c r="AN70" s="436" t="n">
        <v>0.183</v>
      </c>
      <c r="AO70" s="436" t="n">
        <v>0.177</v>
      </c>
      <c r="AP70" s="436" t="n">
        <v>0.17</v>
      </c>
      <c r="AQ70" s="439" t="n">
        <v>0.175</v>
      </c>
      <c r="AR70" s="442" t="n">
        <v>0.18</v>
      </c>
      <c r="AS70" s="436" t="n">
        <v>0.183</v>
      </c>
      <c r="AT70" s="99" t="n">
        <v>0.214</v>
      </c>
      <c r="AU70" s="436" t="n">
        <v>0.179</v>
      </c>
      <c r="AV70" s="439" t="n">
        <v>0.197</v>
      </c>
      <c r="AW70" s="442" t="n">
        <v>0.196</v>
      </c>
      <c r="AX70" s="99" t="n">
        <v>0.2</v>
      </c>
      <c r="AY70" s="99" t="n">
        <v>0.228</v>
      </c>
      <c r="AZ70" s="99" t="n">
        <v>0.219</v>
      </c>
      <c r="BA70" s="439" t="n">
        <v>0.202</v>
      </c>
      <c r="BB70" s="442" t="n">
        <v>0.194</v>
      </c>
      <c r="BC70" s="436" t="n">
        <v>0.206</v>
      </c>
      <c r="BD70" s="436" t="n">
        <v>0.178</v>
      </c>
      <c r="BE70" s="99" t="n">
        <v>0.206</v>
      </c>
      <c r="BF70" s="439" t="n">
        <v>0.19</v>
      </c>
      <c r="BG70" s="442" t="n">
        <v>0.144</v>
      </c>
      <c r="BH70" s="436" t="n">
        <v>0.203</v>
      </c>
      <c r="BI70" s="436" t="n">
        <v>0.203</v>
      </c>
      <c r="BJ70" s="436" t="n">
        <v>0.21</v>
      </c>
      <c r="BK70" s="100" t="n">
        <v>0.213</v>
      </c>
      <c r="BL70" s="442" t="n">
        <v>0.203</v>
      </c>
      <c r="BM70" s="99" t="n">
        <v>0.216</v>
      </c>
      <c r="BN70" s="436" t="n">
        <v>0.194</v>
      </c>
      <c r="BO70" s="394" t="n">
        <v>0.213</v>
      </c>
      <c r="BP70" s="439" t="n">
        <v>0.208</v>
      </c>
      <c r="BQ70" s="98" t="n">
        <v>0.222</v>
      </c>
      <c r="BR70" s="99" t="n">
        <v>0.223</v>
      </c>
      <c r="BS70" s="394" t="n">
        <v>0.186</v>
      </c>
      <c r="BT70" s="397" t="inlineStr">
        <is>
          <t>RF</t>
        </is>
      </c>
      <c r="BU70" s="454">
        <f>IFERROR(AVERAGE(D70:BT72),0)</f>
        <v/>
      </c>
      <c r="BV70" s="454">
        <f>MIN(D70:BT72)</f>
        <v/>
      </c>
      <c r="BW70" s="238" t="n"/>
      <c r="BX70" s="238" t="n"/>
      <c r="BY70" s="238" t="n"/>
      <c r="BZ70" s="238" t="n"/>
      <c r="CA70" s="238" t="n"/>
      <c r="CB70" s="238" t="n"/>
      <c r="CC70" s="238" t="n"/>
      <c r="CD70" s="238" t="n"/>
      <c r="CE70" s="238" t="n"/>
      <c r="CF70" s="238" t="n"/>
      <c r="CG70" s="238" t="n"/>
      <c r="CH70" s="238" t="n"/>
      <c r="CI70" s="238" t="n"/>
      <c r="CJ70" s="238" t="n"/>
      <c r="CK70" s="238" t="n"/>
      <c r="CL70" s="238" t="n"/>
      <c r="CM70" s="238" t="n"/>
      <c r="CN70" s="238" t="n"/>
      <c r="CO70" s="238" t="n"/>
      <c r="CP70" s="238" t="n"/>
      <c r="CQ70" s="238" t="n"/>
      <c r="CR70" s="238" t="n"/>
      <c r="CS70" s="238" t="n"/>
      <c r="CT70" s="238" t="n"/>
      <c r="CU70" s="238" t="n"/>
      <c r="CV70" s="238" t="n"/>
      <c r="CW70" s="238" t="n"/>
      <c r="CX70" s="238" t="n"/>
      <c r="CY70" s="238" t="n"/>
      <c r="CZ70" s="238" t="n"/>
      <c r="DA70" s="238" t="n"/>
      <c r="DB70" s="238" t="n"/>
      <c r="DC70" s="238" t="n"/>
      <c r="DD70" s="238" t="n"/>
      <c r="DE70" s="238" t="n"/>
      <c r="DF70" s="238" t="n"/>
      <c r="DG70" s="238" t="n"/>
      <c r="DH70" s="238" t="n"/>
      <c r="DI70" s="238" t="n"/>
      <c r="DJ70" s="238" t="n"/>
      <c r="DK70" s="238" t="n"/>
      <c r="DL70" s="238" t="n"/>
      <c r="DM70" s="238" t="n"/>
      <c r="DN70" s="238" t="n"/>
      <c r="DO70" s="238" t="n"/>
      <c r="DP70" s="238" t="n"/>
      <c r="DQ70" s="238" t="n"/>
      <c r="DR70" s="238" t="n"/>
      <c r="DS70" s="238" t="n"/>
      <c r="DT70" s="238" t="n"/>
      <c r="DU70" s="238" t="n"/>
      <c r="DV70" s="238" t="n"/>
      <c r="DW70" s="238" t="n"/>
      <c r="DX70" s="238" t="n"/>
      <c r="DY70" s="238" t="n"/>
      <c r="DZ70" s="23" t="n"/>
      <c r="FQ70" s="212" t="n"/>
      <c r="FR70" s="212" t="n"/>
      <c r="FS70" s="212" t="n"/>
      <c r="FT70" s="212" t="n"/>
      <c r="FU70" s="212" t="n"/>
      <c r="FV70" s="212" t="n"/>
      <c r="FW70" s="212" t="n"/>
      <c r="FX70" s="212" t="n"/>
      <c r="FY70" s="212" t="n"/>
      <c r="FZ70" s="212" t="n"/>
    </row>
    <row r="71" ht="39.95" customFormat="1" customHeight="1" s="5">
      <c r="A71" s="182" t="n">
        <v>0.083</v>
      </c>
      <c r="B71" s="7" t="inlineStr">
        <is>
          <t>-9 IN</t>
        </is>
      </c>
      <c r="C71" s="11" t="inlineStr">
        <is>
          <t>C</t>
        </is>
      </c>
      <c r="D71" s="434" t="n">
        <v>0.206</v>
      </c>
      <c r="E71" s="437" t="n">
        <v>0.216</v>
      </c>
      <c r="F71" s="395" t="n">
        <v>0.227</v>
      </c>
      <c r="G71" s="101" t="n">
        <v>0.213</v>
      </c>
      <c r="H71" s="398" t="n">
        <v>0.15</v>
      </c>
      <c r="I71" s="103" t="n">
        <v>0.261</v>
      </c>
      <c r="J71" s="101" t="n">
        <v>0.269</v>
      </c>
      <c r="K71" s="101" t="n">
        <v>0.276</v>
      </c>
      <c r="L71" s="101" t="n">
        <v>0.271</v>
      </c>
      <c r="M71" s="102" t="n">
        <v>0.266</v>
      </c>
      <c r="N71" s="103" t="n">
        <v>0.261</v>
      </c>
      <c r="O71" s="395" t="n">
        <v>0.254</v>
      </c>
      <c r="P71" s="101" t="n">
        <v>0.215</v>
      </c>
      <c r="Q71" s="101" t="n">
        <v>0.221</v>
      </c>
      <c r="R71" s="102" t="n">
        <v>0.232</v>
      </c>
      <c r="S71" s="401" t="n">
        <v>0.228</v>
      </c>
      <c r="T71" s="101" t="n">
        <v>0.208</v>
      </c>
      <c r="U71" s="101" t="n">
        <v>0.215</v>
      </c>
      <c r="V71" s="437" t="n">
        <v>0.195</v>
      </c>
      <c r="W71" s="440" t="n">
        <v>0.19</v>
      </c>
      <c r="X71" s="443" t="n">
        <v>0.193</v>
      </c>
      <c r="Y71" s="437" t="n">
        <v>0.188</v>
      </c>
      <c r="Z71" s="101" t="n">
        <v>0.208</v>
      </c>
      <c r="AA71" s="437" t="n">
        <v>0.207</v>
      </c>
      <c r="AB71" s="102" t="n">
        <v>0.223</v>
      </c>
      <c r="AC71" s="443" t="n">
        <v>0.207</v>
      </c>
      <c r="AD71" s="101" t="n">
        <v>0.206</v>
      </c>
      <c r="AE71" s="101" t="n">
        <v>0.21</v>
      </c>
      <c r="AF71" s="101" t="n">
        <v>0.23</v>
      </c>
      <c r="AG71" s="102" t="n">
        <v>0.21</v>
      </c>
      <c r="AH71" s="443" t="n">
        <v>0.201</v>
      </c>
      <c r="AI71" s="437" t="n">
        <v>0.182</v>
      </c>
      <c r="AJ71" s="437" t="n">
        <v>0.197</v>
      </c>
      <c r="AK71" s="437" t="n">
        <v>0.142</v>
      </c>
      <c r="AL71" s="102" t="n">
        <v>0.217</v>
      </c>
      <c r="AM71" s="103" t="n">
        <v>0.21</v>
      </c>
      <c r="AN71" s="101" t="n">
        <v>0.214</v>
      </c>
      <c r="AO71" s="437" t="n">
        <v>0.161</v>
      </c>
      <c r="AP71" s="101" t="n">
        <v>0.248</v>
      </c>
      <c r="AQ71" s="440" t="n">
        <v>0.181</v>
      </c>
      <c r="AR71" s="103" t="n">
        <v>0.206</v>
      </c>
      <c r="AS71" s="395" t="n">
        <v>0.183</v>
      </c>
      <c r="AT71" s="437" t="n">
        <v>0.193</v>
      </c>
      <c r="AU71" s="437" t="n">
        <v>0.172</v>
      </c>
      <c r="AV71" s="102" t="n">
        <v>0.202</v>
      </c>
      <c r="AW71" s="443" t="n">
        <v>0.186</v>
      </c>
      <c r="AX71" s="437" t="n">
        <v>0.205</v>
      </c>
      <c r="AY71" s="437" t="n">
        <v>0.202</v>
      </c>
      <c r="AZ71" s="437" t="n">
        <v>0.211</v>
      </c>
      <c r="BA71" s="440" t="n">
        <v>0.188</v>
      </c>
      <c r="BB71" s="103" t="n">
        <v>0.207</v>
      </c>
      <c r="BC71" s="101" t="n">
        <v>0.202</v>
      </c>
      <c r="BD71" s="437" t="n">
        <v>0.198</v>
      </c>
      <c r="BE71" s="437" t="n">
        <v>0.168</v>
      </c>
      <c r="BF71" s="440" t="n">
        <v>0.189</v>
      </c>
      <c r="BG71" s="443" t="n">
        <v>0.197</v>
      </c>
      <c r="BH71" s="437" t="n">
        <v>0.174</v>
      </c>
      <c r="BI71" s="101" t="n">
        <v>0.215</v>
      </c>
      <c r="BJ71" s="437" t="n">
        <v>0.2</v>
      </c>
      <c r="BK71" s="102" t="n">
        <v>0.222</v>
      </c>
      <c r="BL71" s="103" t="n">
        <v>0.215</v>
      </c>
      <c r="BM71" s="101" t="n">
        <v>0.221</v>
      </c>
      <c r="BN71" s="437" t="n">
        <v>0.214</v>
      </c>
      <c r="BO71" s="395" t="n">
        <v>0.208</v>
      </c>
      <c r="BP71" s="440" t="n">
        <v>0.172</v>
      </c>
      <c r="BQ71" s="443" t="n">
        <v>0.215</v>
      </c>
      <c r="BR71" s="101" t="n">
        <v>0.223</v>
      </c>
      <c r="BS71" s="395" t="n">
        <v>0.18</v>
      </c>
      <c r="BT71" s="398" t="n">
        <v>0.222</v>
      </c>
      <c r="BU71" s="455" t="n"/>
      <c r="BV71" s="455" t="n"/>
      <c r="BW71" s="238" t="n"/>
      <c r="BX71" s="238" t="n"/>
      <c r="BY71" s="238" t="n"/>
      <c r="BZ71" s="238" t="n"/>
      <c r="CA71" s="238" t="n"/>
      <c r="CB71" s="238" t="n"/>
      <c r="CC71" s="238" t="n"/>
      <c r="CD71" s="238" t="n"/>
      <c r="CE71" s="238" t="n"/>
      <c r="CF71" s="238" t="n"/>
      <c r="CG71" s="238" t="n"/>
      <c r="CH71" s="238" t="n"/>
      <c r="CI71" s="238" t="n"/>
      <c r="CJ71" s="238" t="n"/>
      <c r="CK71" s="238" t="n"/>
      <c r="CL71" s="238" t="n"/>
      <c r="CM71" s="238" t="n"/>
      <c r="CN71" s="238" t="n"/>
      <c r="CO71" s="238" t="n"/>
      <c r="CP71" s="238" t="n"/>
      <c r="CQ71" s="238" t="n"/>
      <c r="CR71" s="238" t="n"/>
      <c r="CS71" s="238" t="n"/>
      <c r="CT71" s="238" t="n"/>
      <c r="CU71" s="238" t="n"/>
      <c r="CV71" s="238" t="n"/>
      <c r="CW71" s="238" t="n"/>
      <c r="CX71" s="238" t="n"/>
      <c r="CY71" s="238" t="n"/>
      <c r="CZ71" s="238" t="n"/>
      <c r="DA71" s="238" t="n"/>
      <c r="DB71" s="238" t="n"/>
      <c r="DC71" s="238" t="n"/>
      <c r="DD71" s="238" t="n"/>
      <c r="DE71" s="238" t="n"/>
      <c r="DF71" s="238" t="n"/>
      <c r="DG71" s="238" t="n"/>
      <c r="DH71" s="238" t="n"/>
      <c r="DI71" s="238" t="n"/>
      <c r="DJ71" s="238" t="n"/>
      <c r="DK71" s="238" t="n"/>
      <c r="DL71" s="238" t="n"/>
      <c r="DM71" s="238" t="n"/>
      <c r="DN71" s="238" t="n"/>
      <c r="DO71" s="238" t="n"/>
      <c r="DP71" s="238" t="n"/>
      <c r="DQ71" s="238" t="n"/>
      <c r="DR71" s="238" t="n"/>
      <c r="DS71" s="238" t="n"/>
      <c r="DT71" s="238" t="n"/>
      <c r="DU71" s="238" t="n"/>
      <c r="DV71" s="238" t="n"/>
      <c r="DW71" s="238" t="n"/>
      <c r="DX71" s="238" t="n"/>
      <c r="DY71" s="238" t="n"/>
      <c r="DZ71" s="23" t="n"/>
      <c r="FQ71" s="212" t="n"/>
      <c r="FR71" s="212" t="n"/>
      <c r="FS71" s="212" t="n"/>
      <c r="FT71" s="212" t="n"/>
      <c r="FU71" s="212" t="n"/>
      <c r="FV71" s="212" t="n"/>
      <c r="FW71" s="212" t="n"/>
      <c r="FX71" s="212" t="n"/>
      <c r="FY71" s="212" t="n"/>
      <c r="FZ71" s="212" t="n"/>
    </row>
    <row r="72" ht="39.95" customFormat="1" customHeight="1" s="5">
      <c r="A72" s="456" t="n"/>
      <c r="B72" s="8" t="n"/>
      <c r="C72" s="12" t="inlineStr">
        <is>
          <t>R</t>
        </is>
      </c>
      <c r="D72" s="435" t="n">
        <v>0.194</v>
      </c>
      <c r="E72" s="438" t="n">
        <v>0.213</v>
      </c>
      <c r="F72" s="396" t="n">
        <v>0.227</v>
      </c>
      <c r="G72" s="438" t="n">
        <v>0.19</v>
      </c>
      <c r="H72" s="399" t="n">
        <v>0.153</v>
      </c>
      <c r="I72" s="402" t="n">
        <v>0.262</v>
      </c>
      <c r="J72" s="104" t="n">
        <v>0.263</v>
      </c>
      <c r="K72" s="104" t="n">
        <v>0.275</v>
      </c>
      <c r="L72" s="438" t="n">
        <v>0.254</v>
      </c>
      <c r="M72" s="105" t="n">
        <v>0.267</v>
      </c>
      <c r="N72" s="444" t="n">
        <v>0.244</v>
      </c>
      <c r="O72" s="104" t="n">
        <v>0.218</v>
      </c>
      <c r="P72" s="438" t="n">
        <v>0.215</v>
      </c>
      <c r="Q72" s="396" t="n">
        <v>0.221</v>
      </c>
      <c r="R72" s="105" t="n">
        <v>0.219</v>
      </c>
      <c r="S72" s="106" t="n">
        <v>0.217</v>
      </c>
      <c r="T72" s="104" t="n">
        <v>0.219</v>
      </c>
      <c r="U72" s="104" t="n">
        <v>0.221</v>
      </c>
      <c r="V72" s="438" t="n">
        <v>0.193</v>
      </c>
      <c r="W72" s="441" t="n">
        <v>0.194</v>
      </c>
      <c r="X72" s="402" t="n">
        <v>0.189</v>
      </c>
      <c r="Y72" s="104" t="n">
        <v>0.239</v>
      </c>
      <c r="Z72" s="104" t="n">
        <v>0.211</v>
      </c>
      <c r="AA72" s="104" t="n">
        <v>0.213</v>
      </c>
      <c r="AB72" s="105" t="n">
        <v>0.221</v>
      </c>
      <c r="AC72" s="106" t="n">
        <v>0.215</v>
      </c>
      <c r="AD72" s="438" t="n">
        <v>0.209</v>
      </c>
      <c r="AE72" s="104" t="n">
        <v>0.211</v>
      </c>
      <c r="AF72" s="438" t="n">
        <v>0.204</v>
      </c>
      <c r="AG72" s="105" t="n">
        <v>0.227</v>
      </c>
      <c r="AH72" s="444" t="n">
        <v>0.198</v>
      </c>
      <c r="AI72" s="104" t="n">
        <v>0.197</v>
      </c>
      <c r="AJ72" s="104" t="n">
        <v>0.232</v>
      </c>
      <c r="AK72" s="396" t="n">
        <v>0.236</v>
      </c>
      <c r="AL72" s="105" t="n">
        <v>0.217</v>
      </c>
      <c r="AM72" s="106" t="n">
        <v>0.216</v>
      </c>
      <c r="AN72" s="438" t="n">
        <v>0.196</v>
      </c>
      <c r="AO72" s="104" t="n">
        <v>0.207</v>
      </c>
      <c r="AP72" s="438" t="n">
        <v>0.195</v>
      </c>
      <c r="AQ72" s="105" t="n">
        <v>0.227</v>
      </c>
      <c r="AR72" s="106" t="n">
        <v>0.204</v>
      </c>
      <c r="AS72" s="104" t="n">
        <v>0.224</v>
      </c>
      <c r="AT72" s="104" t="n">
        <v>0.217</v>
      </c>
      <c r="AU72" s="438" t="n">
        <v>0.189</v>
      </c>
      <c r="AV72" s="441" t="n">
        <v>0.194</v>
      </c>
      <c r="AW72" s="444" t="n">
        <v>0.191</v>
      </c>
      <c r="AX72" s="438" t="n">
        <v>0.205</v>
      </c>
      <c r="AY72" s="104" t="n">
        <v>0.204</v>
      </c>
      <c r="AZ72" s="104" t="n">
        <v>0.215</v>
      </c>
      <c r="BA72" s="105" t="n">
        <v>0.202</v>
      </c>
      <c r="BB72" s="444" t="n">
        <v>0.193</v>
      </c>
      <c r="BC72" s="104" t="n">
        <v>0.203</v>
      </c>
      <c r="BD72" s="438" t="n">
        <v>0.188</v>
      </c>
      <c r="BE72" s="438" t="n">
        <v>0.154</v>
      </c>
      <c r="BF72" s="441" t="n">
        <v>0.181</v>
      </c>
      <c r="BG72" s="444" t="n">
        <v>0.209</v>
      </c>
      <c r="BH72" s="438" t="n">
        <v>0.176</v>
      </c>
      <c r="BI72" s="104" t="n">
        <v>0.211</v>
      </c>
      <c r="BJ72" s="396" t="n">
        <v>0.211</v>
      </c>
      <c r="BK72" s="105" t="n">
        <v>0.223</v>
      </c>
      <c r="BL72" s="106" t="n">
        <v>0.218</v>
      </c>
      <c r="BM72" s="104" t="n">
        <v>0.221</v>
      </c>
      <c r="BN72" s="104" t="n">
        <v>0.233</v>
      </c>
      <c r="BO72" s="438" t="n">
        <v>0.171</v>
      </c>
      <c r="BP72" s="105" t="inlineStr">
        <is>
          <t>RF</t>
        </is>
      </c>
      <c r="BQ72" s="444" t="n">
        <v>0.221</v>
      </c>
      <c r="BR72" s="104" t="n">
        <v>0.219</v>
      </c>
      <c r="BS72" s="438" t="n">
        <v>0.146</v>
      </c>
      <c r="BT72" s="399" t="n">
        <v>0.223</v>
      </c>
      <c r="BU72" s="457" t="n"/>
      <c r="BV72" s="457" t="n"/>
      <c r="BW72" s="238" t="n"/>
      <c r="BX72" s="238" t="n"/>
      <c r="BY72" s="238" t="n"/>
      <c r="BZ72" s="238" t="n"/>
      <c r="CA72" s="238" t="n"/>
      <c r="CB72" s="238" t="n"/>
      <c r="CC72" s="238" t="n"/>
      <c r="CD72" s="238" t="n"/>
      <c r="CE72" s="238" t="n"/>
      <c r="CF72" s="238" t="n"/>
      <c r="CG72" s="238" t="n"/>
      <c r="CH72" s="238" t="n"/>
      <c r="CI72" s="238" t="n"/>
      <c r="CJ72" s="238" t="n"/>
      <c r="CK72" s="238" t="n"/>
      <c r="CL72" s="238" t="n"/>
      <c r="CM72" s="238" t="n"/>
      <c r="CN72" s="238" t="n"/>
      <c r="CO72" s="238" t="n"/>
      <c r="CP72" s="238" t="n"/>
      <c r="CQ72" s="238" t="n"/>
      <c r="CR72" s="238" t="n"/>
      <c r="CS72" s="238" t="n"/>
      <c r="CT72" s="238" t="n"/>
      <c r="CU72" s="238" t="n"/>
      <c r="CV72" s="238" t="n"/>
      <c r="CW72" s="238" t="n"/>
      <c r="CX72" s="238" t="n"/>
      <c r="CY72" s="238" t="n"/>
      <c r="CZ72" s="238" t="n"/>
      <c r="DA72" s="238" t="n"/>
      <c r="DB72" s="238" t="n"/>
      <c r="DC72" s="238" t="n"/>
      <c r="DD72" s="238" t="n"/>
      <c r="DE72" s="238" t="n"/>
      <c r="DF72" s="238" t="n"/>
      <c r="DG72" s="238" t="n"/>
      <c r="DH72" s="238" t="n"/>
      <c r="DI72" s="238" t="n"/>
      <c r="DJ72" s="238" t="n"/>
      <c r="DK72" s="238" t="n"/>
      <c r="DL72" s="238" t="n"/>
      <c r="DM72" s="238" t="n"/>
      <c r="DN72" s="238" t="n"/>
      <c r="DO72" s="238" t="n"/>
      <c r="DP72" s="238" t="n"/>
      <c r="DQ72" s="238" t="n"/>
      <c r="DR72" s="238" t="n"/>
      <c r="DS72" s="238" t="n"/>
      <c r="DT72" s="238" t="n"/>
      <c r="DU72" s="238" t="n"/>
      <c r="DV72" s="238" t="n"/>
      <c r="DW72" s="238" t="n"/>
      <c r="DX72" s="238" t="n"/>
      <c r="DY72" s="238" t="n"/>
      <c r="DZ72" s="23" t="n"/>
      <c r="FQ72" s="212" t="n"/>
      <c r="FR72" s="212" t="n"/>
      <c r="FS72" s="212" t="n"/>
      <c r="FT72" s="212" t="n"/>
      <c r="FU72" s="212" t="n"/>
      <c r="FV72" s="212" t="n"/>
      <c r="FW72" s="212" t="n"/>
      <c r="FX72" s="212" t="n"/>
      <c r="FY72" s="212" t="n"/>
      <c r="FZ72" s="212" t="n"/>
    </row>
    <row r="73" ht="39.95" customFormat="1" customHeight="1" s="5">
      <c r="A73" s="10" t="inlineStr">
        <is>
          <t>A</t>
        </is>
      </c>
      <c r="B73" s="6" t="inlineStr">
        <is>
          <t>POSITION 'C'</t>
        </is>
      </c>
      <c r="C73" s="11" t="inlineStr">
        <is>
          <t>L</t>
        </is>
      </c>
      <c r="D73" s="391" t="inlineStr"/>
      <c r="E73" s="99" t="n">
        <v>0.228</v>
      </c>
      <c r="F73" s="99" t="n">
        <v>0.228</v>
      </c>
      <c r="G73" s="99" t="n">
        <v>0.229</v>
      </c>
      <c r="H73" s="439" t="n">
        <v>0.178</v>
      </c>
      <c r="I73" s="442" t="n">
        <v>0.215</v>
      </c>
      <c r="J73" s="436" t="n">
        <v>0.247</v>
      </c>
      <c r="K73" s="394" t="inlineStr"/>
      <c r="L73" s="394" t="inlineStr"/>
      <c r="M73" s="397" t="inlineStr"/>
      <c r="N73" s="442" t="n">
        <v>0.244</v>
      </c>
      <c r="O73" s="394" t="n">
        <v>0.227</v>
      </c>
      <c r="P73" s="394" t="n">
        <v>0.214</v>
      </c>
      <c r="Q73" s="99" t="n">
        <v>0.242</v>
      </c>
      <c r="R73" s="439" t="n">
        <v>0.213</v>
      </c>
      <c r="S73" s="442" t="n">
        <v>0.21</v>
      </c>
      <c r="T73" s="394" t="inlineStr"/>
      <c r="U73" s="394" t="inlineStr"/>
      <c r="V73" s="99" t="n">
        <v>0.23</v>
      </c>
      <c r="W73" s="439" t="n">
        <v>0.203</v>
      </c>
      <c r="X73" s="442" t="n">
        <v>0.162</v>
      </c>
      <c r="Y73" s="436" t="n">
        <v>0.177</v>
      </c>
      <c r="Z73" s="436" t="n">
        <v>0.204</v>
      </c>
      <c r="AA73" s="436" t="n">
        <v>0.197</v>
      </c>
      <c r="AB73" s="397" t="inlineStr"/>
      <c r="AC73" s="400" t="inlineStr"/>
      <c r="AD73" s="394" t="inlineStr"/>
      <c r="AE73" s="394" t="inlineStr"/>
      <c r="AF73" s="394" t="inlineStr"/>
      <c r="AG73" s="397" t="inlineStr"/>
      <c r="AH73" s="400" t="inlineStr"/>
      <c r="AI73" s="436" t="n">
        <v>0.192</v>
      </c>
      <c r="AJ73" s="99" t="n">
        <v>0.209</v>
      </c>
      <c r="AK73" s="436" t="n">
        <v>0.2</v>
      </c>
      <c r="AL73" s="100" t="n">
        <v>0.214</v>
      </c>
      <c r="AM73" s="400" t="inlineStr"/>
      <c r="AN73" s="436" t="n">
        <v>0.193</v>
      </c>
      <c r="AO73" s="99" t="n">
        <v>0.201</v>
      </c>
      <c r="AP73" s="436" t="n">
        <v>0.176</v>
      </c>
      <c r="AQ73" s="439" t="n">
        <v>0.201</v>
      </c>
      <c r="AR73" s="442" t="n">
        <v>0.189</v>
      </c>
      <c r="AS73" s="99" t="n">
        <v>0.206</v>
      </c>
      <c r="AT73" s="394" t="inlineStr"/>
      <c r="AU73" s="394" t="inlineStr"/>
      <c r="AV73" s="439" t="n">
        <v>0.202</v>
      </c>
      <c r="AW73" s="442" t="n">
        <v>0.171</v>
      </c>
      <c r="AX73" s="436" t="n">
        <v>0.195</v>
      </c>
      <c r="AY73" s="436" t="n">
        <v>0.19</v>
      </c>
      <c r="AZ73" s="436" t="n">
        <v>0.173</v>
      </c>
      <c r="BA73" s="439" t="n">
        <v>0.198</v>
      </c>
      <c r="BB73" s="400" t="inlineStr"/>
      <c r="BC73" s="394" t="inlineStr"/>
      <c r="BD73" s="394" t="inlineStr"/>
      <c r="BE73" s="99" t="n">
        <v>0.18</v>
      </c>
      <c r="BF73" s="100" t="n">
        <v>0.2</v>
      </c>
      <c r="BG73" s="442" t="n">
        <v>0.174</v>
      </c>
      <c r="BH73" s="436" t="n">
        <v>0.209</v>
      </c>
      <c r="BI73" s="436" t="n">
        <v>0.21</v>
      </c>
      <c r="BJ73" s="436" t="n">
        <v>0.197</v>
      </c>
      <c r="BK73" s="397" t="inlineStr"/>
      <c r="BL73" s="400" t="inlineStr"/>
      <c r="BM73" s="394" t="n">
        <v>0.209</v>
      </c>
      <c r="BN73" s="394" t="n">
        <v>0.235</v>
      </c>
      <c r="BO73" s="394" t="n">
        <v>0.217</v>
      </c>
      <c r="BP73" s="397" t="n">
        <v>0.206</v>
      </c>
      <c r="BQ73" s="400" t="n">
        <v>0.218</v>
      </c>
      <c r="BR73" s="394" t="n">
        <v>0.222</v>
      </c>
      <c r="BS73" s="394" t="inlineStr"/>
      <c r="BT73" s="397" t="inlineStr"/>
      <c r="BU73" s="454">
        <f>IFERROR(AVERAGE(D73:BT75),0)</f>
        <v/>
      </c>
      <c r="BV73" s="454">
        <f>MIN(D73:BT75)</f>
        <v/>
      </c>
      <c r="BW73" s="238" t="n"/>
      <c r="BX73" s="238" t="n"/>
      <c r="BY73" s="238" t="n"/>
      <c r="BZ73" s="238" t="n"/>
      <c r="CA73" s="238" t="n"/>
      <c r="CB73" s="238" t="n"/>
      <c r="CC73" s="238" t="n"/>
      <c r="CD73" s="238" t="n"/>
      <c r="CE73" s="238" t="n"/>
      <c r="CF73" s="238" t="n"/>
      <c r="CG73" s="238" t="n"/>
      <c r="CH73" s="238" t="n"/>
      <c r="CI73" s="238" t="n"/>
      <c r="CJ73" s="238" t="n"/>
      <c r="CK73" s="238" t="n"/>
      <c r="CL73" s="238" t="n"/>
      <c r="CM73" s="238" t="n"/>
      <c r="CN73" s="238" t="n"/>
      <c r="CO73" s="238" t="n"/>
      <c r="CP73" s="238" t="n"/>
      <c r="CQ73" s="238" t="n"/>
      <c r="CR73" s="238" t="n"/>
      <c r="CS73" s="238" t="n"/>
      <c r="CT73" s="238" t="n"/>
      <c r="CU73" s="238" t="n"/>
      <c r="CV73" s="238" t="n"/>
      <c r="CW73" s="238" t="n"/>
      <c r="CX73" s="238" t="n"/>
      <c r="CY73" s="238" t="n"/>
      <c r="CZ73" s="238" t="n"/>
      <c r="DA73" s="238" t="n"/>
      <c r="DB73" s="238" t="n"/>
      <c r="DC73" s="238" t="n"/>
      <c r="DD73" s="238" t="n"/>
      <c r="DE73" s="238" t="n"/>
      <c r="DF73" s="238" t="n"/>
      <c r="DG73" s="238" t="n"/>
      <c r="DH73" s="238" t="n"/>
      <c r="DI73" s="238" t="n"/>
      <c r="DJ73" s="238" t="n"/>
      <c r="DK73" s="238" t="n"/>
      <c r="DL73" s="238" t="n"/>
      <c r="DM73" s="238" t="n"/>
      <c r="DN73" s="238" t="n"/>
      <c r="DO73" s="238" t="n"/>
      <c r="DP73" s="238" t="n"/>
      <c r="DQ73" s="238" t="n"/>
      <c r="DR73" s="238" t="n"/>
      <c r="DS73" s="238" t="n"/>
      <c r="DT73" s="238" t="n"/>
      <c r="DU73" s="238" t="n"/>
      <c r="DV73" s="238" t="n"/>
      <c r="DW73" s="238" t="n"/>
      <c r="DX73" s="238" t="n"/>
      <c r="DY73" s="238" t="n"/>
      <c r="DZ73" s="23" t="n"/>
      <c r="FQ73" s="212" t="n"/>
      <c r="FR73" s="212" t="n"/>
      <c r="FS73" s="212" t="n"/>
      <c r="FT73" s="212" t="n"/>
      <c r="FU73" s="212" t="n"/>
      <c r="FV73" s="212" t="n"/>
      <c r="FW73" s="212" t="n"/>
      <c r="FX73" s="212" t="n"/>
      <c r="FY73" s="212" t="n"/>
      <c r="FZ73" s="212" t="n"/>
    </row>
    <row r="74" ht="39.95" customFormat="1" customHeight="1" s="5">
      <c r="A74" s="182" t="n">
        <v>0.083</v>
      </c>
      <c r="B74" s="7" t="inlineStr">
        <is>
          <t xml:space="preserve">OF THE </t>
        </is>
      </c>
      <c r="C74" s="11" t="inlineStr">
        <is>
          <t>C</t>
        </is>
      </c>
      <c r="D74" s="392" t="inlineStr"/>
      <c r="E74" s="437" t="n">
        <v>0.189</v>
      </c>
      <c r="F74" s="101" t="n">
        <v>0.217</v>
      </c>
      <c r="G74" s="437" t="n">
        <v>0.204</v>
      </c>
      <c r="H74" s="440" t="n">
        <v>0.154</v>
      </c>
      <c r="I74" s="443" t="n">
        <v>0.214</v>
      </c>
      <c r="J74" s="437" t="n">
        <v>0.222</v>
      </c>
      <c r="K74" s="395" t="inlineStr"/>
      <c r="L74" s="395" t="inlineStr"/>
      <c r="M74" s="398" t="inlineStr"/>
      <c r="N74" s="443" t="n">
        <v>0.242</v>
      </c>
      <c r="O74" s="395" t="n">
        <v>0.207</v>
      </c>
      <c r="P74" s="437" t="n">
        <v>0.192</v>
      </c>
      <c r="Q74" s="437" t="n">
        <v>0.193</v>
      </c>
      <c r="R74" s="440" t="n">
        <v>0.21</v>
      </c>
      <c r="S74" s="443" t="n">
        <v>0.213</v>
      </c>
      <c r="T74" s="395" t="inlineStr"/>
      <c r="U74" s="395" t="inlineStr"/>
      <c r="V74" s="437" t="n">
        <v>0.203</v>
      </c>
      <c r="W74" s="440" t="n">
        <v>0.182</v>
      </c>
      <c r="X74" s="443" t="n">
        <v>0.183</v>
      </c>
      <c r="Y74" s="437" t="n">
        <v>0.182</v>
      </c>
      <c r="Z74" s="101" t="n">
        <v>0.21</v>
      </c>
      <c r="AA74" s="437" t="n">
        <v>0.196</v>
      </c>
      <c r="AB74" s="398" t="inlineStr"/>
      <c r="AC74" s="401" t="inlineStr"/>
      <c r="AD74" s="395" t="inlineStr"/>
      <c r="AE74" s="395" t="inlineStr"/>
      <c r="AF74" s="395" t="inlineStr"/>
      <c r="AG74" s="398" t="inlineStr"/>
      <c r="AH74" s="401" t="inlineStr"/>
      <c r="AI74" s="101" t="n">
        <v>0.217</v>
      </c>
      <c r="AJ74" s="437" t="n">
        <v>0.166</v>
      </c>
      <c r="AK74" s="437" t="n">
        <v>0.188</v>
      </c>
      <c r="AL74" s="102" t="n">
        <v>0.207</v>
      </c>
      <c r="AM74" s="401" t="inlineStr"/>
      <c r="AN74" s="101" t="n">
        <v>0.203</v>
      </c>
      <c r="AO74" s="437" t="n">
        <v>0.187</v>
      </c>
      <c r="AP74" s="437" t="n">
        <v>0.192</v>
      </c>
      <c r="AQ74" s="440" t="n">
        <v>0.14</v>
      </c>
      <c r="AR74" s="443" t="n">
        <v>0.186</v>
      </c>
      <c r="AS74" s="437" t="n">
        <v>0.182</v>
      </c>
      <c r="AT74" s="395" t="inlineStr"/>
      <c r="AU74" s="395" t="inlineStr"/>
      <c r="AV74" s="440" t="n">
        <v>0.171</v>
      </c>
      <c r="AW74" s="443" t="n">
        <v>0.17</v>
      </c>
      <c r="AX74" s="437" t="n">
        <v>0.153</v>
      </c>
      <c r="AY74" s="437" t="n">
        <v>0.185</v>
      </c>
      <c r="AZ74" s="437" t="n">
        <v>0.182</v>
      </c>
      <c r="BA74" s="440" t="n">
        <v>0.189</v>
      </c>
      <c r="BB74" s="401" t="inlineStr"/>
      <c r="BC74" s="395" t="inlineStr"/>
      <c r="BD74" s="395" t="inlineStr"/>
      <c r="BE74" s="101" t="n">
        <v>0.194</v>
      </c>
      <c r="BF74" s="102" t="n">
        <v>0.199</v>
      </c>
      <c r="BG74" s="443" t="n">
        <v>0.189</v>
      </c>
      <c r="BH74" s="437" t="n">
        <v>0.165</v>
      </c>
      <c r="BI74" s="437" t="n">
        <v>0.184</v>
      </c>
      <c r="BJ74" s="437" t="n">
        <v>0.18</v>
      </c>
      <c r="BK74" s="398" t="inlineStr"/>
      <c r="BL74" s="401" t="inlineStr"/>
      <c r="BM74" s="395" t="n">
        <v>0.21</v>
      </c>
      <c r="BN74" s="395" t="n">
        <v>0.229</v>
      </c>
      <c r="BO74" s="395" t="n">
        <v>0.201</v>
      </c>
      <c r="BP74" s="398" t="n">
        <v>0.198</v>
      </c>
      <c r="BQ74" s="401" t="n">
        <v>0.216</v>
      </c>
      <c r="BR74" s="395" t="n">
        <v>0.212</v>
      </c>
      <c r="BS74" s="395" t="inlineStr"/>
      <c r="BT74" s="398" t="inlineStr"/>
      <c r="BU74" s="455" t="n"/>
      <c r="BV74" s="455" t="n"/>
      <c r="BW74" s="238" t="n"/>
      <c r="BX74" s="238" t="n"/>
      <c r="BY74" s="238" t="n"/>
      <c r="BZ74" s="238" t="n"/>
      <c r="CA74" s="238" t="n"/>
      <c r="CB74" s="238" t="n"/>
      <c r="CC74" s="238" t="n"/>
      <c r="CD74" s="238" t="n"/>
      <c r="CE74" s="238" t="n"/>
      <c r="CF74" s="238" t="n"/>
      <c r="CG74" s="238" t="n"/>
      <c r="CH74" s="238" t="n"/>
      <c r="CI74" s="238" t="n"/>
      <c r="CJ74" s="238" t="n"/>
      <c r="CK74" s="238" t="n"/>
      <c r="CL74" s="238" t="n"/>
      <c r="CM74" s="238" t="n"/>
      <c r="CN74" s="238" t="n"/>
      <c r="CO74" s="238" t="n"/>
      <c r="CP74" s="238" t="n"/>
      <c r="CQ74" s="238" t="n"/>
      <c r="CR74" s="238" t="n"/>
      <c r="CS74" s="238" t="n"/>
      <c r="CT74" s="238" t="n"/>
      <c r="CU74" s="238" t="n"/>
      <c r="CV74" s="238" t="n"/>
      <c r="CW74" s="238" t="n"/>
      <c r="CX74" s="238" t="n"/>
      <c r="CY74" s="238" t="n"/>
      <c r="CZ74" s="238" t="n"/>
      <c r="DA74" s="238" t="n"/>
      <c r="DB74" s="238" t="n"/>
      <c r="DC74" s="238" t="n"/>
      <c r="DD74" s="238" t="n"/>
      <c r="DE74" s="238" t="n"/>
      <c r="DF74" s="238" t="n"/>
      <c r="DG74" s="238" t="n"/>
      <c r="DH74" s="238" t="n"/>
      <c r="DI74" s="238" t="n"/>
      <c r="DJ74" s="238" t="n"/>
      <c r="DK74" s="238" t="n"/>
      <c r="DL74" s="238" t="n"/>
      <c r="DM74" s="238" t="n"/>
      <c r="DN74" s="238" t="n"/>
      <c r="DO74" s="238" t="n"/>
      <c r="DP74" s="238" t="n"/>
      <c r="DQ74" s="238" t="n"/>
      <c r="DR74" s="238" t="n"/>
      <c r="DS74" s="238" t="n"/>
      <c r="DT74" s="238" t="n"/>
      <c r="DU74" s="238" t="n"/>
      <c r="DV74" s="238" t="n"/>
      <c r="DW74" s="238" t="n"/>
      <c r="DX74" s="238" t="n"/>
      <c r="DY74" s="238" t="n"/>
      <c r="DZ74" s="23" t="n"/>
      <c r="FQ74" s="212" t="n"/>
      <c r="FR74" s="212" t="n"/>
      <c r="FS74" s="212" t="n"/>
      <c r="FT74" s="212" t="n"/>
      <c r="FU74" s="212" t="n"/>
      <c r="FV74" s="212" t="n"/>
      <c r="FW74" s="212" t="n"/>
      <c r="FX74" s="212" t="n"/>
      <c r="FY74" s="212" t="n"/>
      <c r="FZ74" s="212" t="n"/>
    </row>
    <row r="75" ht="39.95" customFormat="1" customHeight="1" s="5">
      <c r="A75" s="456" t="n"/>
      <c r="B75" s="8" t="inlineStr">
        <is>
          <t>SECONDARIES</t>
        </is>
      </c>
      <c r="C75" s="12" t="inlineStr">
        <is>
          <t>R</t>
        </is>
      </c>
      <c r="D75" s="393" t="inlineStr"/>
      <c r="E75" s="396" t="n">
        <v>0.196</v>
      </c>
      <c r="F75" s="104" t="n">
        <v>0.212</v>
      </c>
      <c r="G75" s="438" t="n">
        <v>0.219</v>
      </c>
      <c r="H75" s="441" t="n">
        <v>0.172</v>
      </c>
      <c r="I75" s="444" t="n">
        <v>0.186</v>
      </c>
      <c r="J75" s="438" t="n">
        <v>0.242</v>
      </c>
      <c r="K75" s="396" t="inlineStr"/>
      <c r="L75" s="396" t="inlineStr"/>
      <c r="M75" s="399" t="inlineStr"/>
      <c r="N75" s="106" t="n">
        <v>0.265</v>
      </c>
      <c r="O75" s="438" t="n">
        <v>0.204</v>
      </c>
      <c r="P75" s="438" t="n">
        <v>0.181</v>
      </c>
      <c r="Q75" s="438" t="n">
        <v>0.172</v>
      </c>
      <c r="R75" s="441" t="n">
        <v>0.208</v>
      </c>
      <c r="S75" s="444" t="n">
        <v>0.215</v>
      </c>
      <c r="T75" s="396" t="inlineStr"/>
      <c r="U75" s="396" t="inlineStr"/>
      <c r="V75" s="104" t="n">
        <v>0.211</v>
      </c>
      <c r="W75" s="441" t="n">
        <v>0.171</v>
      </c>
      <c r="X75" s="444" t="n">
        <v>0.159</v>
      </c>
      <c r="Y75" s="438" t="n">
        <v>0.181</v>
      </c>
      <c r="Z75" s="438" t="n">
        <v>0.194</v>
      </c>
      <c r="AA75" s="438" t="n">
        <v>0.175</v>
      </c>
      <c r="AB75" s="399" t="inlineStr"/>
      <c r="AC75" s="402" t="inlineStr"/>
      <c r="AD75" s="396" t="inlineStr"/>
      <c r="AE75" s="396" t="inlineStr"/>
      <c r="AF75" s="396" t="inlineStr"/>
      <c r="AG75" s="399" t="inlineStr"/>
      <c r="AH75" s="402" t="inlineStr"/>
      <c r="AI75" s="438" t="n">
        <v>0.2</v>
      </c>
      <c r="AJ75" s="438" t="n">
        <v>0.193</v>
      </c>
      <c r="AK75" s="104" t="n">
        <v>0.209</v>
      </c>
      <c r="AL75" s="441" t="n">
        <v>0.193</v>
      </c>
      <c r="AM75" s="402" t="inlineStr"/>
      <c r="AN75" s="104" t="n">
        <v>0.205</v>
      </c>
      <c r="AO75" s="438" t="n">
        <v>0.183</v>
      </c>
      <c r="AP75" s="438" t="n">
        <v>0.19</v>
      </c>
      <c r="AQ75" s="441" t="n">
        <v>0.195</v>
      </c>
      <c r="AR75" s="444" t="n">
        <v>0.192</v>
      </c>
      <c r="AS75" s="104" t="n">
        <v>0.214</v>
      </c>
      <c r="AT75" s="396" t="inlineStr"/>
      <c r="AU75" s="396" t="inlineStr"/>
      <c r="AV75" s="441" t="n">
        <v>0.187</v>
      </c>
      <c r="AW75" s="444" t="n">
        <v>0.173</v>
      </c>
      <c r="AX75" s="438" t="n">
        <v>0.197</v>
      </c>
      <c r="AY75" s="438" t="n">
        <v>0.187</v>
      </c>
      <c r="AZ75" s="438" t="n">
        <v>0.173</v>
      </c>
      <c r="BA75" s="441" t="n">
        <v>0.197</v>
      </c>
      <c r="BB75" s="402" t="inlineStr"/>
      <c r="BC75" s="396" t="inlineStr"/>
      <c r="BD75" s="396" t="inlineStr"/>
      <c r="BE75" s="438" t="n">
        <v>0.159</v>
      </c>
      <c r="BF75" s="441" t="n">
        <v>0.143</v>
      </c>
      <c r="BG75" s="444" t="n">
        <v>0.159</v>
      </c>
      <c r="BH75" s="438" t="n">
        <v>0.134</v>
      </c>
      <c r="BI75" s="438" t="n">
        <v>0.204</v>
      </c>
      <c r="BJ75" s="438" t="n">
        <v>0.179</v>
      </c>
      <c r="BK75" s="399" t="inlineStr"/>
      <c r="BL75" s="402" t="inlineStr"/>
      <c r="BM75" s="396" t="n">
        <v>0.213</v>
      </c>
      <c r="BN75" s="396" t="n">
        <v>0.226</v>
      </c>
      <c r="BO75" s="396" t="n">
        <v>0.209</v>
      </c>
      <c r="BP75" s="399" t="n">
        <v>0.209</v>
      </c>
      <c r="BQ75" s="402" t="n">
        <v>0.219</v>
      </c>
      <c r="BR75" s="396" t="n">
        <v>0.218</v>
      </c>
      <c r="BS75" s="396" t="inlineStr"/>
      <c r="BT75" s="399" t="inlineStr"/>
      <c r="BU75" s="457" t="n"/>
      <c r="BV75" s="457" t="n"/>
      <c r="BW75" s="238" t="n"/>
      <c r="BX75" s="238" t="n"/>
      <c r="BY75" s="238" t="n"/>
      <c r="BZ75" s="238" t="n"/>
      <c r="CA75" s="238" t="n"/>
      <c r="CB75" s="238" t="n"/>
      <c r="CC75" s="238" t="n"/>
      <c r="CD75" s="238" t="n"/>
      <c r="CE75" s="238" t="n"/>
      <c r="CF75" s="238" t="n"/>
      <c r="CG75" s="238" t="n"/>
      <c r="CH75" s="238" t="n"/>
      <c r="CI75" s="238" t="n"/>
      <c r="CJ75" s="238" t="n"/>
      <c r="CK75" s="238" t="n"/>
      <c r="CL75" s="238" t="n"/>
      <c r="CM75" s="238" t="n"/>
      <c r="CN75" s="238" t="n"/>
      <c r="CO75" s="238" t="n"/>
      <c r="CP75" s="238" t="n"/>
      <c r="CQ75" s="238" t="n"/>
      <c r="CR75" s="238" t="n"/>
      <c r="CS75" s="238" t="n"/>
      <c r="CT75" s="238" t="n"/>
      <c r="CU75" s="238" t="n"/>
      <c r="CV75" s="238" t="n"/>
      <c r="CW75" s="238" t="n"/>
      <c r="CX75" s="238" t="n"/>
      <c r="CY75" s="238" t="n"/>
      <c r="CZ75" s="238" t="n"/>
      <c r="DA75" s="238" t="n"/>
      <c r="DB75" s="238" t="n"/>
      <c r="DC75" s="238" t="n"/>
      <c r="DD75" s="238" t="n"/>
      <c r="DE75" s="238" t="n"/>
      <c r="DF75" s="238" t="n"/>
      <c r="DG75" s="238" t="n"/>
      <c r="DH75" s="238" t="n"/>
      <c r="DI75" s="238" t="n"/>
      <c r="DJ75" s="238" t="n"/>
      <c r="DK75" s="238" t="n"/>
      <c r="DL75" s="238" t="n"/>
      <c r="DM75" s="238" t="n"/>
      <c r="DN75" s="238" t="n"/>
      <c r="DO75" s="238" t="n"/>
      <c r="DP75" s="238" t="n"/>
      <c r="DQ75" s="238" t="n"/>
      <c r="DR75" s="238" t="n"/>
      <c r="DS75" s="238" t="n"/>
      <c r="DT75" s="238" t="n"/>
      <c r="DU75" s="238" t="n"/>
      <c r="DV75" s="238" t="n"/>
      <c r="DW75" s="238" t="n"/>
      <c r="DX75" s="238" t="n"/>
      <c r="DY75" s="238" t="n"/>
      <c r="DZ75" s="23" t="n"/>
      <c r="FQ75" s="212" t="n"/>
      <c r="FR75" s="212" t="n"/>
      <c r="FS75" s="212" t="n"/>
      <c r="FT75" s="212" t="n"/>
      <c r="FU75" s="212" t="n"/>
      <c r="FV75" s="212" t="n"/>
      <c r="FW75" s="212" t="n"/>
      <c r="FX75" s="212" t="n"/>
      <c r="FY75" s="212" t="n"/>
      <c r="FZ75" s="212" t="n"/>
    </row>
    <row r="76" ht="39.95" customFormat="1" customHeight="1" s="5">
      <c r="A76" s="10" t="inlineStr">
        <is>
          <t>A</t>
        </is>
      </c>
      <c r="B76" s="6" t="n"/>
      <c r="C76" s="11" t="inlineStr">
        <is>
          <t>L</t>
        </is>
      </c>
      <c r="D76" s="433" t="n">
        <v>0.206</v>
      </c>
      <c r="E76" s="436" t="n">
        <v>0.199</v>
      </c>
      <c r="F76" s="99" t="n">
        <v>0.232</v>
      </c>
      <c r="G76" s="394" t="n">
        <v>0.228</v>
      </c>
      <c r="H76" s="100" t="n">
        <v>0.24</v>
      </c>
      <c r="I76" s="400" t="n">
        <v>0.303</v>
      </c>
      <c r="J76" s="99" t="n">
        <v>0.274</v>
      </c>
      <c r="K76" s="99" t="n">
        <v>0.276</v>
      </c>
      <c r="L76" s="436" t="n">
        <v>0.26</v>
      </c>
      <c r="M76" s="439" t="n">
        <v>0.249</v>
      </c>
      <c r="N76" s="442" t="n">
        <v>0.255</v>
      </c>
      <c r="O76" s="436" t="n">
        <v>0.22</v>
      </c>
      <c r="P76" s="99" t="n">
        <v>0.234</v>
      </c>
      <c r="Q76" s="99" t="n">
        <v>0.23</v>
      </c>
      <c r="R76" s="100" t="n">
        <v>0.231</v>
      </c>
      <c r="S76" s="400" t="n">
        <v>0.212</v>
      </c>
      <c r="T76" s="99" t="n">
        <v>0.225</v>
      </c>
      <c r="U76" s="99" t="n">
        <v>0.208</v>
      </c>
      <c r="V76" s="99" t="n">
        <v>0.211</v>
      </c>
      <c r="W76" s="100" t="n">
        <v>0.209</v>
      </c>
      <c r="X76" s="98" t="n">
        <v>0.214</v>
      </c>
      <c r="Y76" s="99" t="n">
        <v>0.218</v>
      </c>
      <c r="Z76" s="99" t="n">
        <v>0.206</v>
      </c>
      <c r="AA76" s="436" t="n">
        <v>0.214</v>
      </c>
      <c r="AB76" s="439" t="n">
        <v>0.214</v>
      </c>
      <c r="AC76" s="98" t="n">
        <v>0.21</v>
      </c>
      <c r="AD76" s="436" t="n">
        <v>0.206</v>
      </c>
      <c r="AE76" s="436" t="n">
        <v>0.212</v>
      </c>
      <c r="AF76" s="436" t="n">
        <v>0.212</v>
      </c>
      <c r="AG76" s="100" t="n">
        <v>0.214</v>
      </c>
      <c r="AH76" s="98" t="n">
        <v>0.207</v>
      </c>
      <c r="AI76" s="99" t="n">
        <v>0.229</v>
      </c>
      <c r="AJ76" s="99" t="n">
        <v>0.208</v>
      </c>
      <c r="AK76" s="436" t="n">
        <v>0.196</v>
      </c>
      <c r="AL76" s="439" t="n">
        <v>0.2</v>
      </c>
      <c r="AM76" s="442" t="n">
        <v>0.198</v>
      </c>
      <c r="AN76" s="99" t="n">
        <v>0.205</v>
      </c>
      <c r="AO76" s="99" t="n">
        <v>0.209</v>
      </c>
      <c r="AP76" s="436" t="n">
        <v>0.2</v>
      </c>
      <c r="AQ76" s="100" t="n">
        <v>0.205</v>
      </c>
      <c r="AR76" s="442" t="n">
        <v>0.201</v>
      </c>
      <c r="AS76" s="436" t="n">
        <v>0.194</v>
      </c>
      <c r="AT76" s="436" t="n">
        <v>0.186</v>
      </c>
      <c r="AU76" s="99" t="n">
        <v>0.206</v>
      </c>
      <c r="AV76" s="439" t="n">
        <v>0.199</v>
      </c>
      <c r="AW76" s="98" t="n">
        <v>0.209</v>
      </c>
      <c r="AX76" s="436" t="n">
        <v>0.192</v>
      </c>
      <c r="AY76" s="436" t="n">
        <v>0.205</v>
      </c>
      <c r="AZ76" s="99" t="n">
        <v>0.208</v>
      </c>
      <c r="BA76" s="100" t="n">
        <v>0.213</v>
      </c>
      <c r="BB76" s="98" t="n">
        <v>0.207</v>
      </c>
      <c r="BC76" s="99" t="n">
        <v>0.212</v>
      </c>
      <c r="BD76" s="436" t="n">
        <v>0.216</v>
      </c>
      <c r="BE76" s="99" t="n">
        <v>0.212</v>
      </c>
      <c r="BF76" s="397" t="n">
        <v>0.212</v>
      </c>
      <c r="BG76" s="400" t="n">
        <v>0.222</v>
      </c>
      <c r="BH76" s="99" t="n">
        <v>0.219</v>
      </c>
      <c r="BI76" s="99" t="n">
        <v>0.212</v>
      </c>
      <c r="BJ76" s="436" t="n">
        <v>0.193</v>
      </c>
      <c r="BK76" s="100" t="n">
        <v>0.219</v>
      </c>
      <c r="BL76" s="98" t="n">
        <v>0.223</v>
      </c>
      <c r="BM76" s="99" t="n">
        <v>0.213</v>
      </c>
      <c r="BN76" s="394" t="n">
        <v>0.177</v>
      </c>
      <c r="BO76" s="436" t="n">
        <v>0.206</v>
      </c>
      <c r="BP76" s="100" t="n">
        <v>0.21</v>
      </c>
      <c r="BQ76" s="442" t="n">
        <v>0.161</v>
      </c>
      <c r="BR76" s="436" t="n">
        <v>0.211</v>
      </c>
      <c r="BS76" s="436" t="n">
        <v>0.154</v>
      </c>
      <c r="BT76" s="397" t="n">
        <v>0.218</v>
      </c>
      <c r="BU76" s="454">
        <f>IFERROR(AVERAGE(D76:BT78),0)</f>
        <v/>
      </c>
      <c r="BV76" s="454">
        <f>MIN(D76:BT78)</f>
        <v/>
      </c>
      <c r="BW76" s="238" t="n"/>
      <c r="BX76" s="238" t="n"/>
      <c r="BY76" s="238" t="n"/>
      <c r="BZ76" s="238" t="n"/>
      <c r="CA76" s="238" t="n"/>
      <c r="CB76" s="238" t="n"/>
      <c r="CC76" s="238" t="n"/>
      <c r="CD76" s="238" t="n"/>
      <c r="CE76" s="238" t="n"/>
      <c r="CF76" s="238" t="n"/>
      <c r="CG76" s="238" t="n"/>
      <c r="CH76" s="238" t="n"/>
      <c r="CI76" s="238" t="n"/>
      <c r="CJ76" s="238" t="n"/>
      <c r="CK76" s="238" t="n"/>
      <c r="CL76" s="238" t="n"/>
      <c r="CM76" s="238" t="n"/>
      <c r="CN76" s="238" t="n"/>
      <c r="CO76" s="238" t="n"/>
      <c r="CP76" s="238" t="n"/>
      <c r="CQ76" s="238" t="n"/>
      <c r="CR76" s="238" t="n"/>
      <c r="CS76" s="238" t="n"/>
      <c r="CT76" s="238" t="n"/>
      <c r="CU76" s="238" t="n"/>
      <c r="CV76" s="238" t="n"/>
      <c r="CW76" s="238" t="n"/>
      <c r="CX76" s="238" t="n"/>
      <c r="CY76" s="238" t="n"/>
      <c r="CZ76" s="238" t="n"/>
      <c r="DA76" s="238" t="n"/>
      <c r="DB76" s="238" t="n"/>
      <c r="DC76" s="238" t="n"/>
      <c r="DD76" s="238" t="n"/>
      <c r="DE76" s="238" t="n"/>
      <c r="DF76" s="238" t="n"/>
      <c r="DG76" s="238" t="n"/>
      <c r="DH76" s="238" t="n"/>
      <c r="DI76" s="238" t="n"/>
      <c r="DJ76" s="238" t="n"/>
      <c r="DK76" s="238" t="n"/>
      <c r="DL76" s="238" t="n"/>
      <c r="DM76" s="238" t="n"/>
      <c r="DN76" s="238" t="n"/>
      <c r="DO76" s="238" t="n"/>
      <c r="DP76" s="238" t="n"/>
      <c r="DQ76" s="238" t="n"/>
      <c r="DR76" s="238" t="n"/>
      <c r="DS76" s="238" t="n"/>
      <c r="DT76" s="238" t="n"/>
      <c r="DU76" s="238" t="n"/>
      <c r="DV76" s="238" t="n"/>
      <c r="DW76" s="238" t="n"/>
      <c r="DX76" s="238" t="n"/>
      <c r="DY76" s="238" t="n"/>
      <c r="DZ76" s="23" t="n"/>
      <c r="FQ76" s="212" t="n"/>
      <c r="FR76" s="212" t="n"/>
      <c r="FS76" s="212" t="n"/>
      <c r="FT76" s="212" t="n"/>
      <c r="FU76" s="212" t="n"/>
      <c r="FV76" s="212" t="n"/>
      <c r="FW76" s="212" t="n"/>
      <c r="FX76" s="212" t="n"/>
      <c r="FY76" s="212" t="n"/>
      <c r="FZ76" s="212" t="n"/>
    </row>
    <row r="77" ht="39.95" customFormat="1" customHeight="1" s="5">
      <c r="A77" s="182" t="n">
        <v>0.083</v>
      </c>
      <c r="B77" s="7" t="inlineStr">
        <is>
          <t>-18 IN</t>
        </is>
      </c>
      <c r="C77" s="11" t="inlineStr">
        <is>
          <t>C</t>
        </is>
      </c>
      <c r="D77" s="434" t="n">
        <v>0.214</v>
      </c>
      <c r="E77" s="437" t="n">
        <v>0.219</v>
      </c>
      <c r="F77" s="437" t="n">
        <v>0.215</v>
      </c>
      <c r="G77" s="395" t="n">
        <v>0.244</v>
      </c>
      <c r="H77" s="398" t="n">
        <v>0.202</v>
      </c>
      <c r="I77" s="401" t="n">
        <v>0.294</v>
      </c>
      <c r="J77" s="395" t="n">
        <v>0.291</v>
      </c>
      <c r="K77" s="395" t="n">
        <v>0.298</v>
      </c>
      <c r="L77" s="101" t="n">
        <v>0.278</v>
      </c>
      <c r="M77" s="440" t="n">
        <v>0.256</v>
      </c>
      <c r="N77" s="443" t="n">
        <v>0.255</v>
      </c>
      <c r="O77" s="437" t="n">
        <v>0.21</v>
      </c>
      <c r="P77" s="101" t="n">
        <v>0.234</v>
      </c>
      <c r="Q77" s="101" t="n">
        <v>0.219</v>
      </c>
      <c r="R77" s="102" t="n">
        <v>0.231</v>
      </c>
      <c r="S77" s="103" t="n">
        <v>0.213</v>
      </c>
      <c r="T77" s="395" t="n">
        <v>0.245</v>
      </c>
      <c r="U77" s="101" t="n">
        <v>0.204</v>
      </c>
      <c r="V77" s="101" t="n">
        <v>0.216</v>
      </c>
      <c r="W77" s="102" t="n">
        <v>0.211</v>
      </c>
      <c r="X77" s="103" t="n">
        <v>0.212</v>
      </c>
      <c r="Y77" s="101" t="n">
        <v>0.217</v>
      </c>
      <c r="Z77" s="101" t="n">
        <v>0.207</v>
      </c>
      <c r="AA77" s="437" t="n">
        <v>0.217</v>
      </c>
      <c r="AB77" s="440" t="n">
        <v>0.217</v>
      </c>
      <c r="AC77" s="103" t="n">
        <v>0.216</v>
      </c>
      <c r="AD77" s="101" t="n">
        <v>0.21</v>
      </c>
      <c r="AE77" s="101" t="n">
        <v>0.235</v>
      </c>
      <c r="AF77" s="101" t="n">
        <v>0.212</v>
      </c>
      <c r="AG77" s="102" t="n">
        <v>0.209</v>
      </c>
      <c r="AH77" s="443" t="n">
        <v>0.207</v>
      </c>
      <c r="AI77" s="101" t="n">
        <v>0.205</v>
      </c>
      <c r="AJ77" s="437" t="n">
        <v>0.192</v>
      </c>
      <c r="AK77" s="437" t="n">
        <v>0.199</v>
      </c>
      <c r="AL77" s="102" t="n">
        <v>0.206</v>
      </c>
      <c r="AM77" s="443" t="n">
        <v>0.202</v>
      </c>
      <c r="AN77" s="101" t="n">
        <v>0.197</v>
      </c>
      <c r="AO77" s="437" t="n">
        <v>0.185</v>
      </c>
      <c r="AP77" s="101" t="n">
        <v>0.205</v>
      </c>
      <c r="AQ77" s="440" t="n">
        <v>0.197</v>
      </c>
      <c r="AR77" s="443" t="n">
        <v>0.19</v>
      </c>
      <c r="AS77" s="437" t="n">
        <v>0.179</v>
      </c>
      <c r="AT77" s="101" t="n">
        <v>0.208</v>
      </c>
      <c r="AU77" s="101" t="n">
        <v>0.214</v>
      </c>
      <c r="AV77" s="102" t="n">
        <v>0.19</v>
      </c>
      <c r="AW77" s="103" t="n">
        <v>0.203</v>
      </c>
      <c r="AX77" s="437" t="n">
        <v>0.193</v>
      </c>
      <c r="AY77" s="101" t="n">
        <v>0.21</v>
      </c>
      <c r="AZ77" s="101" t="n">
        <v>0.204</v>
      </c>
      <c r="BA77" s="102" t="n">
        <v>0.215</v>
      </c>
      <c r="BB77" s="443" t="n">
        <v>0.19</v>
      </c>
      <c r="BC77" s="101" t="n">
        <v>0.202</v>
      </c>
      <c r="BD77" s="437" t="n">
        <v>0.183</v>
      </c>
      <c r="BE77" s="101" t="n">
        <v>0.203</v>
      </c>
      <c r="BF77" s="398" t="n">
        <v>0.211</v>
      </c>
      <c r="BG77" s="103" t="n">
        <v>0.219</v>
      </c>
      <c r="BH77" s="101" t="n">
        <v>0.208</v>
      </c>
      <c r="BI77" s="101" t="n">
        <v>0.212</v>
      </c>
      <c r="BJ77" s="101" t="n">
        <v>0.208</v>
      </c>
      <c r="BK77" s="102" t="n">
        <v>0.218</v>
      </c>
      <c r="BL77" s="443" t="n">
        <v>0.208</v>
      </c>
      <c r="BM77" s="101" t="n">
        <v>0.21</v>
      </c>
      <c r="BN77" s="101" t="n">
        <v>0.226</v>
      </c>
      <c r="BO77" s="437" t="n">
        <v>0.192</v>
      </c>
      <c r="BP77" s="440" t="n">
        <v>0.205</v>
      </c>
      <c r="BQ77" s="103" t="n">
        <v>0.233</v>
      </c>
      <c r="BR77" s="437" t="n">
        <v>0.221</v>
      </c>
      <c r="BS77" s="437" t="n">
        <v>0.203</v>
      </c>
      <c r="BT77" s="398" t="n">
        <v>0.219</v>
      </c>
      <c r="BU77" s="455" t="n"/>
      <c r="BV77" s="455" t="n"/>
      <c r="BW77" s="238" t="n"/>
      <c r="BX77" s="238" t="n"/>
      <c r="BY77" s="238" t="n"/>
      <c r="BZ77" s="238" t="n"/>
      <c r="CA77" s="238" t="n"/>
      <c r="CB77" s="238" t="n"/>
      <c r="CC77" s="238" t="n"/>
      <c r="CD77" s="238" t="n"/>
      <c r="CE77" s="238" t="n"/>
      <c r="CF77" s="238" t="n"/>
      <c r="CG77" s="238" t="n"/>
      <c r="CH77" s="238" t="n"/>
      <c r="CI77" s="238" t="n"/>
      <c r="CJ77" s="238" t="n"/>
      <c r="CK77" s="238" t="n"/>
      <c r="CL77" s="238" t="n"/>
      <c r="CM77" s="238" t="n"/>
      <c r="CN77" s="238" t="n"/>
      <c r="CO77" s="238" t="n"/>
      <c r="CP77" s="238" t="n"/>
      <c r="CQ77" s="238" t="n"/>
      <c r="CR77" s="238" t="n"/>
      <c r="CS77" s="238" t="n"/>
      <c r="CT77" s="238" t="n"/>
      <c r="CU77" s="238" t="n"/>
      <c r="CV77" s="238" t="n"/>
      <c r="CW77" s="238" t="n"/>
      <c r="CX77" s="238" t="n"/>
      <c r="CY77" s="238" t="n"/>
      <c r="CZ77" s="238" t="n"/>
      <c r="DA77" s="238" t="n"/>
      <c r="DB77" s="238" t="n"/>
      <c r="DC77" s="238" t="n"/>
      <c r="DD77" s="238" t="n"/>
      <c r="DE77" s="238" t="n"/>
      <c r="DF77" s="238" t="n"/>
      <c r="DG77" s="238" t="n"/>
      <c r="DH77" s="238" t="n"/>
      <c r="DI77" s="238" t="n"/>
      <c r="DJ77" s="238" t="n"/>
      <c r="DK77" s="238" t="n"/>
      <c r="DL77" s="238" t="n"/>
      <c r="DM77" s="238" t="n"/>
      <c r="DN77" s="238" t="n"/>
      <c r="DO77" s="238" t="n"/>
      <c r="DP77" s="238" t="n"/>
      <c r="DQ77" s="238" t="n"/>
      <c r="DR77" s="238" t="n"/>
      <c r="DS77" s="238" t="n"/>
      <c r="DT77" s="238" t="n"/>
      <c r="DU77" s="238" t="n"/>
      <c r="DV77" s="238" t="n"/>
      <c r="DW77" s="238" t="n"/>
      <c r="DX77" s="238" t="n"/>
      <c r="DY77" s="238" t="n"/>
      <c r="DZ77" s="23" t="n"/>
      <c r="FQ77" s="212" t="n"/>
      <c r="FR77" s="212" t="n"/>
      <c r="FS77" s="212" t="n"/>
      <c r="FT77" s="212" t="n"/>
      <c r="FU77" s="212" t="n"/>
      <c r="FV77" s="212" t="n"/>
      <c r="FW77" s="212" t="n"/>
      <c r="FX77" s="212" t="n"/>
      <c r="FY77" s="212" t="n"/>
      <c r="FZ77" s="212" t="n"/>
    </row>
    <row r="78" ht="39.95" customFormat="1" customHeight="1" s="5">
      <c r="A78" s="456" t="n"/>
      <c r="B78" s="8" t="n"/>
      <c r="C78" s="12" t="inlineStr">
        <is>
          <t>R</t>
        </is>
      </c>
      <c r="D78" s="435" t="n">
        <v>0.202</v>
      </c>
      <c r="E78" s="104" t="n">
        <v>0.226</v>
      </c>
      <c r="F78" s="396" t="n">
        <v>0.218</v>
      </c>
      <c r="G78" s="396" t="n">
        <v>0.241</v>
      </c>
      <c r="H78" s="399" t="n">
        <v>0.233</v>
      </c>
      <c r="I78" s="402" t="n">
        <v>0.271</v>
      </c>
      <c r="J78" s="396" t="n">
        <v>0.292</v>
      </c>
      <c r="K78" s="396" t="n">
        <v>0.302</v>
      </c>
      <c r="L78" s="438" t="n">
        <v>0.261</v>
      </c>
      <c r="M78" s="441" t="n">
        <v>0.245</v>
      </c>
      <c r="N78" s="444" t="n">
        <v>0.247</v>
      </c>
      <c r="O78" s="104" t="n">
        <v>0.209</v>
      </c>
      <c r="P78" s="438" t="n">
        <v>0.212</v>
      </c>
      <c r="Q78" s="104" t="n">
        <v>0.219</v>
      </c>
      <c r="R78" s="105" t="n">
        <v>0.213</v>
      </c>
      <c r="S78" s="444" t="n">
        <v>0.218</v>
      </c>
      <c r="T78" s="104" t="n">
        <v>0.221</v>
      </c>
      <c r="U78" s="104" t="n">
        <v>0.239</v>
      </c>
      <c r="V78" s="104" t="n">
        <v>0.217</v>
      </c>
      <c r="W78" s="105" t="n">
        <v>0.217</v>
      </c>
      <c r="X78" s="106" t="n">
        <v>0.208</v>
      </c>
      <c r="Y78" s="396" t="n">
        <v>0.236</v>
      </c>
      <c r="Z78" s="104" t="n">
        <v>0.214</v>
      </c>
      <c r="AA78" s="104" t="n">
        <v>0.22</v>
      </c>
      <c r="AB78" s="441" t="n">
        <v>0.211</v>
      </c>
      <c r="AC78" s="106" t="n">
        <v>0.216</v>
      </c>
      <c r="AD78" s="104" t="n">
        <v>0.215</v>
      </c>
      <c r="AE78" s="104" t="n">
        <v>0.234</v>
      </c>
      <c r="AF78" s="104" t="n">
        <v>0.213</v>
      </c>
      <c r="AG78" s="105" t="n">
        <v>0.211</v>
      </c>
      <c r="AH78" s="106" t="n">
        <v>0.213</v>
      </c>
      <c r="AI78" s="104" t="n">
        <v>0.217</v>
      </c>
      <c r="AJ78" s="104" t="n">
        <v>0.22</v>
      </c>
      <c r="AK78" s="104" t="n">
        <v>0.226</v>
      </c>
      <c r="AL78" s="441" t="n">
        <v>0.2</v>
      </c>
      <c r="AM78" s="106" t="n">
        <v>0.214</v>
      </c>
      <c r="AN78" s="104" t="n">
        <v>0.203</v>
      </c>
      <c r="AO78" s="438" t="n">
        <v>0.187</v>
      </c>
      <c r="AP78" s="438" t="n">
        <v>0.193</v>
      </c>
      <c r="AQ78" s="441" t="n">
        <v>0.187</v>
      </c>
      <c r="AR78" s="444" t="n">
        <v>0.193</v>
      </c>
      <c r="AS78" s="104" t="n">
        <v>0.229</v>
      </c>
      <c r="AT78" s="438" t="n">
        <v>0.191</v>
      </c>
      <c r="AU78" s="104" t="n">
        <v>0.196</v>
      </c>
      <c r="AV78" s="441" t="n">
        <v>0.177</v>
      </c>
      <c r="AW78" s="444" t="n">
        <v>0.147</v>
      </c>
      <c r="AX78" s="438" t="n">
        <v>0.179</v>
      </c>
      <c r="AY78" s="438" t="n">
        <v>0.202</v>
      </c>
      <c r="AZ78" s="438" t="n">
        <v>0.198</v>
      </c>
      <c r="BA78" s="441" t="n">
        <v>0.207</v>
      </c>
      <c r="BB78" s="444" t="n">
        <v>0.202</v>
      </c>
      <c r="BC78" s="438" t="n">
        <v>0.174</v>
      </c>
      <c r="BD78" s="104" t="n">
        <v>0.2</v>
      </c>
      <c r="BE78" s="104" t="n">
        <v>0.209</v>
      </c>
      <c r="BF78" s="399" t="n">
        <v>0.21</v>
      </c>
      <c r="BG78" s="402" t="n">
        <v>0.225</v>
      </c>
      <c r="BH78" s="104" t="n">
        <v>0.221</v>
      </c>
      <c r="BI78" s="104" t="n">
        <v>0.223</v>
      </c>
      <c r="BJ78" s="104" t="n">
        <v>0.215</v>
      </c>
      <c r="BK78" s="441" t="n">
        <v>0.212</v>
      </c>
      <c r="BL78" s="106" t="n">
        <v>0.21</v>
      </c>
      <c r="BM78" s="104" t="n">
        <v>0.222</v>
      </c>
      <c r="BN78" s="438" t="n">
        <v>0.221</v>
      </c>
      <c r="BO78" s="104" t="n">
        <v>0.228</v>
      </c>
      <c r="BP78" s="105" t="n">
        <v>0.247</v>
      </c>
      <c r="BQ78" s="106" t="n">
        <v>0.222</v>
      </c>
      <c r="BR78" s="104" t="n">
        <v>0.222</v>
      </c>
      <c r="BS78" s="104" t="n">
        <v>0.226</v>
      </c>
      <c r="BT78" s="441" t="n">
        <v>0.202</v>
      </c>
      <c r="BU78" s="457" t="n"/>
      <c r="BV78" s="457" t="n"/>
      <c r="BW78" s="238" t="n"/>
      <c r="BX78" s="238" t="n"/>
      <c r="BY78" s="238" t="n"/>
      <c r="BZ78" s="238" t="n"/>
      <c r="CA78" s="238" t="n"/>
      <c r="CB78" s="238" t="n"/>
      <c r="CC78" s="238" t="n"/>
      <c r="CD78" s="238" t="n"/>
      <c r="CE78" s="238" t="n"/>
      <c r="CF78" s="238" t="n"/>
      <c r="CG78" s="238" t="n"/>
      <c r="CH78" s="238" t="n"/>
      <c r="CI78" s="238" t="n"/>
      <c r="CJ78" s="238" t="n"/>
      <c r="CK78" s="238" t="n"/>
      <c r="CL78" s="238" t="n"/>
      <c r="CM78" s="238" t="n"/>
      <c r="CN78" s="238" t="n"/>
      <c r="CO78" s="238" t="n"/>
      <c r="CP78" s="238" t="n"/>
      <c r="CQ78" s="238" t="n"/>
      <c r="CR78" s="238" t="n"/>
      <c r="CS78" s="238" t="n"/>
      <c r="CT78" s="238" t="n"/>
      <c r="CU78" s="238" t="n"/>
      <c r="CV78" s="238" t="n"/>
      <c r="CW78" s="238" t="n"/>
      <c r="CX78" s="238" t="n"/>
      <c r="CY78" s="238" t="n"/>
      <c r="CZ78" s="238" t="n"/>
      <c r="DA78" s="238" t="n"/>
      <c r="DB78" s="238" t="n"/>
      <c r="DC78" s="238" t="n"/>
      <c r="DD78" s="238" t="n"/>
      <c r="DE78" s="238" t="n"/>
      <c r="DF78" s="238" t="n"/>
      <c r="DG78" s="238" t="n"/>
      <c r="DH78" s="238" t="n"/>
      <c r="DI78" s="238" t="n"/>
      <c r="DJ78" s="238" t="n"/>
      <c r="DK78" s="238" t="n"/>
      <c r="DL78" s="238" t="n"/>
      <c r="DM78" s="238" t="n"/>
      <c r="DN78" s="238" t="n"/>
      <c r="DO78" s="238" t="n"/>
      <c r="DP78" s="238" t="n"/>
      <c r="DQ78" s="238" t="n"/>
      <c r="DR78" s="238" t="n"/>
      <c r="DS78" s="238" t="n"/>
      <c r="DT78" s="238" t="n"/>
      <c r="DU78" s="238" t="n"/>
      <c r="DV78" s="238" t="n"/>
      <c r="DW78" s="238" t="n"/>
      <c r="DX78" s="238" t="n"/>
      <c r="DY78" s="238" t="n"/>
      <c r="DZ78" s="23" t="n"/>
      <c r="FQ78" s="212" t="n"/>
      <c r="FR78" s="212" t="n"/>
      <c r="FS78" s="212" t="n"/>
      <c r="FT78" s="212" t="n"/>
      <c r="FU78" s="212" t="n"/>
      <c r="FV78" s="212" t="n"/>
      <c r="FW78" s="212" t="n"/>
      <c r="FX78" s="212" t="n"/>
      <c r="FY78" s="212" t="n"/>
      <c r="FZ78" s="212" t="n"/>
    </row>
    <row r="79" ht="39.95" customFormat="1" customHeight="1" s="5">
      <c r="A79" s="10" t="inlineStr">
        <is>
          <t>A</t>
        </is>
      </c>
      <c r="B79" s="6" t="n"/>
      <c r="C79" s="11" t="inlineStr">
        <is>
          <t>L</t>
        </is>
      </c>
      <c r="D79" s="433" t="n">
        <v>0.201</v>
      </c>
      <c r="E79" s="394" t="inlineStr">
        <is>
          <t>RF</t>
        </is>
      </c>
      <c r="F79" s="99" t="n">
        <v>0.228</v>
      </c>
      <c r="G79" s="99" t="n">
        <v>0.237</v>
      </c>
      <c r="H79" s="397" t="n">
        <v>0.213</v>
      </c>
      <c r="I79" s="442" t="n">
        <v>0.257</v>
      </c>
      <c r="J79" s="394" t="n">
        <v>0.278</v>
      </c>
      <c r="K79" s="394" t="n">
        <v>0.264</v>
      </c>
      <c r="L79" s="394" t="n">
        <v>0.257</v>
      </c>
      <c r="M79" s="397" t="n">
        <v>0.224</v>
      </c>
      <c r="N79" s="400" t="n">
        <v>0.247</v>
      </c>
      <c r="O79" s="436" t="n">
        <v>0.211</v>
      </c>
      <c r="P79" s="394" t="n">
        <v>0.236</v>
      </c>
      <c r="Q79" s="99" t="n">
        <v>0.23</v>
      </c>
      <c r="R79" s="439" t="n">
        <v>0.182</v>
      </c>
      <c r="S79" s="98" t="n">
        <v>0.22</v>
      </c>
      <c r="T79" s="99" t="n">
        <v>0.215</v>
      </c>
      <c r="U79" s="436" t="n">
        <v>0.205</v>
      </c>
      <c r="V79" s="436" t="n">
        <v>0.208</v>
      </c>
      <c r="W79" s="439" t="n">
        <v>0.198</v>
      </c>
      <c r="X79" s="442" t="n">
        <v>0.198</v>
      </c>
      <c r="Y79" s="436" t="n">
        <v>0.21</v>
      </c>
      <c r="Z79" s="436" t="n">
        <v>0.216</v>
      </c>
      <c r="AA79" s="436" t="n">
        <v>0.207</v>
      </c>
      <c r="AB79" s="439" t="n">
        <v>0.196</v>
      </c>
      <c r="AC79" s="442" t="n">
        <v>0.157</v>
      </c>
      <c r="AD79" s="436" t="n">
        <v>0.208</v>
      </c>
      <c r="AE79" s="436" t="n">
        <v>0.208</v>
      </c>
      <c r="AF79" s="436" t="n">
        <v>0.213</v>
      </c>
      <c r="AG79" s="439" t="n">
        <v>0.21</v>
      </c>
      <c r="AH79" s="442" t="n">
        <v>0.198</v>
      </c>
      <c r="AI79" s="436" t="n">
        <v>0.19</v>
      </c>
      <c r="AJ79" s="436" t="n">
        <v>0.207</v>
      </c>
      <c r="AK79" s="99" t="n">
        <v>0.211</v>
      </c>
      <c r="AL79" s="439" t="n">
        <v>0.209</v>
      </c>
      <c r="AM79" s="442" t="n">
        <v>0.186</v>
      </c>
      <c r="AN79" s="436" t="n">
        <v>0.184</v>
      </c>
      <c r="AO79" s="436" t="n">
        <v>0.195</v>
      </c>
      <c r="AP79" s="394" t="n">
        <v>0.21</v>
      </c>
      <c r="AQ79" s="439" t="n">
        <v>0.2</v>
      </c>
      <c r="AR79" s="98" t="n">
        <v>0.211</v>
      </c>
      <c r="AS79" s="99" t="n">
        <v>0.21</v>
      </c>
      <c r="AT79" s="394" t="n">
        <v>0.221</v>
      </c>
      <c r="AU79" s="436" t="n">
        <v>0.211</v>
      </c>
      <c r="AV79" s="397" t="n">
        <v>0.211</v>
      </c>
      <c r="AW79" s="400" t="n">
        <v>0.209</v>
      </c>
      <c r="AX79" s="394" t="n">
        <v>0.206</v>
      </c>
      <c r="AY79" s="436" t="n">
        <v>0.207</v>
      </c>
      <c r="AZ79" s="99" t="n">
        <v>0.224</v>
      </c>
      <c r="BA79" s="439" t="n">
        <v>0.204</v>
      </c>
      <c r="BB79" s="400" t="n">
        <v>0.205</v>
      </c>
      <c r="BC79" s="436" t="n">
        <v>0.208</v>
      </c>
      <c r="BD79" s="436" t="n">
        <v>0.208</v>
      </c>
      <c r="BE79" s="436" t="n">
        <v>0.205</v>
      </c>
      <c r="BF79" s="100" t="n">
        <v>0.208</v>
      </c>
      <c r="BG79" s="400" t="n">
        <v>0.227</v>
      </c>
      <c r="BH79" s="394" t="n">
        <v>0.22</v>
      </c>
      <c r="BI79" s="99" t="n">
        <v>0.221</v>
      </c>
      <c r="BJ79" s="436" t="n">
        <v>0.185</v>
      </c>
      <c r="BK79" s="100" t="n">
        <v>0.216</v>
      </c>
      <c r="BL79" s="442" t="n">
        <v>0.199</v>
      </c>
      <c r="BM79" s="436" t="n">
        <v>0.189</v>
      </c>
      <c r="BN79" s="436" t="n">
        <v>0.204</v>
      </c>
      <c r="BO79" s="394" t="n">
        <v>0.206</v>
      </c>
      <c r="BP79" s="397" t="n">
        <v>0.219</v>
      </c>
      <c r="BQ79" s="400" t="n">
        <v>0.224</v>
      </c>
      <c r="BR79" s="394" t="n">
        <v>0.222</v>
      </c>
      <c r="BS79" s="436" t="n">
        <v>0.214</v>
      </c>
      <c r="BT79" s="397" t="n">
        <v>0.153</v>
      </c>
      <c r="BU79" s="454">
        <f>IFERROR(AVERAGE(D79:BT81),0)</f>
        <v/>
      </c>
      <c r="BV79" s="454">
        <f>MIN(D79:BT81)</f>
        <v/>
      </c>
      <c r="BW79" s="238" t="n"/>
      <c r="BX79" s="238" t="n"/>
      <c r="BY79" s="238" t="n"/>
      <c r="BZ79" s="238" t="n"/>
      <c r="CA79" s="238" t="n"/>
      <c r="CB79" s="238" t="n"/>
      <c r="CC79" s="238" t="n"/>
      <c r="CD79" s="238" t="n"/>
      <c r="CE79" s="238" t="n"/>
      <c r="CF79" s="238" t="n"/>
      <c r="CG79" s="238" t="n"/>
      <c r="CH79" s="238" t="n"/>
      <c r="CI79" s="238" t="n"/>
      <c r="CJ79" s="238" t="n"/>
      <c r="CK79" s="238" t="n"/>
      <c r="CL79" s="238" t="n"/>
      <c r="CM79" s="238" t="n"/>
      <c r="CN79" s="238" t="n"/>
      <c r="CO79" s="238" t="n"/>
      <c r="CP79" s="238" t="n"/>
      <c r="CQ79" s="238" t="n"/>
      <c r="CR79" s="238" t="n"/>
      <c r="CS79" s="238" t="n"/>
      <c r="CT79" s="238" t="n"/>
      <c r="CU79" s="238" t="n"/>
      <c r="CV79" s="238" t="n"/>
      <c r="CW79" s="238" t="n"/>
      <c r="CX79" s="238" t="n"/>
      <c r="CY79" s="238" t="n"/>
      <c r="CZ79" s="238" t="n"/>
      <c r="DA79" s="238" t="n"/>
      <c r="DB79" s="238" t="n"/>
      <c r="DC79" s="238" t="n"/>
      <c r="DD79" s="238" t="n"/>
      <c r="DE79" s="238" t="n"/>
      <c r="DF79" s="238" t="n"/>
      <c r="DG79" s="238" t="n"/>
      <c r="DH79" s="238" t="n"/>
      <c r="DI79" s="238" t="n"/>
      <c r="DJ79" s="238" t="n"/>
      <c r="DK79" s="238" t="n"/>
      <c r="DL79" s="238" t="n"/>
      <c r="DM79" s="238" t="n"/>
      <c r="DN79" s="238" t="n"/>
      <c r="DO79" s="238" t="n"/>
      <c r="DP79" s="238" t="n"/>
      <c r="DQ79" s="238" t="n"/>
      <c r="DR79" s="238" t="n"/>
      <c r="DS79" s="238" t="n"/>
      <c r="DT79" s="238" t="n"/>
      <c r="DU79" s="238" t="n"/>
      <c r="DV79" s="238" t="n"/>
      <c r="DW79" s="238" t="n"/>
      <c r="DX79" s="238" t="n"/>
      <c r="DY79" s="238" t="n"/>
      <c r="DZ79" s="23" t="n"/>
      <c r="FQ79" s="212" t="n"/>
      <c r="FR79" s="212" t="n"/>
      <c r="FS79" s="212" t="n"/>
      <c r="FT79" s="212" t="n"/>
      <c r="FU79" s="212" t="n"/>
      <c r="FV79" s="212" t="n"/>
      <c r="FW79" s="212" t="n"/>
      <c r="FX79" s="212" t="n"/>
      <c r="FY79" s="212" t="n"/>
      <c r="FZ79" s="212" t="n"/>
    </row>
    <row r="80" ht="39.95" customFormat="1" customHeight="1" s="5">
      <c r="A80" s="182" t="n">
        <v>0.083</v>
      </c>
      <c r="B80" s="7" t="inlineStr">
        <is>
          <t>-27 IN</t>
        </is>
      </c>
      <c r="C80" s="11" t="inlineStr">
        <is>
          <t>C</t>
        </is>
      </c>
      <c r="D80" s="434" t="n">
        <v>0.201</v>
      </c>
      <c r="E80" s="437" t="n">
        <v>0.221</v>
      </c>
      <c r="F80" s="395" t="n">
        <v>0.249</v>
      </c>
      <c r="G80" s="101" t="n">
        <v>0.231</v>
      </c>
      <c r="H80" s="398" t="n">
        <v>0.226</v>
      </c>
      <c r="I80" s="443" t="n">
        <v>0.252</v>
      </c>
      <c r="J80" s="101" t="n">
        <v>0.273</v>
      </c>
      <c r="K80" s="395" t="n">
        <v>0.294</v>
      </c>
      <c r="L80" s="395" t="n">
        <v>0.3</v>
      </c>
      <c r="M80" s="102" t="n">
        <v>0.262</v>
      </c>
      <c r="N80" s="443" t="n">
        <v>0.231</v>
      </c>
      <c r="O80" s="395" t="n">
        <v>0.218</v>
      </c>
      <c r="P80" s="101" t="n">
        <v>0.22</v>
      </c>
      <c r="Q80" s="437" t="n">
        <v>0.219</v>
      </c>
      <c r="R80" s="102" t="n">
        <v>0.219</v>
      </c>
      <c r="S80" s="443" t="n">
        <v>0.211</v>
      </c>
      <c r="T80" s="437" t="n">
        <v>0.209</v>
      </c>
      <c r="U80" s="101" t="n">
        <v>0.214</v>
      </c>
      <c r="V80" s="101" t="n">
        <v>0.225</v>
      </c>
      <c r="W80" s="440" t="n">
        <v>0.208</v>
      </c>
      <c r="X80" s="443" t="n">
        <v>0.209</v>
      </c>
      <c r="Y80" s="437" t="n">
        <v>0.209</v>
      </c>
      <c r="Z80" s="101" t="n">
        <v>0.219</v>
      </c>
      <c r="AA80" s="437" t="n">
        <v>0.214</v>
      </c>
      <c r="AB80" s="440" t="n">
        <v>0.213</v>
      </c>
      <c r="AC80" s="443" t="n">
        <v>0.206</v>
      </c>
      <c r="AD80" s="437" t="n">
        <v>0.196</v>
      </c>
      <c r="AE80" s="395" t="n">
        <v>0.202</v>
      </c>
      <c r="AF80" s="437" t="n">
        <v>0.211</v>
      </c>
      <c r="AG80" s="102" t="n">
        <v>0.208</v>
      </c>
      <c r="AH80" s="443" t="n">
        <v>0.203</v>
      </c>
      <c r="AI80" s="437" t="n">
        <v>0.193</v>
      </c>
      <c r="AJ80" s="101" t="n">
        <v>0.206</v>
      </c>
      <c r="AK80" s="437" t="n">
        <v>0.199</v>
      </c>
      <c r="AL80" s="440" t="n">
        <v>0.197</v>
      </c>
      <c r="AM80" s="443" t="n">
        <v>0.198</v>
      </c>
      <c r="AN80" s="437" t="n">
        <v>0.19</v>
      </c>
      <c r="AO80" s="101" t="n">
        <v>0.212</v>
      </c>
      <c r="AP80" s="395" t="n">
        <v>0.212</v>
      </c>
      <c r="AQ80" s="102" t="n">
        <v>0.209</v>
      </c>
      <c r="AR80" s="401" t="n">
        <v>0.205</v>
      </c>
      <c r="AS80" s="437" t="n">
        <v>0.193</v>
      </c>
      <c r="AT80" s="395" t="n">
        <v>0.228</v>
      </c>
      <c r="AU80" s="395" t="n">
        <v>0.235</v>
      </c>
      <c r="AV80" s="398" t="n">
        <v>0.228</v>
      </c>
      <c r="AW80" s="103" t="n">
        <v>0.216</v>
      </c>
      <c r="AX80" s="395" t="n">
        <v>0.127</v>
      </c>
      <c r="AY80" s="101" t="n">
        <v>0.221</v>
      </c>
      <c r="AZ80" s="101" t="n">
        <v>0.215</v>
      </c>
      <c r="BA80" s="440" t="n">
        <v>0.205</v>
      </c>
      <c r="BB80" s="401" t="n">
        <v>0.221</v>
      </c>
      <c r="BC80" s="437" t="n">
        <v>0.2</v>
      </c>
      <c r="BD80" s="437" t="n">
        <v>0.212</v>
      </c>
      <c r="BE80" s="437" t="n">
        <v>0.199</v>
      </c>
      <c r="BF80" s="102" t="n">
        <v>0.211</v>
      </c>
      <c r="BG80" s="401" t="n">
        <v>0.206</v>
      </c>
      <c r="BH80" s="437" t="n">
        <v>0.206</v>
      </c>
      <c r="BI80" s="437" t="n">
        <v>0.208</v>
      </c>
      <c r="BJ80" s="101" t="n">
        <v>0.219</v>
      </c>
      <c r="BK80" s="440" t="n">
        <v>0.197</v>
      </c>
      <c r="BL80" s="103" t="n">
        <v>0.216</v>
      </c>
      <c r="BM80" s="437" t="n">
        <v>0.201</v>
      </c>
      <c r="BN80" s="437" t="n">
        <v>0.202</v>
      </c>
      <c r="BO80" s="395" t="n">
        <v>0.216</v>
      </c>
      <c r="BP80" s="398" t="n">
        <v>0.221</v>
      </c>
      <c r="BQ80" s="443" t="n">
        <v>0.206</v>
      </c>
      <c r="BR80" s="395" t="n">
        <v>0.216</v>
      </c>
      <c r="BS80" s="437" t="n">
        <v>0.208</v>
      </c>
      <c r="BT80" s="398" t="n">
        <v>0.182</v>
      </c>
      <c r="BU80" s="455" t="n"/>
      <c r="BV80" s="455" t="n"/>
      <c r="BW80" s="238" t="n"/>
      <c r="BX80" s="238" t="n"/>
      <c r="BY80" s="238" t="n"/>
      <c r="BZ80" s="238" t="n"/>
      <c r="CA80" s="238" t="n"/>
      <c r="CB80" s="238" t="n"/>
      <c r="CC80" s="238" t="n"/>
      <c r="CD80" s="238" t="n"/>
      <c r="CE80" s="238" t="n"/>
      <c r="CF80" s="238" t="n"/>
      <c r="CG80" s="238" t="n"/>
      <c r="CH80" s="238" t="n"/>
      <c r="CI80" s="238" t="n"/>
      <c r="CJ80" s="238" t="n"/>
      <c r="CK80" s="238" t="n"/>
      <c r="CL80" s="238" t="n"/>
      <c r="CM80" s="238" t="n"/>
      <c r="CN80" s="238" t="n"/>
      <c r="CO80" s="238" t="n"/>
      <c r="CP80" s="238" t="n"/>
      <c r="CQ80" s="238" t="n"/>
      <c r="CR80" s="238" t="n"/>
      <c r="CS80" s="238" t="n"/>
      <c r="CT80" s="238" t="n"/>
      <c r="CU80" s="238" t="n"/>
      <c r="CV80" s="238" t="n"/>
      <c r="CW80" s="238" t="n"/>
      <c r="CX80" s="238" t="n"/>
      <c r="CY80" s="238" t="n"/>
      <c r="CZ80" s="238" t="n"/>
      <c r="DA80" s="238" t="n"/>
      <c r="DB80" s="238" t="n"/>
      <c r="DC80" s="238" t="n"/>
      <c r="DD80" s="238" t="n"/>
      <c r="DE80" s="238" t="n"/>
      <c r="DF80" s="238" t="n"/>
      <c r="DG80" s="238" t="n"/>
      <c r="DH80" s="238" t="n"/>
      <c r="DI80" s="238" t="n"/>
      <c r="DJ80" s="238" t="n"/>
      <c r="DK80" s="238" t="n"/>
      <c r="DL80" s="238" t="n"/>
      <c r="DM80" s="238" t="n"/>
      <c r="DN80" s="238" t="n"/>
      <c r="DO80" s="238" t="n"/>
      <c r="DP80" s="238" t="n"/>
      <c r="DQ80" s="238" t="n"/>
      <c r="DR80" s="238" t="n"/>
      <c r="DS80" s="238" t="n"/>
      <c r="DT80" s="238" t="n"/>
      <c r="DU80" s="238" t="n"/>
      <c r="DV80" s="238" t="n"/>
      <c r="DW80" s="238" t="n"/>
      <c r="DX80" s="238" t="n"/>
      <c r="DY80" s="238" t="n"/>
      <c r="DZ80" s="23" t="n"/>
      <c r="FQ80" s="212" t="n"/>
      <c r="FR80" s="212" t="n"/>
      <c r="FS80" s="212" t="n"/>
      <c r="FT80" s="212" t="n"/>
      <c r="FU80" s="212" t="n"/>
      <c r="FV80" s="212" t="n"/>
      <c r="FW80" s="212" t="n"/>
      <c r="FX80" s="212" t="n"/>
      <c r="FY80" s="212" t="n"/>
      <c r="FZ80" s="212" t="n"/>
    </row>
    <row r="81" ht="39.95" customFormat="1" customHeight="1" s="5">
      <c r="A81" s="456" t="n"/>
      <c r="B81" s="8" t="n"/>
      <c r="C81" s="12" t="inlineStr">
        <is>
          <t>R</t>
        </is>
      </c>
      <c r="D81" s="393" t="inlineStr">
        <is>
          <t>RF</t>
        </is>
      </c>
      <c r="E81" s="438" t="n">
        <v>0.223</v>
      </c>
      <c r="F81" s="396" t="n">
        <v>0.301</v>
      </c>
      <c r="G81" s="438" t="n">
        <v>0.223</v>
      </c>
      <c r="H81" s="399" t="n">
        <v>0.232</v>
      </c>
      <c r="I81" s="444" t="n">
        <v>0.251</v>
      </c>
      <c r="J81" s="438" t="n">
        <v>0.258</v>
      </c>
      <c r="K81" s="438" t="n">
        <v>0.254</v>
      </c>
      <c r="L81" s="438" t="n">
        <v>0.255</v>
      </c>
      <c r="M81" s="105" t="n">
        <v>0.26</v>
      </c>
      <c r="N81" s="402" t="n">
        <v>0.241</v>
      </c>
      <c r="O81" s="104" t="n">
        <v>0.231</v>
      </c>
      <c r="P81" s="104" t="n">
        <v>0.222</v>
      </c>
      <c r="Q81" s="104" t="n">
        <v>0.231</v>
      </c>
      <c r="R81" s="441" t="n">
        <v>0.2</v>
      </c>
      <c r="S81" s="106" t="n">
        <v>0.223</v>
      </c>
      <c r="T81" s="438" t="n">
        <v>0.212</v>
      </c>
      <c r="U81" s="438" t="n">
        <v>0.205</v>
      </c>
      <c r="V81" s="438" t="n">
        <v>0.211</v>
      </c>
      <c r="W81" s="399" t="n">
        <v>0.226</v>
      </c>
      <c r="X81" s="106" t="n">
        <v>0.215</v>
      </c>
      <c r="Y81" s="438" t="n">
        <v>0.193</v>
      </c>
      <c r="Z81" s="438" t="n">
        <v>0.194</v>
      </c>
      <c r="AA81" s="438" t="n">
        <v>0.208</v>
      </c>
      <c r="AB81" s="441" t="n">
        <v>0.216</v>
      </c>
      <c r="AC81" s="444" t="n">
        <v>0.212</v>
      </c>
      <c r="AD81" s="438" t="n">
        <v>0.203</v>
      </c>
      <c r="AE81" s="438" t="n">
        <v>0.204</v>
      </c>
      <c r="AF81" s="438" t="n">
        <v>0.196</v>
      </c>
      <c r="AG81" s="105" t="n">
        <v>0.225</v>
      </c>
      <c r="AH81" s="444" t="n">
        <v>0.205</v>
      </c>
      <c r="AI81" s="438" t="n">
        <v>0.202</v>
      </c>
      <c r="AJ81" s="438" t="n">
        <v>0.206</v>
      </c>
      <c r="AK81" s="104" t="n">
        <v>0.225</v>
      </c>
      <c r="AL81" s="399" t="n">
        <v>0.213</v>
      </c>
      <c r="AM81" s="402" t="n">
        <v>0.235</v>
      </c>
      <c r="AN81" s="438" t="n">
        <v>0.193</v>
      </c>
      <c r="AO81" s="396" t="n">
        <v>0.21</v>
      </c>
      <c r="AP81" s="396" t="n">
        <v>0.217</v>
      </c>
      <c r="AQ81" s="441" t="n">
        <v>0.194</v>
      </c>
      <c r="AR81" s="402" t="n">
        <v>0.197</v>
      </c>
      <c r="AS81" s="104" t="n">
        <v>0.209</v>
      </c>
      <c r="AT81" s="396" t="n">
        <v>0.223</v>
      </c>
      <c r="AU81" s="104" t="n">
        <v>0.215</v>
      </c>
      <c r="AV81" s="105" t="n">
        <v>0.204</v>
      </c>
      <c r="AW81" s="106" t="n">
        <v>0.203</v>
      </c>
      <c r="AX81" s="104" t="n">
        <v>0.206</v>
      </c>
      <c r="AY81" s="104" t="n">
        <v>0.217</v>
      </c>
      <c r="AZ81" s="438" t="n">
        <v>0.193</v>
      </c>
      <c r="BA81" s="441" t="n">
        <v>0.2</v>
      </c>
      <c r="BB81" s="444" t="n">
        <v>0.207</v>
      </c>
      <c r="BC81" s="438" t="n">
        <v>0.202</v>
      </c>
      <c r="BD81" s="396" t="n">
        <v>0.212</v>
      </c>
      <c r="BE81" s="438" t="n">
        <v>0.212</v>
      </c>
      <c r="BF81" s="105" t="n">
        <v>0.213</v>
      </c>
      <c r="BG81" s="402" t="n">
        <v>0.217</v>
      </c>
      <c r="BH81" s="396" t="n">
        <v>0.21</v>
      </c>
      <c r="BI81" s="438" t="n">
        <v>0.201</v>
      </c>
      <c r="BJ81" s="396" t="n">
        <v>0.204</v>
      </c>
      <c r="BK81" s="105" t="n">
        <v>0.223</v>
      </c>
      <c r="BL81" s="444" t="n">
        <v>0.198</v>
      </c>
      <c r="BM81" s="438" t="n">
        <v>0.211</v>
      </c>
      <c r="BN81" s="104" t="n">
        <v>0.21</v>
      </c>
      <c r="BO81" s="396" t="n">
        <v>0.226</v>
      </c>
      <c r="BP81" s="399" t="n">
        <v>0.226</v>
      </c>
      <c r="BQ81" s="106" t="n">
        <v>0.218</v>
      </c>
      <c r="BR81" s="396" t="n">
        <v>0.199</v>
      </c>
      <c r="BS81" s="396" t="n">
        <v>0.232</v>
      </c>
      <c r="BT81" s="399" t="n">
        <v>0.234</v>
      </c>
      <c r="BU81" s="457" t="n"/>
      <c r="BV81" s="457" t="n"/>
      <c r="BW81" s="238" t="n"/>
      <c r="BX81" s="238" t="n"/>
      <c r="BY81" s="238" t="n"/>
      <c r="BZ81" s="238" t="n"/>
      <c r="CA81" s="238" t="n"/>
      <c r="CB81" s="238" t="n"/>
      <c r="CC81" s="238" t="n"/>
      <c r="CD81" s="238" t="n"/>
      <c r="CE81" s="238" t="n"/>
      <c r="CF81" s="238" t="n"/>
      <c r="CG81" s="238" t="n"/>
      <c r="CH81" s="238" t="n"/>
      <c r="CI81" s="238" t="n"/>
      <c r="CJ81" s="238" t="n"/>
      <c r="CK81" s="238" t="n"/>
      <c r="CL81" s="238" t="n"/>
      <c r="CM81" s="238" t="n"/>
      <c r="CN81" s="238" t="n"/>
      <c r="CO81" s="238" t="n"/>
      <c r="CP81" s="238" t="n"/>
      <c r="CQ81" s="238" t="n"/>
      <c r="CR81" s="238" t="n"/>
      <c r="CS81" s="238" t="n"/>
      <c r="CT81" s="238" t="n"/>
      <c r="CU81" s="238" t="n"/>
      <c r="CV81" s="238" t="n"/>
      <c r="CW81" s="238" t="n"/>
      <c r="CX81" s="238" t="n"/>
      <c r="CY81" s="238" t="n"/>
      <c r="CZ81" s="238" t="n"/>
      <c r="DA81" s="238" t="n"/>
      <c r="DB81" s="238" t="n"/>
      <c r="DC81" s="238" t="n"/>
      <c r="DD81" s="238" t="n"/>
      <c r="DE81" s="238" t="n"/>
      <c r="DF81" s="238" t="n"/>
      <c r="DG81" s="238" t="n"/>
      <c r="DH81" s="238" t="n"/>
      <c r="DI81" s="238" t="n"/>
      <c r="DJ81" s="238" t="n"/>
      <c r="DK81" s="238" t="n"/>
      <c r="DL81" s="238" t="n"/>
      <c r="DM81" s="238" t="n"/>
      <c r="DN81" s="238" t="n"/>
      <c r="DO81" s="238" t="n"/>
      <c r="DP81" s="238" t="n"/>
      <c r="DQ81" s="238" t="n"/>
      <c r="DR81" s="238" t="n"/>
      <c r="DS81" s="238" t="n"/>
      <c r="DT81" s="238" t="n"/>
      <c r="DU81" s="238" t="n"/>
      <c r="DV81" s="238" t="n"/>
      <c r="DW81" s="238" t="n"/>
      <c r="DX81" s="238" t="n"/>
      <c r="DY81" s="238" t="n"/>
      <c r="DZ81" s="23" t="n"/>
      <c r="FQ81" s="212" t="n"/>
      <c r="FR81" s="212" t="n"/>
      <c r="FS81" s="212" t="n"/>
      <c r="FT81" s="212" t="n"/>
      <c r="FU81" s="212" t="n"/>
      <c r="FV81" s="212" t="n"/>
      <c r="FW81" s="212" t="n"/>
      <c r="FX81" s="212" t="n"/>
      <c r="FY81" s="212" t="n"/>
      <c r="FZ81" s="212" t="n"/>
    </row>
    <row r="82" ht="39.95" customFormat="1" customHeight="1" s="5">
      <c r="A82" s="10" t="inlineStr">
        <is>
          <t>A</t>
        </is>
      </c>
      <c r="B82" s="6" t="n"/>
      <c r="C82" s="11" t="inlineStr">
        <is>
          <t>L</t>
        </is>
      </c>
      <c r="D82" s="108" t="n">
        <v>0.229</v>
      </c>
      <c r="E82" s="436" t="n">
        <v>0.194</v>
      </c>
      <c r="F82" s="436" t="n">
        <v>0.18</v>
      </c>
      <c r="G82" s="99" t="n">
        <v>0.228</v>
      </c>
      <c r="H82" s="439" t="n">
        <v>0.217</v>
      </c>
      <c r="I82" s="442" t="n">
        <v>0.253</v>
      </c>
      <c r="J82" s="436" t="n">
        <v>0.267</v>
      </c>
      <c r="K82" s="99" t="n">
        <v>0.263</v>
      </c>
      <c r="L82" s="436" t="n">
        <v>0.263</v>
      </c>
      <c r="M82" s="100" t="n">
        <v>0.259</v>
      </c>
      <c r="N82" s="442" t="n">
        <v>0.262</v>
      </c>
      <c r="O82" s="99" t="n">
        <v>0.225</v>
      </c>
      <c r="P82" s="99" t="n">
        <v>0.227</v>
      </c>
      <c r="Q82" s="394" t="n">
        <v>0.245</v>
      </c>
      <c r="R82" s="439" t="n">
        <v>0.211</v>
      </c>
      <c r="S82" s="98" t="n">
        <v>0.224</v>
      </c>
      <c r="T82" s="99" t="n">
        <v>0.208</v>
      </c>
      <c r="U82" s="436" t="n">
        <v>0.201</v>
      </c>
      <c r="V82" s="436" t="n">
        <v>0.214</v>
      </c>
      <c r="W82" s="439" t="n">
        <v>0.205</v>
      </c>
      <c r="X82" s="400" t="n">
        <v>0.205</v>
      </c>
      <c r="Y82" s="436" t="n">
        <v>0.206</v>
      </c>
      <c r="Z82" s="436" t="n">
        <v>0.213</v>
      </c>
      <c r="AA82" s="99" t="n">
        <v>0.222</v>
      </c>
      <c r="AB82" s="439" t="n">
        <v>0.207</v>
      </c>
      <c r="AC82" s="442" t="n">
        <v>0.201</v>
      </c>
      <c r="AD82" s="99" t="n">
        <v>0.213</v>
      </c>
      <c r="AE82" s="99" t="n">
        <v>0.216</v>
      </c>
      <c r="AF82" s="436" t="n">
        <v>0.208</v>
      </c>
      <c r="AG82" s="439" t="n">
        <v>0.196</v>
      </c>
      <c r="AH82" s="442" t="n">
        <v>0.187</v>
      </c>
      <c r="AI82" s="436" t="n">
        <v>0.198</v>
      </c>
      <c r="AJ82" s="436" t="n">
        <v>0.202</v>
      </c>
      <c r="AK82" s="394" t="n">
        <v>0.215</v>
      </c>
      <c r="AL82" s="397" t="n">
        <v>0.234</v>
      </c>
      <c r="AM82" s="442" t="n">
        <v>0.2</v>
      </c>
      <c r="AN82" s="436" t="n">
        <v>0.199</v>
      </c>
      <c r="AO82" s="436" t="n">
        <v>0.207</v>
      </c>
      <c r="AP82" s="436" t="n">
        <v>0.198</v>
      </c>
      <c r="AQ82" s="397" t="n">
        <v>0.21</v>
      </c>
      <c r="AR82" s="400" t="n">
        <v>0.217</v>
      </c>
      <c r="AS82" s="99" t="n">
        <v>0.226</v>
      </c>
      <c r="AT82" s="99" t="n">
        <v>0.226</v>
      </c>
      <c r="AU82" s="99" t="n">
        <v>0.215</v>
      </c>
      <c r="AV82" s="100" t="n">
        <v>0.216</v>
      </c>
      <c r="AW82" s="98" t="n">
        <v>0.225</v>
      </c>
      <c r="AX82" s="436" t="n">
        <v>0.206</v>
      </c>
      <c r="AY82" s="394" t="n">
        <v>0.226</v>
      </c>
      <c r="AZ82" s="436" t="n">
        <v>0.221</v>
      </c>
      <c r="BA82" s="439" t="n">
        <v>0.165</v>
      </c>
      <c r="BB82" s="442" t="n">
        <v>0.204</v>
      </c>
      <c r="BC82" s="99" t="n">
        <v>0.22</v>
      </c>
      <c r="BD82" s="99" t="n">
        <v>0.22</v>
      </c>
      <c r="BE82" s="436" t="n">
        <v>0.215</v>
      </c>
      <c r="BF82" s="397" t="n">
        <v>0.204</v>
      </c>
      <c r="BG82" s="442" t="n">
        <v>0.2</v>
      </c>
      <c r="BH82" s="436" t="n">
        <v>0.216</v>
      </c>
      <c r="BI82" s="436" t="n">
        <v>0.214</v>
      </c>
      <c r="BJ82" s="436" t="n">
        <v>0.21</v>
      </c>
      <c r="BK82" s="100" t="n">
        <v>0.224</v>
      </c>
      <c r="BL82" s="442" t="n">
        <v>0.216</v>
      </c>
      <c r="BM82" s="394" t="n">
        <v>0.194</v>
      </c>
      <c r="BN82" s="394" t="n">
        <v>0.208</v>
      </c>
      <c r="BO82" s="394" t="n">
        <v>0.216</v>
      </c>
      <c r="BP82" s="397" t="n">
        <v>0.254</v>
      </c>
      <c r="BQ82" s="442" t="n">
        <v>0.221</v>
      </c>
      <c r="BR82" s="99" t="n">
        <v>0.222</v>
      </c>
      <c r="BS82" s="394" t="n">
        <v>0.243</v>
      </c>
      <c r="BT82" s="397" t="n">
        <v>0.23</v>
      </c>
      <c r="BU82" s="454">
        <f>IFERROR(AVERAGE(D82:BT84),0)</f>
        <v/>
      </c>
      <c r="BV82" s="454">
        <f>MIN(D82:BT84)</f>
        <v/>
      </c>
      <c r="BW82" s="437" t="n"/>
      <c r="BX82" s="437" t="n"/>
      <c r="BY82" s="437" t="n"/>
      <c r="BZ82" s="437" t="n"/>
      <c r="CA82" s="437" t="n"/>
      <c r="CB82" s="437" t="n"/>
      <c r="CC82" s="437" t="n"/>
      <c r="CD82" s="437" t="n"/>
      <c r="CE82" s="437" t="n"/>
      <c r="CF82" s="437" t="n"/>
      <c r="CG82" s="437" t="n"/>
      <c r="CH82" s="437" t="n"/>
      <c r="CI82" s="437" t="n"/>
      <c r="CJ82" s="437" t="n"/>
      <c r="CK82" s="437" t="n"/>
      <c r="CL82" s="437" t="n"/>
      <c r="CM82" s="437" t="n"/>
      <c r="CN82" s="437" t="n"/>
      <c r="CO82" s="437" t="n"/>
      <c r="CP82" s="437" t="n"/>
      <c r="CQ82" s="437" t="n"/>
      <c r="CR82" s="437" t="n"/>
      <c r="CS82" s="437" t="n"/>
      <c r="CT82" s="437" t="n"/>
      <c r="CU82" s="437" t="n"/>
      <c r="CV82" s="437" t="n"/>
      <c r="CW82" s="437" t="n"/>
      <c r="CX82" s="437" t="n"/>
      <c r="CY82" s="437" t="n"/>
      <c r="CZ82" s="437" t="n"/>
      <c r="DA82" s="437" t="n"/>
      <c r="DB82" s="437" t="n"/>
      <c r="DC82" s="437" t="n"/>
      <c r="DD82" s="437" t="n"/>
      <c r="DE82" s="437" t="n"/>
      <c r="DF82" s="437" t="n"/>
      <c r="DG82" s="437" t="n"/>
      <c r="DH82" s="437" t="n"/>
      <c r="DI82" s="437" t="n"/>
      <c r="DJ82" s="437" t="n"/>
      <c r="DK82" s="437" t="n"/>
      <c r="DL82" s="437" t="n"/>
      <c r="DM82" s="437" t="n"/>
      <c r="DN82" s="437" t="n"/>
      <c r="DO82" s="437" t="n"/>
      <c r="DP82" s="437" t="n"/>
      <c r="DQ82" s="437" t="n"/>
      <c r="DR82" s="437" t="n"/>
      <c r="DS82" s="437" t="n"/>
      <c r="DT82" s="437" t="n"/>
      <c r="DU82" s="437" t="n"/>
      <c r="DV82" s="437" t="n"/>
      <c r="DW82" s="437" t="n"/>
      <c r="DX82" s="437" t="n"/>
      <c r="DY82" s="238" t="n"/>
      <c r="DZ82" s="23" t="n"/>
      <c r="FQ82" s="212" t="n"/>
      <c r="FR82" s="212" t="n"/>
      <c r="FS82" s="212" t="n"/>
      <c r="FT82" s="212" t="n"/>
      <c r="FU82" s="212" t="n"/>
      <c r="FV82" s="212" t="n"/>
      <c r="FW82" s="212" t="n"/>
      <c r="FX82" s="212" t="n"/>
      <c r="FY82" s="212" t="n"/>
      <c r="FZ82" s="212" t="n"/>
    </row>
    <row r="83" ht="39.95" customFormat="1" customHeight="1" s="5">
      <c r="A83" s="182" t="n">
        <v>0.083</v>
      </c>
      <c r="B83" s="7" t="inlineStr">
        <is>
          <t>-36 IN</t>
        </is>
      </c>
      <c r="C83" s="11" t="inlineStr">
        <is>
          <t>C</t>
        </is>
      </c>
      <c r="D83" s="434" t="n">
        <v>0.193</v>
      </c>
      <c r="E83" s="437" t="n">
        <v>0.184</v>
      </c>
      <c r="F83" s="101" t="n">
        <v>0.226</v>
      </c>
      <c r="G83" s="101" t="n">
        <v>0.228</v>
      </c>
      <c r="H83" s="440" t="n">
        <v>0.218</v>
      </c>
      <c r="I83" s="443" t="n">
        <v>0.259</v>
      </c>
      <c r="J83" s="101" t="n">
        <v>0.29</v>
      </c>
      <c r="K83" s="437" t="n">
        <v>0.26</v>
      </c>
      <c r="L83" s="437" t="n">
        <v>0.256</v>
      </c>
      <c r="M83" s="440" t="n">
        <v>0.248</v>
      </c>
      <c r="N83" s="103" t="n">
        <v>0.261</v>
      </c>
      <c r="O83" s="101" t="n">
        <v>0.227</v>
      </c>
      <c r="P83" s="101" t="n">
        <v>0.218</v>
      </c>
      <c r="Q83" s="437" t="n">
        <v>0.213</v>
      </c>
      <c r="R83" s="440" t="n">
        <v>0.208</v>
      </c>
      <c r="S83" s="103" t="n">
        <v>0.233</v>
      </c>
      <c r="T83" s="101" t="n">
        <v>0.216</v>
      </c>
      <c r="U83" s="437" t="n">
        <v>0.217</v>
      </c>
      <c r="V83" s="101" t="n">
        <v>0.222</v>
      </c>
      <c r="W83" s="398" t="n">
        <v>0.197</v>
      </c>
      <c r="X83" s="401" t="n">
        <v>0.243</v>
      </c>
      <c r="Y83" s="101" t="n">
        <v>0.214</v>
      </c>
      <c r="Z83" s="101" t="n">
        <v>0.213</v>
      </c>
      <c r="AA83" s="101" t="n">
        <v>0.219</v>
      </c>
      <c r="AB83" s="440" t="n">
        <v>0.212</v>
      </c>
      <c r="AC83" s="443" t="n">
        <v>0.207</v>
      </c>
      <c r="AD83" s="101" t="n">
        <v>0.219</v>
      </c>
      <c r="AE83" s="101" t="n">
        <v>0.245</v>
      </c>
      <c r="AF83" s="101" t="n">
        <v>0.217</v>
      </c>
      <c r="AG83" s="440" t="n">
        <v>0.201</v>
      </c>
      <c r="AH83" s="443" t="n">
        <v>0.193</v>
      </c>
      <c r="AI83" s="395" t="n">
        <v>0.193</v>
      </c>
      <c r="AJ83" s="101" t="n">
        <v>0.225</v>
      </c>
      <c r="AK83" s="101" t="n">
        <v>0.224</v>
      </c>
      <c r="AL83" s="440" t="n">
        <v>0.196</v>
      </c>
      <c r="AM83" s="103" t="n">
        <v>0.215</v>
      </c>
      <c r="AN83" s="101" t="n">
        <v>0.225</v>
      </c>
      <c r="AO83" s="101" t="n">
        <v>0.217</v>
      </c>
      <c r="AP83" s="101" t="n">
        <v>0.212</v>
      </c>
      <c r="AQ83" s="102" t="n">
        <v>0.214</v>
      </c>
      <c r="AR83" s="443" t="n">
        <v>0.195</v>
      </c>
      <c r="AS83" s="437" t="n">
        <v>0.202</v>
      </c>
      <c r="AT83" s="395" t="n">
        <v>0.218</v>
      </c>
      <c r="AU83" s="101" t="n">
        <v>0.207</v>
      </c>
      <c r="AV83" s="102" t="n">
        <v>0.229</v>
      </c>
      <c r="AW83" s="103" t="n">
        <v>0.226</v>
      </c>
      <c r="AX83" s="437" t="n">
        <v>0.208</v>
      </c>
      <c r="AY83" s="101" t="n">
        <v>0.224</v>
      </c>
      <c r="AZ83" s="395" t="n">
        <v>0.226</v>
      </c>
      <c r="BA83" s="102" t="n">
        <v>0.214</v>
      </c>
      <c r="BB83" s="103" t="n">
        <v>0.208</v>
      </c>
      <c r="BC83" s="101" t="n">
        <v>0.222</v>
      </c>
      <c r="BD83" s="437" t="n">
        <v>0.211</v>
      </c>
      <c r="BE83" s="437" t="n">
        <v>0.203</v>
      </c>
      <c r="BF83" s="102" t="n">
        <v>0.215</v>
      </c>
      <c r="BG83" s="443" t="n">
        <v>0.195</v>
      </c>
      <c r="BH83" s="101" t="n">
        <v>0.229</v>
      </c>
      <c r="BI83" s="101" t="n">
        <v>0.214</v>
      </c>
      <c r="BJ83" s="101" t="n">
        <v>0.214</v>
      </c>
      <c r="BK83" s="102" t="n">
        <v>0.224</v>
      </c>
      <c r="BL83" s="103" t="n">
        <v>0.213</v>
      </c>
      <c r="BM83" s="437" t="n">
        <v>0.198</v>
      </c>
      <c r="BN83" s="437" t="n">
        <v>0.206</v>
      </c>
      <c r="BO83" s="395" t="n">
        <v>0.227</v>
      </c>
      <c r="BP83" s="440" t="n">
        <v>0.221</v>
      </c>
      <c r="BQ83" s="443" t="n">
        <v>0.219</v>
      </c>
      <c r="BR83" s="101" t="n">
        <v>0.228</v>
      </c>
      <c r="BS83" s="437" t="n">
        <v>0.188</v>
      </c>
      <c r="BT83" s="440" t="n">
        <v>0.219</v>
      </c>
      <c r="BU83" s="455" t="n"/>
      <c r="BV83" s="455" t="n"/>
      <c r="BW83" s="437" t="n"/>
      <c r="BX83" s="437" t="n"/>
      <c r="BY83" s="437" t="n"/>
      <c r="BZ83" s="437" t="n"/>
      <c r="CA83" s="437" t="n"/>
      <c r="CB83" s="437" t="n"/>
      <c r="CC83" s="437" t="n"/>
      <c r="CD83" s="437" t="n"/>
      <c r="CE83" s="437" t="n"/>
      <c r="CF83" s="437" t="n"/>
      <c r="CG83" s="437" t="n"/>
      <c r="CH83" s="437" t="n"/>
      <c r="CI83" s="437" t="n"/>
      <c r="CJ83" s="437" t="n"/>
      <c r="CK83" s="437" t="n"/>
      <c r="CL83" s="437" t="n"/>
      <c r="CM83" s="437" t="n"/>
      <c r="CN83" s="437" t="n"/>
      <c r="CO83" s="437" t="n"/>
      <c r="CP83" s="437" t="n"/>
      <c r="CQ83" s="437" t="n"/>
      <c r="CR83" s="437" t="n"/>
      <c r="CS83" s="437" t="n"/>
      <c r="CT83" s="437" t="n"/>
      <c r="CU83" s="437" t="n"/>
      <c r="CV83" s="437" t="n"/>
      <c r="CW83" s="437" t="n"/>
      <c r="CX83" s="437" t="n"/>
      <c r="CY83" s="437" t="n"/>
      <c r="CZ83" s="437" t="n"/>
      <c r="DA83" s="437" t="n"/>
      <c r="DB83" s="437" t="n"/>
      <c r="DC83" s="437" t="n"/>
      <c r="DD83" s="437" t="n"/>
      <c r="DE83" s="437" t="n"/>
      <c r="DF83" s="437" t="n"/>
      <c r="DG83" s="437" t="n"/>
      <c r="DH83" s="437" t="n"/>
      <c r="DI83" s="437" t="n"/>
      <c r="DJ83" s="437" t="n"/>
      <c r="DK83" s="437" t="n"/>
      <c r="DL83" s="437" t="n"/>
      <c r="DM83" s="437" t="n"/>
      <c r="DN83" s="437" t="n"/>
      <c r="DO83" s="437" t="n"/>
      <c r="DP83" s="437" t="n"/>
      <c r="DQ83" s="437" t="n"/>
      <c r="DR83" s="437" t="n"/>
      <c r="DS83" s="437" t="n"/>
      <c r="DT83" s="437" t="n"/>
      <c r="DU83" s="437" t="n"/>
      <c r="DV83" s="437" t="n"/>
      <c r="DW83" s="437" t="n"/>
      <c r="DX83" s="437" t="n"/>
      <c r="DY83" s="238" t="n"/>
      <c r="DZ83" s="23" t="n"/>
      <c r="FQ83" s="212" t="n"/>
      <c r="FR83" s="212" t="n"/>
      <c r="FS83" s="212" t="n"/>
      <c r="FT83" s="212" t="n"/>
      <c r="FU83" s="212" t="n"/>
      <c r="FV83" s="212" t="n"/>
      <c r="FW83" s="212" t="n"/>
      <c r="FX83" s="212" t="n"/>
      <c r="FY83" s="212" t="n"/>
      <c r="FZ83" s="212" t="n"/>
    </row>
    <row r="84" ht="39.95" customFormat="1" customHeight="1" s="5">
      <c r="A84" s="456" t="n"/>
      <c r="B84" s="8" t="n"/>
      <c r="C84" s="12" t="inlineStr">
        <is>
          <t>R</t>
        </is>
      </c>
      <c r="D84" s="393" t="inlineStr">
        <is>
          <t>RF</t>
        </is>
      </c>
      <c r="E84" s="438" t="n">
        <v>0.212</v>
      </c>
      <c r="F84" s="438" t="n">
        <v>0.223</v>
      </c>
      <c r="G84" s="438" t="n">
        <v>0.212</v>
      </c>
      <c r="H84" s="441" t="n">
        <v>0.217</v>
      </c>
      <c r="I84" s="106" t="n">
        <v>0.268</v>
      </c>
      <c r="J84" s="438" t="n">
        <v>0.264</v>
      </c>
      <c r="K84" s="438" t="n">
        <v>0.264</v>
      </c>
      <c r="L84" s="438" t="n">
        <v>0.258</v>
      </c>
      <c r="M84" s="441" t="n">
        <v>0.25</v>
      </c>
      <c r="N84" s="444" t="n">
        <v>0.263</v>
      </c>
      <c r="O84" s="104" t="n">
        <v>0.225</v>
      </c>
      <c r="P84" s="104" t="n">
        <v>0.22</v>
      </c>
      <c r="Q84" s="438" t="n">
        <v>0.206</v>
      </c>
      <c r="R84" s="105" t="n">
        <v>0.223</v>
      </c>
      <c r="S84" s="444" t="n">
        <v>0.209</v>
      </c>
      <c r="T84" s="438" t="n">
        <v>0.204</v>
      </c>
      <c r="U84" s="438" t="n">
        <v>0.207</v>
      </c>
      <c r="V84" s="104" t="n">
        <v>0.222</v>
      </c>
      <c r="W84" s="441" t="n">
        <v>0.208</v>
      </c>
      <c r="X84" s="106" t="n">
        <v>0.225</v>
      </c>
      <c r="Y84" s="438" t="n">
        <v>0.192</v>
      </c>
      <c r="Z84" s="104" t="n">
        <v>0.205</v>
      </c>
      <c r="AA84" s="438" t="n">
        <v>0.211</v>
      </c>
      <c r="AB84" s="441" t="n">
        <v>0.207</v>
      </c>
      <c r="AC84" s="444" t="n">
        <v>0.204</v>
      </c>
      <c r="AD84" s="438" t="n">
        <v>0.208</v>
      </c>
      <c r="AE84" s="438" t="n">
        <v>0.213</v>
      </c>
      <c r="AF84" s="104" t="n">
        <v>0.22</v>
      </c>
      <c r="AG84" s="441" t="n">
        <v>0.196</v>
      </c>
      <c r="AH84" s="444" t="n">
        <v>0.208</v>
      </c>
      <c r="AI84" s="396" t="n">
        <v>0.207</v>
      </c>
      <c r="AJ84" s="104" t="n">
        <v>0.222</v>
      </c>
      <c r="AK84" s="396" t="n">
        <v>0.213</v>
      </c>
      <c r="AL84" s="105" t="n">
        <v>0.214</v>
      </c>
      <c r="AM84" s="444" t="n">
        <v>0.199</v>
      </c>
      <c r="AN84" s="104" t="n">
        <v>0.214</v>
      </c>
      <c r="AO84" s="104" t="n">
        <v>0.221</v>
      </c>
      <c r="AP84" s="438" t="n">
        <v>0.202</v>
      </c>
      <c r="AQ84" s="441" t="n">
        <v>0.205</v>
      </c>
      <c r="AR84" s="402" t="n">
        <v>0.201</v>
      </c>
      <c r="AS84" s="104" t="n">
        <v>0.212</v>
      </c>
      <c r="AT84" s="396" t="n">
        <v>0.205</v>
      </c>
      <c r="AU84" s="104" t="n">
        <v>0.214</v>
      </c>
      <c r="AV84" s="105" t="n">
        <v>0.21</v>
      </c>
      <c r="AW84" s="106" t="n">
        <v>0.221</v>
      </c>
      <c r="AX84" s="438" t="n">
        <v>0.208</v>
      </c>
      <c r="AY84" s="396" t="n">
        <v>0.219</v>
      </c>
      <c r="AZ84" s="104" t="n">
        <v>0.211</v>
      </c>
      <c r="BA84" s="441" t="n">
        <v>0.204</v>
      </c>
      <c r="BB84" s="444" t="n">
        <v>0.199</v>
      </c>
      <c r="BC84" s="438" t="n">
        <v>0.202</v>
      </c>
      <c r="BD84" s="438" t="n">
        <v>0.201</v>
      </c>
      <c r="BE84" s="438" t="n">
        <v>0.186</v>
      </c>
      <c r="BF84" s="399" t="n">
        <v>0.208</v>
      </c>
      <c r="BG84" s="444" t="n">
        <v>0.192</v>
      </c>
      <c r="BH84" s="438" t="n">
        <v>0.212</v>
      </c>
      <c r="BI84" s="104" t="n">
        <v>0.214</v>
      </c>
      <c r="BJ84" s="438" t="n">
        <v>0.208</v>
      </c>
      <c r="BK84" s="105" t="n">
        <v>0.224</v>
      </c>
      <c r="BL84" s="106" t="n">
        <v>0.215</v>
      </c>
      <c r="BM84" s="104" t="n">
        <v>0.218</v>
      </c>
      <c r="BN84" s="396" t="n">
        <v>0.204</v>
      </c>
      <c r="BO84" s="396" t="n">
        <v>0.232</v>
      </c>
      <c r="BP84" s="441" t="n">
        <v>0.223</v>
      </c>
      <c r="BQ84" s="444" t="n">
        <v>0.189</v>
      </c>
      <c r="BR84" s="438" t="n">
        <v>0.21</v>
      </c>
      <c r="BS84" s="396" t="n">
        <v>0.219</v>
      </c>
      <c r="BT84" s="441" t="n">
        <v>0.179</v>
      </c>
      <c r="BU84" s="457" t="n"/>
      <c r="BV84" s="457" t="n"/>
      <c r="BW84" s="437" t="n"/>
      <c r="BX84" s="437" t="n"/>
      <c r="BY84" s="437" t="n"/>
      <c r="BZ84" s="437" t="n"/>
      <c r="CA84" s="437" t="n"/>
      <c r="CB84" s="437" t="n"/>
      <c r="CC84" s="437" t="n"/>
      <c r="CD84" s="437" t="n"/>
      <c r="CE84" s="437" t="n"/>
      <c r="CF84" s="437" t="n"/>
      <c r="CG84" s="437" t="n"/>
      <c r="CH84" s="437" t="n"/>
      <c r="CI84" s="437" t="n"/>
      <c r="CJ84" s="437" t="n"/>
      <c r="CK84" s="437" t="n"/>
      <c r="CL84" s="437" t="n"/>
      <c r="CM84" s="437" t="n"/>
      <c r="CN84" s="437" t="n"/>
      <c r="CO84" s="437" t="n"/>
      <c r="CP84" s="437" t="n"/>
      <c r="CQ84" s="437" t="n"/>
      <c r="CR84" s="437" t="n"/>
      <c r="CS84" s="437" t="n"/>
      <c r="CT84" s="437" t="n"/>
      <c r="CU84" s="437" t="n"/>
      <c r="CV84" s="437" t="n"/>
      <c r="CW84" s="437" t="n"/>
      <c r="CX84" s="437" t="n"/>
      <c r="CY84" s="437" t="n"/>
      <c r="CZ84" s="437" t="n"/>
      <c r="DA84" s="437" t="n"/>
      <c r="DB84" s="437" t="n"/>
      <c r="DC84" s="437" t="n"/>
      <c r="DD84" s="437" t="n"/>
      <c r="DE84" s="437" t="n"/>
      <c r="DF84" s="437" t="n"/>
      <c r="DG84" s="437" t="n"/>
      <c r="DH84" s="437" t="n"/>
      <c r="DI84" s="437" t="n"/>
      <c r="DJ84" s="437" t="n"/>
      <c r="DK84" s="437" t="n"/>
      <c r="DL84" s="437" t="n"/>
      <c r="DM84" s="437" t="n"/>
      <c r="DN84" s="437" t="n"/>
      <c r="DO84" s="437" t="n"/>
      <c r="DP84" s="437" t="n"/>
      <c r="DQ84" s="437" t="n"/>
      <c r="DR84" s="437" t="n"/>
      <c r="DS84" s="437" t="n"/>
      <c r="DT84" s="437" t="n"/>
      <c r="DU84" s="437" t="n"/>
      <c r="DV84" s="437" t="n"/>
      <c r="DW84" s="437" t="n"/>
      <c r="DX84" s="437" t="n"/>
      <c r="DY84" s="238" t="n"/>
      <c r="DZ84" s="23" t="n"/>
      <c r="FQ84" s="212" t="n"/>
      <c r="FR84" s="212" t="n"/>
      <c r="FS84" s="212" t="n"/>
      <c r="FT84" s="212" t="n"/>
      <c r="FU84" s="212" t="n"/>
      <c r="FV84" s="212" t="n"/>
      <c r="FW84" s="212" t="n"/>
      <c r="FX84" s="212" t="n"/>
      <c r="FY84" s="212" t="n"/>
      <c r="FZ84" s="212" t="n"/>
    </row>
    <row r="85" ht="39.95" customFormat="1" customHeight="1" s="5">
      <c r="A85" s="10" t="inlineStr">
        <is>
          <t>A</t>
        </is>
      </c>
      <c r="B85" s="6" t="n"/>
      <c r="C85" s="11" t="inlineStr">
        <is>
          <t>L</t>
        </is>
      </c>
      <c r="D85" s="433" t="n">
        <v>0.21</v>
      </c>
      <c r="E85" s="394" t="n">
        <v>0.226</v>
      </c>
      <c r="F85" s="394" t="n">
        <v>0.249</v>
      </c>
      <c r="G85" s="99" t="n">
        <v>0.235</v>
      </c>
      <c r="H85" s="100" t="inlineStr">
        <is>
          <t>RF</t>
        </is>
      </c>
      <c r="I85" s="442" t="n">
        <v>0.237</v>
      </c>
      <c r="J85" s="394" t="n">
        <v>0.27</v>
      </c>
      <c r="K85" s="394" t="n">
        <v>0.241</v>
      </c>
      <c r="L85" s="394" t="n">
        <v>0.284</v>
      </c>
      <c r="M85" s="439" t="n">
        <v>0.26</v>
      </c>
      <c r="N85" s="442" t="n">
        <v>0.251</v>
      </c>
      <c r="O85" s="394" t="n">
        <v>0.234</v>
      </c>
      <c r="P85" s="394" t="n">
        <v>0.218</v>
      </c>
      <c r="Q85" s="394" t="n">
        <v>0.226</v>
      </c>
      <c r="R85" s="439" t="n">
        <v>0.207</v>
      </c>
      <c r="S85" s="442" t="n">
        <v>0.206</v>
      </c>
      <c r="T85" s="436" t="n">
        <v>0.205</v>
      </c>
      <c r="U85" s="436" t="n">
        <v>0.202</v>
      </c>
      <c r="V85" s="436" t="n">
        <v>0.189</v>
      </c>
      <c r="W85" s="439" t="n">
        <v>0.197</v>
      </c>
      <c r="X85" s="442" t="n">
        <v>0.212</v>
      </c>
      <c r="Y85" s="394" t="n">
        <v>0.229</v>
      </c>
      <c r="Z85" s="99" t="n">
        <v>0.235</v>
      </c>
      <c r="AA85" s="99" t="n">
        <v>0.227</v>
      </c>
      <c r="AB85" s="439" t="n">
        <v>0.212</v>
      </c>
      <c r="AC85" s="442" t="n">
        <v>0.202</v>
      </c>
      <c r="AD85" s="436" t="n">
        <v>0.211</v>
      </c>
      <c r="AE85" s="99" t="n">
        <v>0.24</v>
      </c>
      <c r="AF85" s="436" t="n">
        <v>0.209</v>
      </c>
      <c r="AG85" s="100" t="n">
        <v>0.223</v>
      </c>
      <c r="AH85" s="442" t="n">
        <v>0.199</v>
      </c>
      <c r="AI85" s="436" t="n">
        <v>0.207</v>
      </c>
      <c r="AJ85" s="436" t="n">
        <v>0.173</v>
      </c>
      <c r="AK85" s="436" t="n">
        <v>0.201</v>
      </c>
      <c r="AL85" s="100" t="n">
        <v>0.22</v>
      </c>
      <c r="AM85" s="442" t="n">
        <v>0.22</v>
      </c>
      <c r="AN85" s="436" t="n">
        <v>0.204</v>
      </c>
      <c r="AO85" s="436" t="n">
        <v>0.205</v>
      </c>
      <c r="AP85" s="436" t="n">
        <v>0.199</v>
      </c>
      <c r="AQ85" s="100" t="n">
        <v>0.22</v>
      </c>
      <c r="AR85" s="442" t="n">
        <v>0.192</v>
      </c>
      <c r="AS85" s="436" t="n">
        <v>0.209</v>
      </c>
      <c r="AT85" s="99" t="n">
        <v>0.223</v>
      </c>
      <c r="AU85" s="99" t="n">
        <v>0.218</v>
      </c>
      <c r="AV85" s="439" t="n">
        <v>0.208</v>
      </c>
      <c r="AW85" s="400" t="n">
        <v>0.23</v>
      </c>
      <c r="AX85" s="436" t="n">
        <v>0.205</v>
      </c>
      <c r="AY85" s="99" t="n">
        <v>0.212</v>
      </c>
      <c r="AZ85" s="394" t="n">
        <v>0.212</v>
      </c>
      <c r="BA85" s="100" t="n">
        <v>0.215</v>
      </c>
      <c r="BB85" s="98" t="n">
        <v>0.219</v>
      </c>
      <c r="BC85" s="99" t="n">
        <v>0.219</v>
      </c>
      <c r="BD85" s="436" t="n">
        <v>0.207</v>
      </c>
      <c r="BE85" s="436" t="n">
        <v>0.21</v>
      </c>
      <c r="BF85" s="100" t="n">
        <v>0.224</v>
      </c>
      <c r="BG85" s="442" t="n">
        <v>0.204</v>
      </c>
      <c r="BH85" s="394" t="n">
        <v>0.218</v>
      </c>
      <c r="BI85" s="394" t="n">
        <v>0.218</v>
      </c>
      <c r="BJ85" s="436" t="n">
        <v>0.192</v>
      </c>
      <c r="BK85" s="397" t="n">
        <v>0.219</v>
      </c>
      <c r="BL85" s="400" t="n">
        <v>0.204</v>
      </c>
      <c r="BM85" s="99" t="n">
        <v>0.229</v>
      </c>
      <c r="BN85" s="436" t="n">
        <v>0.191</v>
      </c>
      <c r="BO85" s="99" t="n">
        <v>0.219</v>
      </c>
      <c r="BP85" s="100" t="n">
        <v>0.218</v>
      </c>
      <c r="BQ85" s="442" t="n">
        <v>0.203</v>
      </c>
      <c r="BR85" s="436" t="n">
        <v>0.214</v>
      </c>
      <c r="BS85" s="99" t="n">
        <v>0.212</v>
      </c>
      <c r="BT85" s="100" t="n">
        <v>0.228</v>
      </c>
      <c r="BU85" s="454">
        <f>IFERROR(AVERAGE(D85:BT87),0)</f>
        <v/>
      </c>
      <c r="BV85" s="454">
        <f>MIN(D85:BT87)</f>
        <v/>
      </c>
      <c r="BW85" s="437" t="n"/>
      <c r="BX85" s="437" t="n"/>
      <c r="BY85" s="437" t="n"/>
      <c r="BZ85" s="437" t="n"/>
      <c r="CA85" s="437" t="n"/>
      <c r="CB85" s="437" t="n"/>
      <c r="CC85" s="437" t="n"/>
      <c r="CD85" s="437" t="n"/>
      <c r="CE85" s="437" t="n"/>
      <c r="CF85" s="437" t="n"/>
      <c r="CG85" s="437" t="n"/>
      <c r="CH85" s="437" t="n"/>
      <c r="CI85" s="437" t="n"/>
      <c r="CJ85" s="437" t="n"/>
      <c r="CK85" s="437" t="n"/>
      <c r="CL85" s="437" t="n"/>
      <c r="CM85" s="437" t="n"/>
      <c r="CN85" s="437" t="n"/>
      <c r="CO85" s="437" t="n"/>
      <c r="CP85" s="437" t="n"/>
      <c r="CQ85" s="437" t="n"/>
      <c r="CR85" s="437" t="n"/>
      <c r="CS85" s="437" t="n"/>
      <c r="CT85" s="437" t="n"/>
      <c r="CU85" s="437" t="n"/>
      <c r="CV85" s="437" t="n"/>
      <c r="CW85" s="437" t="n"/>
      <c r="CX85" s="437" t="n"/>
      <c r="CY85" s="437" t="n"/>
      <c r="CZ85" s="437" t="n"/>
      <c r="DA85" s="437" t="n"/>
      <c r="DB85" s="437" t="n"/>
      <c r="DC85" s="437" t="n"/>
      <c r="DD85" s="437" t="n"/>
      <c r="DE85" s="437" t="n"/>
      <c r="DF85" s="437" t="n"/>
      <c r="DG85" s="437" t="n"/>
      <c r="DH85" s="437" t="n"/>
      <c r="DI85" s="437" t="n"/>
      <c r="DJ85" s="437" t="n"/>
      <c r="DK85" s="437" t="n"/>
      <c r="DL85" s="437" t="n"/>
      <c r="DM85" s="437" t="n"/>
      <c r="DN85" s="437" t="n"/>
      <c r="DO85" s="437" t="n"/>
      <c r="DP85" s="437" t="n"/>
      <c r="DQ85" s="437" t="n"/>
      <c r="DR85" s="437" t="n"/>
      <c r="DS85" s="437" t="n"/>
      <c r="DT85" s="437" t="n"/>
      <c r="DU85" s="437" t="n"/>
      <c r="DV85" s="437" t="n"/>
      <c r="DW85" s="437" t="n"/>
      <c r="DX85" s="437" t="n"/>
      <c r="DY85" s="238" t="n"/>
      <c r="DZ85" s="23" t="n"/>
      <c r="FQ85" s="212" t="n"/>
      <c r="FR85" s="212" t="n"/>
      <c r="FS85" s="212" t="n"/>
      <c r="FT85" s="212" t="n"/>
      <c r="FU85" s="212" t="n"/>
      <c r="FV85" s="212" t="n"/>
      <c r="FW85" s="212" t="n"/>
      <c r="FX85" s="212" t="n"/>
      <c r="FY85" s="212" t="n"/>
      <c r="FZ85" s="212" t="n"/>
    </row>
    <row r="86" ht="39.95" customFormat="1" customHeight="1" s="5">
      <c r="A86" s="182" t="n">
        <v>0.083</v>
      </c>
      <c r="B86" s="7" t="inlineStr">
        <is>
          <t>-45 IN</t>
        </is>
      </c>
      <c r="C86" s="11" t="inlineStr">
        <is>
          <t>C</t>
        </is>
      </c>
      <c r="D86" s="392" t="n">
        <v>0.115</v>
      </c>
      <c r="E86" s="437" t="n">
        <v>0.224</v>
      </c>
      <c r="F86" s="395" t="n">
        <v>0.185</v>
      </c>
      <c r="G86" s="101" t="n">
        <v>0.225</v>
      </c>
      <c r="H86" s="102" t="n">
        <v>0.228</v>
      </c>
      <c r="I86" s="401" t="n">
        <v>0.272</v>
      </c>
      <c r="J86" s="395" t="n">
        <v>0.265</v>
      </c>
      <c r="K86" s="395" t="n">
        <v>0.285</v>
      </c>
      <c r="L86" s="395" t="n">
        <v>0.231</v>
      </c>
      <c r="M86" s="398" t="n">
        <v>0.27</v>
      </c>
      <c r="N86" s="443" t="n">
        <v>0.259</v>
      </c>
      <c r="O86" s="437" t="n">
        <v>0.221</v>
      </c>
      <c r="P86" s="395" t="n">
        <v>0.213</v>
      </c>
      <c r="Q86" s="437" t="n">
        <v>0.213</v>
      </c>
      <c r="R86" s="398" t="n">
        <v>0.236</v>
      </c>
      <c r="S86" s="443" t="n">
        <v>0.212</v>
      </c>
      <c r="T86" s="437" t="n">
        <v>0.206</v>
      </c>
      <c r="U86" s="101" t="n">
        <v>0.219</v>
      </c>
      <c r="V86" s="101" t="n">
        <v>0.235</v>
      </c>
      <c r="W86" s="102" t="n">
        <v>0.214</v>
      </c>
      <c r="X86" s="443" t="n">
        <v>0.21</v>
      </c>
      <c r="Y86" s="395" t="n">
        <v>0.228</v>
      </c>
      <c r="Z86" s="437" t="n">
        <v>0.194</v>
      </c>
      <c r="AA86" s="395" t="n">
        <v>0.2</v>
      </c>
      <c r="AB86" s="398" t="n">
        <v>0.233</v>
      </c>
      <c r="AC86" s="443" t="n">
        <v>0.203</v>
      </c>
      <c r="AD86" s="101" t="n">
        <v>0.227</v>
      </c>
      <c r="AE86" s="101" t="n">
        <v>0.216</v>
      </c>
      <c r="AF86" s="437" t="n">
        <v>0.214</v>
      </c>
      <c r="AG86" s="440" t="n">
        <v>0.208</v>
      </c>
      <c r="AH86" s="443" t="n">
        <v>0.192</v>
      </c>
      <c r="AI86" s="437" t="n">
        <v>0.203</v>
      </c>
      <c r="AJ86" s="395" t="n">
        <v>0.226</v>
      </c>
      <c r="AK86" s="395" t="n">
        <v>0.21</v>
      </c>
      <c r="AL86" s="440" t="n">
        <v>0.209</v>
      </c>
      <c r="AM86" s="443" t="n">
        <v>0.215</v>
      </c>
      <c r="AN86" s="437" t="n">
        <v>0.215</v>
      </c>
      <c r="AO86" s="437" t="n">
        <v>0.2</v>
      </c>
      <c r="AP86" s="101" t="n">
        <v>0.222</v>
      </c>
      <c r="AQ86" s="398" t="n">
        <v>0.232</v>
      </c>
      <c r="AR86" s="443" t="n">
        <v>0.208</v>
      </c>
      <c r="AS86" s="395" t="n">
        <v>0.239</v>
      </c>
      <c r="AT86" s="101" t="n">
        <v>0.229</v>
      </c>
      <c r="AU86" s="395" t="n">
        <v>0.218</v>
      </c>
      <c r="AV86" s="440" t="n">
        <v>0.187</v>
      </c>
      <c r="AW86" s="401" t="n">
        <v>0.23</v>
      </c>
      <c r="AX86" s="101" t="n">
        <v>0.222</v>
      </c>
      <c r="AY86" s="395" t="n">
        <v>0.223</v>
      </c>
      <c r="AZ86" s="437" t="n">
        <v>0.202</v>
      </c>
      <c r="BA86" s="102" t="n">
        <v>0.214</v>
      </c>
      <c r="BB86" s="103" t="n">
        <v>0.211</v>
      </c>
      <c r="BC86" s="437" t="n">
        <v>0.216</v>
      </c>
      <c r="BD86" s="437" t="n">
        <v>0.214</v>
      </c>
      <c r="BE86" s="395" t="n">
        <v>0.214</v>
      </c>
      <c r="BF86" s="440" t="n">
        <v>0.204</v>
      </c>
      <c r="BG86" s="443" t="n">
        <v>0.211</v>
      </c>
      <c r="BH86" s="395" t="n">
        <v>0.218</v>
      </c>
      <c r="BI86" s="101" t="n">
        <v>0.211</v>
      </c>
      <c r="BJ86" s="101" t="n">
        <v>0.213</v>
      </c>
      <c r="BK86" s="398" t="n">
        <v>0.222</v>
      </c>
      <c r="BL86" s="401" t="n">
        <v>0.244</v>
      </c>
      <c r="BM86" s="101" t="n">
        <v>0.221</v>
      </c>
      <c r="BN86" s="437" t="n">
        <v>0.208</v>
      </c>
      <c r="BO86" s="101" t="n">
        <v>0.214</v>
      </c>
      <c r="BP86" s="440" t="n">
        <v>0.198</v>
      </c>
      <c r="BQ86" s="443" t="n">
        <v>0.191</v>
      </c>
      <c r="BR86" s="395" t="n">
        <v>0.244</v>
      </c>
      <c r="BS86" s="437" t="n">
        <v>0.212</v>
      </c>
      <c r="BT86" s="440" t="n">
        <v>0.211</v>
      </c>
      <c r="BU86" s="455" t="n"/>
      <c r="BV86" s="455" t="n"/>
      <c r="BW86" s="437" t="n"/>
      <c r="BX86" s="437" t="n"/>
      <c r="BY86" s="437" t="n"/>
      <c r="BZ86" s="437" t="n"/>
      <c r="CA86" s="437" t="n"/>
      <c r="CB86" s="437" t="n"/>
      <c r="CC86" s="437" t="n"/>
      <c r="CD86" s="437" t="n"/>
      <c r="CE86" s="437" t="n"/>
      <c r="CF86" s="437" t="n"/>
      <c r="CG86" s="437" t="n"/>
      <c r="CH86" s="437" t="n"/>
      <c r="CI86" s="437" t="n"/>
      <c r="CJ86" s="437" t="n"/>
      <c r="CK86" s="437" t="n"/>
      <c r="CL86" s="437" t="n"/>
      <c r="CM86" s="437" t="n"/>
      <c r="CN86" s="437" t="n"/>
      <c r="CO86" s="437" t="n"/>
      <c r="CP86" s="437" t="n"/>
      <c r="CQ86" s="437" t="n"/>
      <c r="CR86" s="437" t="n"/>
      <c r="CS86" s="437" t="n"/>
      <c r="CT86" s="437" t="n"/>
      <c r="CU86" s="437" t="n"/>
      <c r="CV86" s="437" t="n"/>
      <c r="CW86" s="437" t="n"/>
      <c r="CX86" s="437" t="n"/>
      <c r="CY86" s="437" t="n"/>
      <c r="CZ86" s="437" t="n"/>
      <c r="DA86" s="437" t="n"/>
      <c r="DB86" s="437" t="n"/>
      <c r="DC86" s="437" t="n"/>
      <c r="DD86" s="437" t="n"/>
      <c r="DE86" s="437" t="n"/>
      <c r="DF86" s="437" t="n"/>
      <c r="DG86" s="437" t="n"/>
      <c r="DH86" s="437" t="n"/>
      <c r="DI86" s="437" t="n"/>
      <c r="DJ86" s="437" t="n"/>
      <c r="DK86" s="437" t="n"/>
      <c r="DL86" s="437" t="n"/>
      <c r="DM86" s="437" t="n"/>
      <c r="DN86" s="437" t="n"/>
      <c r="DO86" s="437" t="n"/>
      <c r="DP86" s="437" t="n"/>
      <c r="DQ86" s="437" t="n"/>
      <c r="DR86" s="437" t="n"/>
      <c r="DS86" s="437" t="n"/>
      <c r="DT86" s="437" t="n"/>
      <c r="DU86" s="437" t="n"/>
      <c r="DV86" s="437" t="n"/>
      <c r="DW86" s="437" t="n"/>
      <c r="DX86" s="437" t="n"/>
      <c r="DY86" s="238" t="n"/>
      <c r="DZ86" s="23" t="n"/>
      <c r="FQ86" s="212" t="n"/>
      <c r="FR86" s="212" t="n"/>
      <c r="FS86" s="212" t="n"/>
      <c r="FT86" s="212" t="n"/>
      <c r="FU86" s="212" t="n"/>
      <c r="FV86" s="212" t="n"/>
      <c r="FW86" s="212" t="n"/>
      <c r="FX86" s="212" t="n"/>
      <c r="FY86" s="212" t="n"/>
      <c r="FZ86" s="212" t="n"/>
    </row>
    <row r="87" ht="39.95" customFormat="1" customHeight="1" s="5">
      <c r="A87" s="456" t="n"/>
      <c r="B87" s="8" t="n"/>
      <c r="C87" s="12" t="inlineStr">
        <is>
          <t>R</t>
        </is>
      </c>
      <c r="D87" s="393" t="inlineStr">
        <is>
          <t>RF</t>
        </is>
      </c>
      <c r="E87" s="104" t="n">
        <v>0.231</v>
      </c>
      <c r="F87" s="396" t="n">
        <v>0.194</v>
      </c>
      <c r="G87" s="104" t="n">
        <v>0.231</v>
      </c>
      <c r="H87" s="105" t="n">
        <v>0.222</v>
      </c>
      <c r="I87" s="444" t="n">
        <v>0.232</v>
      </c>
      <c r="J87" s="396" t="n">
        <v>0.269</v>
      </c>
      <c r="K87" s="396" t="n">
        <v>0.262</v>
      </c>
      <c r="L87" s="438" t="n">
        <v>0.233</v>
      </c>
      <c r="M87" s="441" t="n">
        <v>0.227</v>
      </c>
      <c r="N87" s="444" t="n">
        <v>0.267</v>
      </c>
      <c r="O87" s="104" t="n">
        <v>0.222</v>
      </c>
      <c r="P87" s="396" t="n">
        <v>0.219</v>
      </c>
      <c r="Q87" s="396" t="n">
        <v>0.219</v>
      </c>
      <c r="R87" s="441" t="n">
        <v>0.216</v>
      </c>
      <c r="S87" s="402" t="n">
        <v>0.224</v>
      </c>
      <c r="T87" s="396" t="n">
        <v>0.224</v>
      </c>
      <c r="U87" s="104" t="n">
        <v>0.22</v>
      </c>
      <c r="V87" s="438" t="n">
        <v>0.213</v>
      </c>
      <c r="W87" s="441" t="n">
        <v>0.198</v>
      </c>
      <c r="X87" s="444" t="n">
        <v>0.219</v>
      </c>
      <c r="Y87" s="438" t="n">
        <v>0.214</v>
      </c>
      <c r="Z87" s="104" t="n">
        <v>0.217</v>
      </c>
      <c r="AA87" s="438" t="n">
        <v>0.209</v>
      </c>
      <c r="AB87" s="441" t="n">
        <v>0.21</v>
      </c>
      <c r="AC87" s="106" t="n">
        <v>0.216</v>
      </c>
      <c r="AD87" s="438" t="n">
        <v>0.213</v>
      </c>
      <c r="AE87" s="438" t="n">
        <v>0.202</v>
      </c>
      <c r="AF87" s="104" t="n">
        <v>0.213</v>
      </c>
      <c r="AG87" s="105" t="n">
        <v>0.225</v>
      </c>
      <c r="AH87" s="444" t="n">
        <v>0.214</v>
      </c>
      <c r="AI87" s="396" t="n">
        <v>0.232</v>
      </c>
      <c r="AJ87" s="438" t="n">
        <v>0.21</v>
      </c>
      <c r="AK87" s="396" t="n">
        <v>0.233</v>
      </c>
      <c r="AL87" s="399" t="n">
        <v>0.21</v>
      </c>
      <c r="AM87" s="444" t="n">
        <v>0.175</v>
      </c>
      <c r="AN87" s="438" t="n">
        <v>0.211</v>
      </c>
      <c r="AO87" s="438" t="n">
        <v>0.21</v>
      </c>
      <c r="AP87" s="396" t="n">
        <v>0.23</v>
      </c>
      <c r="AQ87" s="105" t="n">
        <v>0.225</v>
      </c>
      <c r="AR87" s="106" t="n">
        <v>0.224</v>
      </c>
      <c r="AS87" s="438" t="n">
        <v>0.206</v>
      </c>
      <c r="AT87" s="104" t="n">
        <v>0.227</v>
      </c>
      <c r="AU87" s="104" t="n">
        <v>0.213</v>
      </c>
      <c r="AV87" s="441" t="n">
        <v>0.18</v>
      </c>
      <c r="AW87" s="402" t="n">
        <v>0.207</v>
      </c>
      <c r="AX87" s="438" t="n">
        <v>0.212</v>
      </c>
      <c r="AY87" s="438" t="n">
        <v>0.204</v>
      </c>
      <c r="AZ87" s="438" t="n">
        <v>0.202</v>
      </c>
      <c r="BA87" s="105" t="n">
        <v>0.225</v>
      </c>
      <c r="BB87" s="444" t="n">
        <v>0.207</v>
      </c>
      <c r="BC87" s="438" t="n">
        <v>0.209</v>
      </c>
      <c r="BD87" s="438" t="n">
        <v>0.207</v>
      </c>
      <c r="BE87" s="396" t="n">
        <v>0.217</v>
      </c>
      <c r="BF87" s="441" t="n">
        <v>0.197</v>
      </c>
      <c r="BG87" s="444" t="n">
        <v>0.199</v>
      </c>
      <c r="BH87" s="396" t="n">
        <v>0.226</v>
      </c>
      <c r="BI87" s="438" t="n">
        <v>0.212</v>
      </c>
      <c r="BJ87" s="104" t="n">
        <v>0.223</v>
      </c>
      <c r="BK87" s="399" t="n">
        <v>0.222</v>
      </c>
      <c r="BL87" s="402" t="n">
        <v>0.241</v>
      </c>
      <c r="BM87" s="438" t="n">
        <v>0.178</v>
      </c>
      <c r="BN87" s="438" t="n">
        <v>0.196</v>
      </c>
      <c r="BO87" s="438" t="n">
        <v>0.214</v>
      </c>
      <c r="BP87" s="441" t="n">
        <v>0.204</v>
      </c>
      <c r="BQ87" s="444" t="n">
        <v>0.186</v>
      </c>
      <c r="BR87" s="438" t="n">
        <v>0.211</v>
      </c>
      <c r="BS87" s="438" t="n">
        <v>0.212</v>
      </c>
      <c r="BT87" s="441" t="n">
        <v>0.207</v>
      </c>
      <c r="BU87" s="457" t="n"/>
      <c r="BV87" s="457" t="n"/>
      <c r="BW87" s="437" t="n"/>
      <c r="BX87" s="437" t="n"/>
      <c r="BY87" s="437" t="n"/>
      <c r="BZ87" s="437" t="n"/>
      <c r="CA87" s="437" t="n"/>
      <c r="CB87" s="437" t="n"/>
      <c r="CC87" s="437" t="n"/>
      <c r="CD87" s="437" t="n"/>
      <c r="CE87" s="437" t="n"/>
      <c r="CF87" s="437" t="n"/>
      <c r="CG87" s="437" t="n"/>
      <c r="CH87" s="437" t="n"/>
      <c r="CI87" s="437" t="n"/>
      <c r="CJ87" s="437" t="n"/>
      <c r="CK87" s="437" t="n"/>
      <c r="CL87" s="437" t="n"/>
      <c r="CM87" s="437" t="n"/>
      <c r="CN87" s="437" t="n"/>
      <c r="CO87" s="437" t="n"/>
      <c r="CP87" s="437" t="n"/>
      <c r="CQ87" s="437" t="n"/>
      <c r="CR87" s="437" t="n"/>
      <c r="CS87" s="437" t="n"/>
      <c r="CT87" s="437" t="n"/>
      <c r="CU87" s="437" t="n"/>
      <c r="CV87" s="437" t="n"/>
      <c r="CW87" s="437" t="n"/>
      <c r="CX87" s="437" t="n"/>
      <c r="CY87" s="437" t="n"/>
      <c r="CZ87" s="437" t="n"/>
      <c r="DA87" s="437" t="n"/>
      <c r="DB87" s="437" t="n"/>
      <c r="DC87" s="437" t="n"/>
      <c r="DD87" s="437" t="n"/>
      <c r="DE87" s="437" t="n"/>
      <c r="DF87" s="437" t="n"/>
      <c r="DG87" s="437" t="n"/>
      <c r="DH87" s="437" t="n"/>
      <c r="DI87" s="437" t="n"/>
      <c r="DJ87" s="437" t="n"/>
      <c r="DK87" s="437" t="n"/>
      <c r="DL87" s="437" t="n"/>
      <c r="DM87" s="437" t="n"/>
      <c r="DN87" s="437" t="n"/>
      <c r="DO87" s="437" t="n"/>
      <c r="DP87" s="437" t="n"/>
      <c r="DQ87" s="437" t="n"/>
      <c r="DR87" s="437" t="n"/>
      <c r="DS87" s="437" t="n"/>
      <c r="DT87" s="437" t="n"/>
      <c r="DU87" s="437" t="n"/>
      <c r="DV87" s="437" t="n"/>
      <c r="DW87" s="437" t="n"/>
      <c r="DX87" s="437" t="n"/>
      <c r="DY87" s="238" t="n"/>
      <c r="DZ87" s="23" t="n"/>
      <c r="FQ87" s="212" t="n"/>
      <c r="FR87" s="212" t="n"/>
      <c r="FS87" s="212" t="n"/>
      <c r="FT87" s="212" t="n"/>
      <c r="FU87" s="212" t="n"/>
      <c r="FV87" s="212" t="n"/>
      <c r="FW87" s="212" t="n"/>
      <c r="FX87" s="212" t="n"/>
      <c r="FY87" s="212" t="n"/>
      <c r="FZ87" s="212" t="n"/>
    </row>
    <row r="88" ht="39.95" customFormat="1" customHeight="1" s="5">
      <c r="A88" s="10" t="inlineStr">
        <is>
          <t>A</t>
        </is>
      </c>
      <c r="B88" s="6" t="n"/>
      <c r="C88" s="11" t="inlineStr">
        <is>
          <t>L</t>
        </is>
      </c>
      <c r="D88" s="391" t="n">
        <v>0.225</v>
      </c>
      <c r="E88" s="436" t="n">
        <v>0.218</v>
      </c>
      <c r="F88" s="394" t="inlineStr">
        <is>
          <t>RF</t>
        </is>
      </c>
      <c r="G88" s="99" t="n">
        <v>0.227</v>
      </c>
      <c r="H88" s="100" t="n">
        <v>0.235</v>
      </c>
      <c r="I88" s="442" t="n">
        <v>0.232</v>
      </c>
      <c r="J88" s="99" t="n">
        <v>0.276</v>
      </c>
      <c r="K88" s="436" t="n">
        <v>0.267</v>
      </c>
      <c r="L88" s="394" t="n">
        <v>0.253</v>
      </c>
      <c r="M88" s="397" t="n">
        <v>0.267</v>
      </c>
      <c r="N88" s="400" t="n">
        <v>0.27</v>
      </c>
      <c r="O88" s="436" t="n">
        <v>0.21</v>
      </c>
      <c r="P88" s="99" t="n">
        <v>0.218</v>
      </c>
      <c r="Q88" s="436" t="n">
        <v>0.213</v>
      </c>
      <c r="R88" s="439" t="n">
        <v>0.218</v>
      </c>
      <c r="S88" s="98" t="n">
        <v>0.218</v>
      </c>
      <c r="T88" s="436" t="n">
        <v>0.214</v>
      </c>
      <c r="U88" s="436" t="n">
        <v>0.221</v>
      </c>
      <c r="V88" s="99" t="n">
        <v>0.224</v>
      </c>
      <c r="W88" s="439" t="n">
        <v>0.211</v>
      </c>
      <c r="X88" s="98" t="n">
        <v>0.213</v>
      </c>
      <c r="Y88" s="99" t="n">
        <v>0.215</v>
      </c>
      <c r="Z88" s="436" t="n">
        <v>0.206</v>
      </c>
      <c r="AA88" s="99" t="n">
        <v>0.216</v>
      </c>
      <c r="AB88" s="439" t="n">
        <v>0.204</v>
      </c>
      <c r="AC88" s="98" t="n">
        <v>0.211</v>
      </c>
      <c r="AD88" s="436" t="n">
        <v>0.197</v>
      </c>
      <c r="AE88" s="436" t="n">
        <v>0.217</v>
      </c>
      <c r="AF88" s="436" t="n">
        <v>0.213</v>
      </c>
      <c r="AG88" s="100" t="n">
        <v>0.216</v>
      </c>
      <c r="AH88" s="442" t="n">
        <v>0.208</v>
      </c>
      <c r="AI88" s="436" t="n">
        <v>0.174</v>
      </c>
      <c r="AJ88" s="99" t="n">
        <v>0.227</v>
      </c>
      <c r="AK88" s="436" t="n">
        <v>0.207</v>
      </c>
      <c r="AL88" s="439" t="n">
        <v>0.204</v>
      </c>
      <c r="AM88" s="442" t="n">
        <v>0.195</v>
      </c>
      <c r="AN88" s="99" t="n">
        <v>0.226</v>
      </c>
      <c r="AO88" s="99" t="n">
        <v>0.225</v>
      </c>
      <c r="AP88" s="436" t="n">
        <v>0.207</v>
      </c>
      <c r="AQ88" s="100" t="n">
        <v>0.232</v>
      </c>
      <c r="AR88" s="400" t="n">
        <v>0.219</v>
      </c>
      <c r="AS88" s="99" t="n">
        <v>0.222</v>
      </c>
      <c r="AT88" s="99" t="n">
        <v>0.23</v>
      </c>
      <c r="AU88" s="436" t="n">
        <v>0.221</v>
      </c>
      <c r="AV88" s="397" t="n">
        <v>0.224</v>
      </c>
      <c r="AW88" s="400" t="n">
        <v>0.234</v>
      </c>
      <c r="AX88" s="99" t="n">
        <v>0.222</v>
      </c>
      <c r="AY88" s="99" t="n">
        <v>0.227</v>
      </c>
      <c r="AZ88" s="99" t="n">
        <v>0.227</v>
      </c>
      <c r="BA88" s="100" t="n">
        <v>0.214</v>
      </c>
      <c r="BB88" s="98" t="n">
        <v>0.22</v>
      </c>
      <c r="BC88" s="436" t="n">
        <v>0.21</v>
      </c>
      <c r="BD88" s="436" t="n">
        <v>0.2</v>
      </c>
      <c r="BE88" s="436" t="n">
        <v>0.197</v>
      </c>
      <c r="BF88" s="100" t="n">
        <v>0.21</v>
      </c>
      <c r="BG88" s="442" t="n">
        <v>0.206</v>
      </c>
      <c r="BH88" s="436" t="n">
        <v>0.223</v>
      </c>
      <c r="BI88" s="436" t="n">
        <v>0.212</v>
      </c>
      <c r="BJ88" s="436" t="n">
        <v>0.202</v>
      </c>
      <c r="BK88" s="439" t="n">
        <v>0.199</v>
      </c>
      <c r="BL88" s="442" t="n">
        <v>0.197</v>
      </c>
      <c r="BM88" s="436" t="n">
        <v>0.187</v>
      </c>
      <c r="BN88" s="436" t="n">
        <v>0.199</v>
      </c>
      <c r="BO88" s="436" t="n">
        <v>0.195</v>
      </c>
      <c r="BP88" s="439" t="n">
        <v>0.163</v>
      </c>
      <c r="BQ88" s="442" t="n">
        <v>0.191</v>
      </c>
      <c r="BR88" s="436" t="n">
        <v>0.194</v>
      </c>
      <c r="BS88" s="436" t="n">
        <v>0.192</v>
      </c>
      <c r="BT88" s="397" t="n">
        <v>0.245</v>
      </c>
      <c r="BU88" s="454">
        <f>IFERROR(AVERAGE(D88:BT90),0)</f>
        <v/>
      </c>
      <c r="BV88" s="454">
        <f>MIN(D88:BT90)</f>
        <v/>
      </c>
      <c r="BW88" s="437" t="n"/>
      <c r="BX88" s="437" t="n"/>
      <c r="BY88" s="437" t="n"/>
      <c r="BZ88" s="437" t="n"/>
      <c r="CA88" s="437" t="n"/>
      <c r="CB88" s="437" t="n"/>
      <c r="CC88" s="437" t="n"/>
      <c r="CD88" s="437" t="n"/>
      <c r="CE88" s="437" t="n"/>
      <c r="CF88" s="437" t="n"/>
      <c r="CG88" s="437" t="n"/>
      <c r="CH88" s="437" t="n"/>
      <c r="CI88" s="437" t="n"/>
      <c r="CJ88" s="437" t="n"/>
      <c r="CK88" s="437" t="n"/>
      <c r="CL88" s="437" t="n"/>
      <c r="CM88" s="437" t="n"/>
      <c r="CN88" s="437" t="n"/>
      <c r="CO88" s="437" t="n"/>
      <c r="CP88" s="437" t="n"/>
      <c r="CQ88" s="437" t="n"/>
      <c r="CR88" s="437" t="n"/>
      <c r="CS88" s="437" t="n"/>
      <c r="CT88" s="437" t="n"/>
      <c r="CU88" s="437" t="n"/>
      <c r="CV88" s="437" t="n"/>
      <c r="CW88" s="437" t="n"/>
      <c r="CX88" s="437" t="n"/>
      <c r="CY88" s="437" t="n"/>
      <c r="CZ88" s="437" t="n"/>
      <c r="DA88" s="437" t="n"/>
      <c r="DB88" s="437" t="n"/>
      <c r="DC88" s="437" t="n"/>
      <c r="DD88" s="437" t="n"/>
      <c r="DE88" s="437" t="n"/>
      <c r="DF88" s="437" t="n"/>
      <c r="DG88" s="437" t="n"/>
      <c r="DH88" s="437" t="n"/>
      <c r="DI88" s="437" t="n"/>
      <c r="DJ88" s="437" t="n"/>
      <c r="DK88" s="437" t="n"/>
      <c r="DL88" s="437" t="n"/>
      <c r="DM88" s="437" t="n"/>
      <c r="DN88" s="437" t="n"/>
      <c r="DO88" s="437" t="n"/>
      <c r="DP88" s="437" t="n"/>
      <c r="DQ88" s="437" t="n"/>
      <c r="DR88" s="437" t="n"/>
      <c r="DS88" s="437" t="n"/>
      <c r="DT88" s="437" t="n"/>
      <c r="DU88" s="437" t="n"/>
      <c r="DV88" s="437" t="n"/>
      <c r="DW88" s="437" t="n"/>
      <c r="DX88" s="437" t="n"/>
      <c r="DY88" s="238" t="n"/>
      <c r="DZ88" s="23" t="n"/>
      <c r="FQ88" s="212" t="n"/>
      <c r="FR88" s="212" t="n"/>
      <c r="FS88" s="212" t="n"/>
      <c r="FT88" s="212" t="n"/>
      <c r="FU88" s="212" t="n"/>
      <c r="FV88" s="212" t="n"/>
      <c r="FW88" s="212" t="n"/>
      <c r="FX88" s="212" t="n"/>
      <c r="FY88" s="212" t="n"/>
      <c r="FZ88" s="212" t="n"/>
    </row>
    <row r="89" ht="39.95" customFormat="1" customHeight="1" s="5">
      <c r="A89" s="182" t="n">
        <v>0.083</v>
      </c>
      <c r="B89" s="7" t="inlineStr">
        <is>
          <t>-54 IN</t>
        </is>
      </c>
      <c r="C89" s="11" t="inlineStr">
        <is>
          <t>C</t>
        </is>
      </c>
      <c r="D89" s="392" t="n">
        <v>0.225</v>
      </c>
      <c r="E89" s="395" t="inlineStr">
        <is>
          <t>RF</t>
        </is>
      </c>
      <c r="F89" s="395" t="n">
        <v>0.228</v>
      </c>
      <c r="G89" s="101" t="n">
        <v>0.224</v>
      </c>
      <c r="H89" s="102" t="n">
        <v>0.227</v>
      </c>
      <c r="I89" s="443" t="n">
        <v>0.244</v>
      </c>
      <c r="J89" s="101" t="n">
        <v>0.271</v>
      </c>
      <c r="K89" s="437" t="n">
        <v>0.261</v>
      </c>
      <c r="L89" s="395" t="n">
        <v>0.241</v>
      </c>
      <c r="M89" s="398" t="n">
        <v>0.261</v>
      </c>
      <c r="N89" s="401" t="n">
        <v>0.284</v>
      </c>
      <c r="O89" s="101" t="n">
        <v>0.216</v>
      </c>
      <c r="P89" s="101" t="n">
        <v>0.219</v>
      </c>
      <c r="Q89" s="101" t="n">
        <v>0.223</v>
      </c>
      <c r="R89" s="102" t="n">
        <v>0.241</v>
      </c>
      <c r="S89" s="443" t="n">
        <v>0.215</v>
      </c>
      <c r="T89" s="101" t="n">
        <v>0.225</v>
      </c>
      <c r="U89" s="437" t="n">
        <v>0.213</v>
      </c>
      <c r="V89" s="437" t="n">
        <v>0.221</v>
      </c>
      <c r="W89" s="102" t="n">
        <v>0.212</v>
      </c>
      <c r="X89" s="103" t="n">
        <v>0.237</v>
      </c>
      <c r="Y89" s="101" t="n">
        <v>0.219</v>
      </c>
      <c r="Z89" s="437" t="n">
        <v>0.211</v>
      </c>
      <c r="AA89" s="101" t="n">
        <v>0.214</v>
      </c>
      <c r="AB89" s="102" t="n">
        <v>0.226</v>
      </c>
      <c r="AC89" s="103" t="n">
        <v>0.228</v>
      </c>
      <c r="AD89" s="437" t="n">
        <v>0.214</v>
      </c>
      <c r="AE89" s="101" t="n">
        <v>0.228</v>
      </c>
      <c r="AF89" s="437" t="n">
        <v>0.211</v>
      </c>
      <c r="AG89" s="102" t="n">
        <v>0.209</v>
      </c>
      <c r="AH89" s="443" t="n">
        <v>0.213</v>
      </c>
      <c r="AI89" s="437" t="n">
        <v>0.178</v>
      </c>
      <c r="AJ89" s="395" t="n">
        <v>0.234</v>
      </c>
      <c r="AK89" s="101" t="n">
        <v>0.221</v>
      </c>
      <c r="AL89" s="102" t="n">
        <v>0.22</v>
      </c>
      <c r="AM89" s="103" t="n">
        <v>0.221</v>
      </c>
      <c r="AN89" s="101" t="n">
        <v>0.211</v>
      </c>
      <c r="AO89" s="101" t="n">
        <v>0.214</v>
      </c>
      <c r="AP89" s="101" t="n">
        <v>0.22</v>
      </c>
      <c r="AQ89" s="440" t="n">
        <v>0.221</v>
      </c>
      <c r="AR89" s="443" t="n">
        <v>0.201</v>
      </c>
      <c r="AS89" s="437" t="n">
        <v>0.213</v>
      </c>
      <c r="AT89" s="101" t="n">
        <v>0.223</v>
      </c>
      <c r="AU89" s="101" t="n">
        <v>0.221</v>
      </c>
      <c r="AV89" s="102" t="n">
        <v>0.219</v>
      </c>
      <c r="AW89" s="443" t="n">
        <v>0.212</v>
      </c>
      <c r="AX89" s="437" t="n">
        <v>0.194</v>
      </c>
      <c r="AY89" s="437" t="n">
        <v>0.214</v>
      </c>
      <c r="AZ89" s="101" t="n">
        <v>0.221</v>
      </c>
      <c r="BA89" s="102" t="n">
        <v>0.209</v>
      </c>
      <c r="BB89" s="443" t="n">
        <v>0.214</v>
      </c>
      <c r="BC89" s="101" t="n">
        <v>0.227</v>
      </c>
      <c r="BD89" s="437" t="n">
        <v>0.206</v>
      </c>
      <c r="BE89" s="437" t="n">
        <v>0.209</v>
      </c>
      <c r="BF89" s="440" t="n">
        <v>0.21</v>
      </c>
      <c r="BG89" s="103" t="n">
        <v>0.206</v>
      </c>
      <c r="BH89" s="437" t="n">
        <v>0.198</v>
      </c>
      <c r="BI89" s="101" t="n">
        <v>0.213</v>
      </c>
      <c r="BJ89" s="101" t="n">
        <v>0.213</v>
      </c>
      <c r="BK89" s="440" t="n">
        <v>0.204</v>
      </c>
      <c r="BL89" s="443" t="n">
        <v>0.172</v>
      </c>
      <c r="BM89" s="437" t="n">
        <v>0.172</v>
      </c>
      <c r="BN89" s="395" t="n">
        <v>0.217</v>
      </c>
      <c r="BO89" s="437" t="n">
        <v>0.21</v>
      </c>
      <c r="BP89" s="440" t="n">
        <v>0.184</v>
      </c>
      <c r="BQ89" s="443" t="n">
        <v>0.163</v>
      </c>
      <c r="BR89" s="437" t="n">
        <v>0.179</v>
      </c>
      <c r="BS89" s="437" t="n">
        <v>0.194</v>
      </c>
      <c r="BT89" s="440" t="n">
        <v>0.217</v>
      </c>
      <c r="BU89" s="455" t="n"/>
      <c r="BV89" s="455" t="n"/>
      <c r="BW89" s="437" t="n"/>
      <c r="BX89" s="437" t="n"/>
      <c r="BY89" s="437" t="n"/>
      <c r="BZ89" s="437" t="n"/>
      <c r="CA89" s="437" t="n"/>
      <c r="CB89" s="437" t="n"/>
      <c r="CC89" s="437" t="n"/>
      <c r="CD89" s="437" t="n"/>
      <c r="CE89" s="437" t="n"/>
      <c r="CF89" s="437" t="n"/>
      <c r="CG89" s="437" t="n"/>
      <c r="CH89" s="437" t="n"/>
      <c r="CI89" s="437" t="n"/>
      <c r="CJ89" s="437" t="n"/>
      <c r="CK89" s="437" t="n"/>
      <c r="CL89" s="437" t="n"/>
      <c r="CM89" s="437" t="n"/>
      <c r="CN89" s="437" t="n"/>
      <c r="CO89" s="437" t="n"/>
      <c r="CP89" s="437" t="n"/>
      <c r="CQ89" s="437" t="n"/>
      <c r="CR89" s="437" t="n"/>
      <c r="CS89" s="437" t="n"/>
      <c r="CT89" s="437" t="n"/>
      <c r="CU89" s="437" t="n"/>
      <c r="CV89" s="437" t="n"/>
      <c r="CW89" s="437" t="n"/>
      <c r="CX89" s="437" t="n"/>
      <c r="CY89" s="437" t="n"/>
      <c r="CZ89" s="437" t="n"/>
      <c r="DA89" s="437" t="n"/>
      <c r="DB89" s="437" t="n"/>
      <c r="DC89" s="437" t="n"/>
      <c r="DD89" s="437" t="n"/>
      <c r="DE89" s="437" t="n"/>
      <c r="DF89" s="437" t="n"/>
      <c r="DG89" s="437" t="n"/>
      <c r="DH89" s="437" t="n"/>
      <c r="DI89" s="437" t="n"/>
      <c r="DJ89" s="437" t="n"/>
      <c r="DK89" s="437" t="n"/>
      <c r="DL89" s="437" t="n"/>
      <c r="DM89" s="437" t="n"/>
      <c r="DN89" s="437" t="n"/>
      <c r="DO89" s="437" t="n"/>
      <c r="DP89" s="437" t="n"/>
      <c r="DQ89" s="437" t="n"/>
      <c r="DR89" s="437" t="n"/>
      <c r="DS89" s="437" t="n"/>
      <c r="DT89" s="437" t="n"/>
      <c r="DU89" s="437" t="n"/>
      <c r="DV89" s="437" t="n"/>
      <c r="DW89" s="437" t="n"/>
      <c r="DX89" s="437" t="n"/>
      <c r="DY89" s="238" t="n"/>
      <c r="DZ89" s="23" t="n"/>
      <c r="FQ89" s="212" t="n"/>
      <c r="FR89" s="212" t="n"/>
      <c r="FS89" s="212" t="n"/>
      <c r="FT89" s="212" t="n"/>
      <c r="FU89" s="212" t="n"/>
      <c r="FV89" s="212" t="n"/>
      <c r="FW89" s="212" t="n"/>
      <c r="FX89" s="212" t="n"/>
      <c r="FY89" s="212" t="n"/>
      <c r="FZ89" s="212" t="n"/>
    </row>
    <row r="90" ht="39.95" customFormat="1" customHeight="1" s="5">
      <c r="A90" s="456" t="n"/>
      <c r="B90" s="8" t="n"/>
      <c r="C90" s="12" t="inlineStr">
        <is>
          <t>R</t>
        </is>
      </c>
      <c r="D90" s="393" t="n">
        <v>0.225</v>
      </c>
      <c r="E90" s="396" t="n">
        <v>0.226</v>
      </c>
      <c r="F90" s="396" t="n">
        <v>0.229</v>
      </c>
      <c r="G90" s="438" t="n">
        <v>0.219</v>
      </c>
      <c r="H90" s="105" t="n">
        <v>0.223</v>
      </c>
      <c r="I90" s="106" t="n">
        <v>0.273</v>
      </c>
      <c r="J90" s="438" t="n">
        <v>0.268</v>
      </c>
      <c r="K90" s="438" t="n">
        <v>0.25</v>
      </c>
      <c r="L90" s="438" t="n">
        <v>0.25</v>
      </c>
      <c r="M90" s="399" t="n">
        <v>0.252</v>
      </c>
      <c r="N90" s="444" t="n">
        <v>0.261</v>
      </c>
      <c r="O90" s="104" t="n">
        <v>0.228</v>
      </c>
      <c r="P90" s="438" t="n">
        <v>0.218</v>
      </c>
      <c r="Q90" s="438" t="n">
        <v>0.217</v>
      </c>
      <c r="R90" s="105" t="n">
        <v>0.226</v>
      </c>
      <c r="S90" s="106" t="n">
        <v>0.216</v>
      </c>
      <c r="T90" s="438" t="n">
        <v>0.216</v>
      </c>
      <c r="U90" s="438" t="n">
        <v>0.221</v>
      </c>
      <c r="V90" s="104" t="n">
        <v>0.24</v>
      </c>
      <c r="W90" s="441" t="n">
        <v>0.214</v>
      </c>
      <c r="X90" s="402" t="n">
        <v>0.218</v>
      </c>
      <c r="Y90" s="438" t="n">
        <v>0.218</v>
      </c>
      <c r="Z90" s="438" t="n">
        <v>0.217</v>
      </c>
      <c r="AA90" s="438" t="n">
        <v>0.208</v>
      </c>
      <c r="AB90" s="105" t="n">
        <v>0.243</v>
      </c>
      <c r="AC90" s="106" t="n">
        <v>0.221</v>
      </c>
      <c r="AD90" s="438" t="n">
        <v>0.215</v>
      </c>
      <c r="AE90" s="104" t="n">
        <v>0.22</v>
      </c>
      <c r="AF90" s="104" t="n">
        <v>0.215</v>
      </c>
      <c r="AG90" s="441" t="n">
        <v>0.195</v>
      </c>
      <c r="AH90" s="106" t="n">
        <v>0.221</v>
      </c>
      <c r="AI90" s="396" t="n">
        <v>0.201</v>
      </c>
      <c r="AJ90" s="438" t="n">
        <v>0.217</v>
      </c>
      <c r="AK90" s="396" t="n">
        <v>0.235</v>
      </c>
      <c r="AL90" s="105" t="n">
        <v>0.212</v>
      </c>
      <c r="AM90" s="106" t="n">
        <v>0.221</v>
      </c>
      <c r="AN90" s="104" t="n">
        <v>0.207</v>
      </c>
      <c r="AO90" s="104" t="n">
        <v>0.219</v>
      </c>
      <c r="AP90" s="438" t="n">
        <v>0.206</v>
      </c>
      <c r="AQ90" s="441" t="n">
        <v>0.213</v>
      </c>
      <c r="AR90" s="444" t="n">
        <v>0.207</v>
      </c>
      <c r="AS90" s="104" t="n">
        <v>0.227</v>
      </c>
      <c r="AT90" s="104" t="n">
        <v>0.216</v>
      </c>
      <c r="AU90" s="438" t="n">
        <v>0.203</v>
      </c>
      <c r="AV90" s="441" t="n">
        <v>0.214</v>
      </c>
      <c r="AW90" s="444" t="n">
        <v>0.214</v>
      </c>
      <c r="AX90" s="438" t="n">
        <v>0.185</v>
      </c>
      <c r="AY90" s="438" t="n">
        <v>0.188</v>
      </c>
      <c r="AZ90" s="104" t="n">
        <v>0.206</v>
      </c>
      <c r="BA90" s="441" t="n">
        <v>0.188</v>
      </c>
      <c r="BB90" s="444" t="n">
        <v>0.211</v>
      </c>
      <c r="BC90" s="104" t="n">
        <v>0.216</v>
      </c>
      <c r="BD90" s="438" t="n">
        <v>0.205</v>
      </c>
      <c r="BE90" s="438" t="n">
        <v>0.211</v>
      </c>
      <c r="BF90" s="441" t="n">
        <v>0.204</v>
      </c>
      <c r="BG90" s="444" t="n">
        <v>0.194</v>
      </c>
      <c r="BH90" s="438" t="n">
        <v>0.212</v>
      </c>
      <c r="BI90" s="104" t="n">
        <v>0.214</v>
      </c>
      <c r="BJ90" s="438" t="n">
        <v>0.182</v>
      </c>
      <c r="BK90" s="441" t="n">
        <v>0.203</v>
      </c>
      <c r="BL90" s="444" t="n">
        <v>0.183</v>
      </c>
      <c r="BM90" s="438" t="n">
        <v>0.197</v>
      </c>
      <c r="BN90" s="438" t="n">
        <v>0.19</v>
      </c>
      <c r="BO90" s="438" t="n">
        <v>0.188</v>
      </c>
      <c r="BP90" s="441" t="n">
        <v>0.154</v>
      </c>
      <c r="BQ90" s="444" t="n">
        <v>0.179</v>
      </c>
      <c r="BR90" s="438" t="n">
        <v>0.197</v>
      </c>
      <c r="BS90" s="438" t="n">
        <v>0.206</v>
      </c>
      <c r="BT90" s="441" t="n">
        <v>0.206</v>
      </c>
      <c r="BU90" s="457" t="n"/>
      <c r="BV90" s="457" t="n"/>
      <c r="BW90" s="437" t="n"/>
      <c r="BX90" s="437" t="n"/>
      <c r="BY90" s="437" t="n"/>
      <c r="BZ90" s="437" t="n"/>
      <c r="CA90" s="437" t="n"/>
      <c r="CB90" s="437" t="n"/>
      <c r="CC90" s="437" t="n"/>
      <c r="CD90" s="437" t="n"/>
      <c r="CE90" s="437" t="n"/>
      <c r="CF90" s="437" t="n"/>
      <c r="CG90" s="437" t="n"/>
      <c r="CH90" s="437" t="n"/>
      <c r="CI90" s="437" t="n"/>
      <c r="CJ90" s="437" t="n"/>
      <c r="CK90" s="437" t="n"/>
      <c r="CL90" s="437" t="n"/>
      <c r="CM90" s="437" t="n"/>
      <c r="CN90" s="437" t="n"/>
      <c r="CO90" s="437" t="n"/>
      <c r="CP90" s="437" t="n"/>
      <c r="CQ90" s="437" t="n"/>
      <c r="CR90" s="437" t="n"/>
      <c r="CS90" s="437" t="n"/>
      <c r="CT90" s="437" t="n"/>
      <c r="CU90" s="437" t="n"/>
      <c r="CV90" s="437" t="n"/>
      <c r="CW90" s="437" t="n"/>
      <c r="CX90" s="437" t="n"/>
      <c r="CY90" s="437" t="n"/>
      <c r="CZ90" s="437" t="n"/>
      <c r="DA90" s="437" t="n"/>
      <c r="DB90" s="437" t="n"/>
      <c r="DC90" s="437" t="n"/>
      <c r="DD90" s="437" t="n"/>
      <c r="DE90" s="437" t="n"/>
      <c r="DF90" s="437" t="n"/>
      <c r="DG90" s="437" t="n"/>
      <c r="DH90" s="437" t="n"/>
      <c r="DI90" s="437" t="n"/>
      <c r="DJ90" s="437" t="n"/>
      <c r="DK90" s="437" t="n"/>
      <c r="DL90" s="437" t="n"/>
      <c r="DM90" s="437" t="n"/>
      <c r="DN90" s="437" t="n"/>
      <c r="DO90" s="437" t="n"/>
      <c r="DP90" s="437" t="n"/>
      <c r="DQ90" s="437" t="n"/>
      <c r="DR90" s="437" t="n"/>
      <c r="DS90" s="437" t="n"/>
      <c r="DT90" s="437" t="n"/>
      <c r="DU90" s="437" t="n"/>
      <c r="DV90" s="437" t="n"/>
      <c r="DW90" s="437" t="n"/>
      <c r="DX90" s="437" t="n"/>
      <c r="DY90" s="238" t="n"/>
      <c r="DZ90" s="23" t="n"/>
      <c r="FQ90" s="212" t="n"/>
      <c r="FR90" s="212" t="n"/>
      <c r="FS90" s="212" t="n"/>
      <c r="FT90" s="212" t="n"/>
      <c r="FU90" s="212" t="n"/>
      <c r="FV90" s="212" t="n"/>
      <c r="FW90" s="212" t="n"/>
      <c r="FX90" s="212" t="n"/>
      <c r="FY90" s="212" t="n"/>
      <c r="FZ90" s="212" t="n"/>
    </row>
    <row r="91" ht="39.95" customFormat="1" customHeight="1" s="5">
      <c r="A91" s="10" t="inlineStr">
        <is>
          <t>A</t>
        </is>
      </c>
      <c r="B91" s="6" t="inlineStr">
        <is>
          <t>POSITION 'A'</t>
        </is>
      </c>
      <c r="C91" s="11" t="inlineStr">
        <is>
          <t>L</t>
        </is>
      </c>
      <c r="D91" s="391" t="inlineStr"/>
      <c r="E91" s="394" t="inlineStr"/>
      <c r="F91" s="99" t="n">
        <v>0.219</v>
      </c>
      <c r="G91" s="436" t="n">
        <v>0.209</v>
      </c>
      <c r="H91" s="397" t="inlineStr"/>
      <c r="I91" s="400" t="n">
        <v>0.233</v>
      </c>
      <c r="J91" s="99" t="n">
        <v>0.266</v>
      </c>
      <c r="K91" s="394" t="inlineStr"/>
      <c r="L91" s="436" t="n">
        <v>0.247</v>
      </c>
      <c r="M91" s="439" t="n">
        <v>0.243</v>
      </c>
      <c r="N91" s="400" t="inlineStr"/>
      <c r="O91" s="394" t="n">
        <v>0.229</v>
      </c>
      <c r="P91" s="436" t="n">
        <v>0.21</v>
      </c>
      <c r="Q91" s="394" t="inlineStr"/>
      <c r="R91" s="439" t="n">
        <v>0.219</v>
      </c>
      <c r="S91" s="442" t="n">
        <v>0.203</v>
      </c>
      <c r="T91" s="394" t="inlineStr"/>
      <c r="U91" s="436" t="n">
        <v>0.219</v>
      </c>
      <c r="V91" s="436" t="n">
        <v>0.2</v>
      </c>
      <c r="W91" s="397" t="inlineStr"/>
      <c r="X91" s="442" t="n">
        <v>0.203</v>
      </c>
      <c r="Y91" s="436" t="n">
        <v>0.197</v>
      </c>
      <c r="Z91" s="394" t="inlineStr"/>
      <c r="AA91" s="436" t="n">
        <v>0.206</v>
      </c>
      <c r="AB91" s="439" t="n">
        <v>0.195</v>
      </c>
      <c r="AC91" s="400" t="inlineStr"/>
      <c r="AD91" s="436" t="n">
        <v>0.196</v>
      </c>
      <c r="AE91" s="436" t="n">
        <v>0.203</v>
      </c>
      <c r="AF91" s="394" t="inlineStr"/>
      <c r="AG91" s="439" t="n">
        <v>0.219</v>
      </c>
      <c r="AH91" s="442" t="n">
        <v>0.196</v>
      </c>
      <c r="AI91" s="394" t="inlineStr"/>
      <c r="AJ91" s="436" t="n">
        <v>0.2</v>
      </c>
      <c r="AK91" s="436" t="n">
        <v>0.196</v>
      </c>
      <c r="AL91" s="397" t="inlineStr"/>
      <c r="AM91" s="442" t="n">
        <v>0.201</v>
      </c>
      <c r="AN91" s="436" t="n">
        <v>0.191</v>
      </c>
      <c r="AO91" s="394" t="inlineStr"/>
      <c r="AP91" s="99" t="n">
        <v>0.209</v>
      </c>
      <c r="AQ91" s="439" t="n">
        <v>0.198</v>
      </c>
      <c r="AR91" s="400" t="inlineStr"/>
      <c r="AS91" s="436" t="n">
        <v>0.208</v>
      </c>
      <c r="AT91" s="436" t="n">
        <v>0.21</v>
      </c>
      <c r="AU91" s="394" t="inlineStr"/>
      <c r="AV91" s="100" t="n">
        <v>0.217</v>
      </c>
      <c r="AW91" s="442" t="n">
        <v>0.214</v>
      </c>
      <c r="AX91" s="394" t="inlineStr"/>
      <c r="AY91" s="436" t="n">
        <v>0.198</v>
      </c>
      <c r="AZ91" s="436" t="n">
        <v>0.195</v>
      </c>
      <c r="BA91" s="397" t="inlineStr"/>
      <c r="BB91" s="98" t="n">
        <v>0.219</v>
      </c>
      <c r="BC91" s="436" t="n">
        <v>0.204</v>
      </c>
      <c r="BD91" s="394" t="inlineStr"/>
      <c r="BE91" s="99" t="n">
        <v>0.232</v>
      </c>
      <c r="BF91" s="439" t="n">
        <v>0.191</v>
      </c>
      <c r="BG91" s="400" t="inlineStr"/>
      <c r="BH91" s="99" t="n">
        <v>0.223</v>
      </c>
      <c r="BI91" s="436" t="n">
        <v>0.214</v>
      </c>
      <c r="BJ91" s="394" t="inlineStr"/>
      <c r="BK91" s="439" t="n">
        <v>0.207</v>
      </c>
      <c r="BL91" s="400" t="n">
        <v>0.206</v>
      </c>
      <c r="BM91" s="394" t="inlineStr"/>
      <c r="BN91" s="436" t="n">
        <v>0.21</v>
      </c>
      <c r="BO91" s="436" t="n">
        <v>0.212</v>
      </c>
      <c r="BP91" s="397" t="inlineStr"/>
      <c r="BQ91" s="442" t="n">
        <v>0.217</v>
      </c>
      <c r="BR91" s="436" t="n">
        <v>0.215</v>
      </c>
      <c r="BS91" s="394" t="inlineStr"/>
      <c r="BT91" s="397" t="inlineStr"/>
      <c r="BU91" s="454">
        <f>IFERROR(AVERAGE(D91:BT93),0)</f>
        <v/>
      </c>
      <c r="BV91" s="454">
        <f>MIN(D91:BT93)</f>
        <v/>
      </c>
      <c r="BW91" s="437" t="n"/>
      <c r="BX91" s="437" t="n"/>
      <c r="BY91" s="437" t="n"/>
      <c r="BZ91" s="437" t="n"/>
      <c r="CA91" s="437" t="n"/>
      <c r="CB91" s="437" t="n"/>
      <c r="CC91" s="437" t="n"/>
      <c r="CD91" s="437" t="n"/>
      <c r="CE91" s="437" t="n"/>
      <c r="CF91" s="437" t="n"/>
      <c r="CG91" s="437" t="n"/>
      <c r="CH91" s="437" t="n"/>
      <c r="CI91" s="437" t="n"/>
      <c r="CJ91" s="437" t="n"/>
      <c r="CK91" s="437" t="n"/>
      <c r="CL91" s="437" t="n"/>
      <c r="CM91" s="437" t="n"/>
      <c r="CN91" s="437" t="n"/>
      <c r="CO91" s="437" t="n"/>
      <c r="CP91" s="437" t="n"/>
      <c r="CQ91" s="437" t="n"/>
      <c r="CR91" s="437" t="n"/>
      <c r="CS91" s="437" t="n"/>
      <c r="CT91" s="437" t="n"/>
      <c r="CU91" s="437" t="n"/>
      <c r="CV91" s="437" t="n"/>
      <c r="CW91" s="437" t="n"/>
      <c r="CX91" s="437" t="n"/>
      <c r="CY91" s="437" t="n"/>
      <c r="CZ91" s="437" t="n"/>
      <c r="DA91" s="437" t="n"/>
      <c r="DB91" s="437" t="n"/>
      <c r="DC91" s="437" t="n"/>
      <c r="DD91" s="437" t="n"/>
      <c r="DE91" s="437" t="n"/>
      <c r="DF91" s="437" t="n"/>
      <c r="DG91" s="437" t="n"/>
      <c r="DH91" s="437" t="n"/>
      <c r="DI91" s="437" t="n"/>
      <c r="DJ91" s="437" t="n"/>
      <c r="DK91" s="437" t="n"/>
      <c r="DL91" s="437" t="n"/>
      <c r="DM91" s="437" t="n"/>
      <c r="DN91" s="437" t="n"/>
      <c r="DO91" s="437" t="n"/>
      <c r="DP91" s="437" t="n"/>
      <c r="DQ91" s="437" t="n"/>
      <c r="DR91" s="437" t="n"/>
      <c r="DS91" s="437" t="n"/>
      <c r="DT91" s="437" t="n"/>
      <c r="DU91" s="437" t="n"/>
      <c r="DV91" s="437" t="n"/>
      <c r="DW91" s="437" t="n"/>
      <c r="DX91" s="437" t="n"/>
      <c r="DY91" s="238" t="n"/>
      <c r="DZ91" s="23" t="n"/>
      <c r="FQ91" s="212" t="n"/>
      <c r="FR91" s="212" t="n"/>
      <c r="FS91" s="212" t="n"/>
      <c r="FT91" s="212" t="n"/>
      <c r="FU91" s="212" t="n"/>
      <c r="FV91" s="212" t="n"/>
      <c r="FW91" s="212" t="n"/>
      <c r="FX91" s="212" t="n"/>
      <c r="FY91" s="212" t="n"/>
      <c r="FZ91" s="212" t="n"/>
    </row>
    <row r="92" ht="39.95" customFormat="1" customHeight="1" s="5">
      <c r="A92" s="182" t="n">
        <v>0.083</v>
      </c>
      <c r="B92" s="7" t="inlineStr">
        <is>
          <t xml:space="preserve">OF THE </t>
        </is>
      </c>
      <c r="C92" s="11" t="inlineStr">
        <is>
          <t>C</t>
        </is>
      </c>
      <c r="D92" s="392" t="inlineStr"/>
      <c r="E92" s="395" t="inlineStr"/>
      <c r="F92" s="101" t="n">
        <v>0.218</v>
      </c>
      <c r="G92" s="437" t="n">
        <v>0.205</v>
      </c>
      <c r="H92" s="398" t="inlineStr"/>
      <c r="I92" s="443" t="n">
        <v>0.241</v>
      </c>
      <c r="J92" s="437" t="n">
        <v>0.253</v>
      </c>
      <c r="K92" s="395" t="inlineStr"/>
      <c r="L92" s="437" t="n">
        <v>0.248</v>
      </c>
      <c r="M92" s="102" t="n">
        <v>0.251</v>
      </c>
      <c r="N92" s="401" t="inlineStr"/>
      <c r="O92" s="437" t="n">
        <v>0.204</v>
      </c>
      <c r="P92" s="437" t="n">
        <v>0.207</v>
      </c>
      <c r="Q92" s="395" t="inlineStr"/>
      <c r="R92" s="398" t="n">
        <v>0.223</v>
      </c>
      <c r="S92" s="443" t="n">
        <v>0.195</v>
      </c>
      <c r="T92" s="395" t="inlineStr"/>
      <c r="U92" s="437" t="n">
        <v>0.206</v>
      </c>
      <c r="V92" s="437" t="n">
        <v>0.207</v>
      </c>
      <c r="W92" s="398" t="inlineStr"/>
      <c r="X92" s="443" t="n">
        <v>0.191</v>
      </c>
      <c r="Y92" s="437" t="n">
        <v>0.202</v>
      </c>
      <c r="Z92" s="395" t="inlineStr"/>
      <c r="AA92" s="437" t="n">
        <v>0.198</v>
      </c>
      <c r="AB92" s="440" t="n">
        <v>0.209</v>
      </c>
      <c r="AC92" s="401" t="inlineStr"/>
      <c r="AD92" s="437" t="n">
        <v>0.197</v>
      </c>
      <c r="AE92" s="437" t="n">
        <v>0.19</v>
      </c>
      <c r="AF92" s="395" t="inlineStr"/>
      <c r="AG92" s="440" t="n">
        <v>0.212</v>
      </c>
      <c r="AH92" s="443" t="n">
        <v>0.202</v>
      </c>
      <c r="AI92" s="395" t="inlineStr"/>
      <c r="AJ92" s="437" t="n">
        <v>0.199</v>
      </c>
      <c r="AK92" s="437" t="n">
        <v>0.191</v>
      </c>
      <c r="AL92" s="398" t="inlineStr"/>
      <c r="AM92" s="443" t="n">
        <v>0.21</v>
      </c>
      <c r="AN92" s="437" t="n">
        <v>0.209</v>
      </c>
      <c r="AO92" s="395" t="inlineStr"/>
      <c r="AP92" s="437" t="n">
        <v>0.207</v>
      </c>
      <c r="AQ92" s="440" t="n">
        <v>0.206</v>
      </c>
      <c r="AR92" s="401" t="inlineStr"/>
      <c r="AS92" s="437" t="n">
        <v>0.208</v>
      </c>
      <c r="AT92" s="437" t="n">
        <v>0.204</v>
      </c>
      <c r="AU92" s="395" t="inlineStr"/>
      <c r="AV92" s="440" t="n">
        <v>0.21</v>
      </c>
      <c r="AW92" s="443" t="n">
        <v>0.221</v>
      </c>
      <c r="AX92" s="395" t="inlineStr"/>
      <c r="AY92" s="437" t="n">
        <v>0.211</v>
      </c>
      <c r="AZ92" s="437" t="n">
        <v>0.197</v>
      </c>
      <c r="BA92" s="398" t="inlineStr"/>
      <c r="BB92" s="443" t="n">
        <v>0.201</v>
      </c>
      <c r="BC92" s="437" t="n">
        <v>0.201</v>
      </c>
      <c r="BD92" s="395" t="inlineStr"/>
      <c r="BE92" s="101" t="n">
        <v>0.224</v>
      </c>
      <c r="BF92" s="440" t="n">
        <v>0.208</v>
      </c>
      <c r="BG92" s="401" t="inlineStr"/>
      <c r="BH92" s="437" t="n">
        <v>0.217</v>
      </c>
      <c r="BI92" s="437" t="n">
        <v>0.207</v>
      </c>
      <c r="BJ92" s="395" t="inlineStr"/>
      <c r="BK92" s="440" t="n">
        <v>0.2</v>
      </c>
      <c r="BL92" s="443" t="n">
        <v>0.195</v>
      </c>
      <c r="BM92" s="395" t="inlineStr"/>
      <c r="BN92" s="437" t="n">
        <v>0.202</v>
      </c>
      <c r="BO92" s="437" t="n">
        <v>0.215</v>
      </c>
      <c r="BP92" s="398" t="inlineStr"/>
      <c r="BQ92" s="443" t="n">
        <v>0.215</v>
      </c>
      <c r="BR92" s="101" t="n">
        <v>0.22</v>
      </c>
      <c r="BS92" s="395" t="inlineStr"/>
      <c r="BT92" s="398" t="inlineStr"/>
      <c r="BU92" s="455" t="n"/>
      <c r="BV92" s="455" t="n"/>
      <c r="BW92" s="437" t="n"/>
      <c r="BX92" s="437" t="n"/>
      <c r="BY92" s="437" t="n"/>
      <c r="BZ92" s="437" t="n"/>
      <c r="CA92" s="437" t="n"/>
      <c r="CB92" s="437" t="n"/>
      <c r="CC92" s="437" t="n"/>
      <c r="CD92" s="437" t="n"/>
      <c r="CE92" s="437" t="n"/>
      <c r="CF92" s="437" t="n"/>
      <c r="CG92" s="437" t="n"/>
      <c r="CH92" s="437" t="n"/>
      <c r="CI92" s="437" t="n"/>
      <c r="CJ92" s="437" t="n"/>
      <c r="CK92" s="437" t="n"/>
      <c r="CL92" s="437" t="n"/>
      <c r="CM92" s="437" t="n"/>
      <c r="CN92" s="437" t="n"/>
      <c r="CO92" s="437" t="n"/>
      <c r="CP92" s="437" t="n"/>
      <c r="CQ92" s="437" t="n"/>
      <c r="CR92" s="437" t="n"/>
      <c r="CS92" s="437" t="n"/>
      <c r="CT92" s="437" t="n"/>
      <c r="CU92" s="437" t="n"/>
      <c r="CV92" s="437" t="n"/>
      <c r="CW92" s="437" t="n"/>
      <c r="CX92" s="437" t="n"/>
      <c r="CY92" s="437" t="n"/>
      <c r="CZ92" s="437" t="n"/>
      <c r="DA92" s="437" t="n"/>
      <c r="DB92" s="437" t="n"/>
      <c r="DC92" s="437" t="n"/>
      <c r="DD92" s="437" t="n"/>
      <c r="DE92" s="437" t="n"/>
      <c r="DF92" s="437" t="n"/>
      <c r="DG92" s="437" t="n"/>
      <c r="DH92" s="437" t="n"/>
      <c r="DI92" s="437" t="n"/>
      <c r="DJ92" s="437" t="n"/>
      <c r="DK92" s="437" t="n"/>
      <c r="DL92" s="437" t="n"/>
      <c r="DM92" s="437" t="n"/>
      <c r="DN92" s="437" t="n"/>
      <c r="DO92" s="437" t="n"/>
      <c r="DP92" s="437" t="n"/>
      <c r="DQ92" s="437" t="n"/>
      <c r="DR92" s="437" t="n"/>
      <c r="DS92" s="437" t="n"/>
      <c r="DT92" s="437" t="n"/>
      <c r="DU92" s="437" t="n"/>
      <c r="DV92" s="437" t="n"/>
      <c r="DW92" s="437" t="n"/>
      <c r="DX92" s="437" t="n"/>
      <c r="DY92" s="238" t="n"/>
      <c r="DZ92" s="23" t="n"/>
      <c r="FQ92" s="212" t="n"/>
      <c r="FR92" s="212" t="n"/>
      <c r="FS92" s="212" t="n"/>
      <c r="FT92" s="212" t="n"/>
      <c r="FU92" s="212" t="n"/>
      <c r="FV92" s="212" t="n"/>
      <c r="FW92" s="212" t="n"/>
      <c r="FX92" s="212" t="n"/>
      <c r="FY92" s="212" t="n"/>
      <c r="FZ92" s="212" t="n"/>
    </row>
    <row r="93" ht="39.95" customFormat="1" customHeight="1" s="5">
      <c r="A93" s="456" t="n"/>
      <c r="B93" s="8" t="inlineStr">
        <is>
          <t>PRIMARIES</t>
        </is>
      </c>
      <c r="C93" s="12" t="inlineStr">
        <is>
          <t>R</t>
        </is>
      </c>
      <c r="D93" s="393" t="inlineStr"/>
      <c r="E93" s="396" t="inlineStr"/>
      <c r="F93" s="104" t="n">
        <v>0.224</v>
      </c>
      <c r="G93" s="438" t="n">
        <v>0.218</v>
      </c>
      <c r="H93" s="399" t="inlineStr"/>
      <c r="I93" s="444" t="n">
        <v>0.244</v>
      </c>
      <c r="J93" s="438" t="n">
        <v>0.243</v>
      </c>
      <c r="K93" s="396" t="inlineStr"/>
      <c r="L93" s="438" t="n">
        <v>0.224</v>
      </c>
      <c r="M93" s="441" t="n">
        <v>0.244</v>
      </c>
      <c r="N93" s="402" t="inlineStr"/>
      <c r="O93" s="438" t="n">
        <v>0.19</v>
      </c>
      <c r="P93" s="438" t="n">
        <v>0.205</v>
      </c>
      <c r="Q93" s="396" t="inlineStr"/>
      <c r="R93" s="441" t="n">
        <v>0.206</v>
      </c>
      <c r="S93" s="444" t="n">
        <v>0.2</v>
      </c>
      <c r="T93" s="396" t="inlineStr"/>
      <c r="U93" s="438" t="n">
        <v>0.21</v>
      </c>
      <c r="V93" s="104" t="n">
        <v>0.224</v>
      </c>
      <c r="W93" s="399" t="inlineStr"/>
      <c r="X93" s="444" t="n">
        <v>0.193</v>
      </c>
      <c r="Y93" s="438" t="n">
        <v>0.201</v>
      </c>
      <c r="Z93" s="396" t="inlineStr"/>
      <c r="AA93" s="438" t="n">
        <v>0.194</v>
      </c>
      <c r="AB93" s="441" t="n">
        <v>0.208</v>
      </c>
      <c r="AC93" s="402" t="inlineStr"/>
      <c r="AD93" s="438" t="n">
        <v>0.197</v>
      </c>
      <c r="AE93" s="438" t="n">
        <v>0.203</v>
      </c>
      <c r="AF93" s="396" t="inlineStr"/>
      <c r="AG93" s="105" t="n">
        <v>0.223</v>
      </c>
      <c r="AH93" s="444" t="n">
        <v>0.199</v>
      </c>
      <c r="AI93" s="396" t="inlineStr"/>
      <c r="AJ93" s="438" t="n">
        <v>0.177</v>
      </c>
      <c r="AK93" s="438" t="n">
        <v>0.207</v>
      </c>
      <c r="AL93" s="399" t="inlineStr"/>
      <c r="AM93" s="444" t="n">
        <v>0.191</v>
      </c>
      <c r="AN93" s="438" t="n">
        <v>0.194</v>
      </c>
      <c r="AO93" s="396" t="inlineStr"/>
      <c r="AP93" s="104" t="n">
        <v>0.209</v>
      </c>
      <c r="AQ93" s="441" t="n">
        <v>0.193</v>
      </c>
      <c r="AR93" s="402" t="inlineStr"/>
      <c r="AS93" s="438" t="n">
        <v>0.187</v>
      </c>
      <c r="AT93" s="438" t="n">
        <v>0.198</v>
      </c>
      <c r="AU93" s="396" t="inlineStr"/>
      <c r="AV93" s="441" t="n">
        <v>0.197</v>
      </c>
      <c r="AW93" s="444" t="n">
        <v>0.202</v>
      </c>
      <c r="AX93" s="396" t="inlineStr"/>
      <c r="AY93" s="438" t="n">
        <v>0.2</v>
      </c>
      <c r="AZ93" s="104" t="n">
        <v>0.22</v>
      </c>
      <c r="BA93" s="399" t="inlineStr"/>
      <c r="BB93" s="444" t="n">
        <v>0.204</v>
      </c>
      <c r="BC93" s="438" t="n">
        <v>0.199</v>
      </c>
      <c r="BD93" s="396" t="inlineStr"/>
      <c r="BE93" s="438" t="n">
        <v>0.211</v>
      </c>
      <c r="BF93" s="441" t="n">
        <v>0.217</v>
      </c>
      <c r="BG93" s="402" t="inlineStr"/>
      <c r="BH93" s="438" t="n">
        <v>0.211</v>
      </c>
      <c r="BI93" s="438" t="n">
        <v>0.202</v>
      </c>
      <c r="BJ93" s="396" t="inlineStr"/>
      <c r="BK93" s="441" t="n">
        <v>0.212</v>
      </c>
      <c r="BL93" s="444" t="n">
        <v>0.204</v>
      </c>
      <c r="BM93" s="396" t="inlineStr"/>
      <c r="BN93" s="104" t="n">
        <v>0.217</v>
      </c>
      <c r="BO93" s="438" t="n">
        <v>0.211</v>
      </c>
      <c r="BP93" s="399" t="inlineStr"/>
      <c r="BQ93" s="444" t="n">
        <v>0.202</v>
      </c>
      <c r="BR93" s="104" t="n">
        <v>0.225</v>
      </c>
      <c r="BS93" s="396" t="inlineStr"/>
      <c r="BT93" s="399" t="inlineStr"/>
      <c r="BU93" s="457" t="n"/>
      <c r="BV93" s="457" t="n"/>
      <c r="BW93" s="437" t="n"/>
      <c r="BX93" s="437" t="n"/>
      <c r="BY93" s="437" t="n"/>
      <c r="BZ93" s="437" t="n"/>
      <c r="CA93" s="437" t="n"/>
      <c r="CB93" s="437" t="n"/>
      <c r="CC93" s="437" t="n"/>
      <c r="CD93" s="437" t="n"/>
      <c r="CE93" s="437" t="n"/>
      <c r="CF93" s="437" t="n"/>
      <c r="CG93" s="437" t="n"/>
      <c r="CH93" s="437" t="n"/>
      <c r="CI93" s="437" t="n"/>
      <c r="CJ93" s="437" t="n"/>
      <c r="CK93" s="437" t="n"/>
      <c r="CL93" s="437" t="n"/>
      <c r="CM93" s="437" t="n"/>
      <c r="CN93" s="437" t="n"/>
      <c r="CO93" s="437" t="n"/>
      <c r="CP93" s="437" t="n"/>
      <c r="CQ93" s="437" t="n"/>
      <c r="CR93" s="437" t="n"/>
      <c r="CS93" s="437" t="n"/>
      <c r="CT93" s="437" t="n"/>
      <c r="CU93" s="437" t="n"/>
      <c r="CV93" s="437" t="n"/>
      <c r="CW93" s="437" t="n"/>
      <c r="CX93" s="437" t="n"/>
      <c r="CY93" s="437" t="n"/>
      <c r="CZ93" s="437" t="n"/>
      <c r="DA93" s="437" t="n"/>
      <c r="DB93" s="437" t="n"/>
      <c r="DC93" s="437" t="n"/>
      <c r="DD93" s="437" t="n"/>
      <c r="DE93" s="437" t="n"/>
      <c r="DF93" s="437" t="n"/>
      <c r="DG93" s="437" t="n"/>
      <c r="DH93" s="437" t="n"/>
      <c r="DI93" s="437" t="n"/>
      <c r="DJ93" s="437" t="n"/>
      <c r="DK93" s="437" t="n"/>
      <c r="DL93" s="437" t="n"/>
      <c r="DM93" s="437" t="n"/>
      <c r="DN93" s="437" t="n"/>
      <c r="DO93" s="437" t="n"/>
      <c r="DP93" s="437" t="n"/>
      <c r="DQ93" s="437" t="n"/>
      <c r="DR93" s="437" t="n"/>
      <c r="DS93" s="437" t="n"/>
      <c r="DT93" s="437" t="n"/>
      <c r="DU93" s="437" t="n"/>
      <c r="DV93" s="437" t="n"/>
      <c r="DW93" s="437" t="n"/>
      <c r="DX93" s="437" t="n"/>
      <c r="DY93" s="238" t="n"/>
      <c r="DZ93" s="23" t="n"/>
      <c r="FQ93" s="212" t="n"/>
      <c r="FR93" s="212" t="n"/>
      <c r="FS93" s="212" t="n"/>
      <c r="FT93" s="212" t="n"/>
      <c r="FU93" s="212" t="n"/>
      <c r="FV93" s="212" t="n"/>
      <c r="FW93" s="212" t="n"/>
      <c r="FX93" s="212" t="n"/>
      <c r="FY93" s="212" t="n"/>
      <c r="FZ93" s="212" t="n"/>
    </row>
    <row r="94" ht="39.95" customFormat="1" customHeight="1" s="5">
      <c r="A94" s="10" t="inlineStr">
        <is>
          <t>A</t>
        </is>
      </c>
      <c r="B94" s="6" t="inlineStr">
        <is>
          <t>POSITION 'B'</t>
        </is>
      </c>
      <c r="C94" s="11" t="inlineStr">
        <is>
          <t>L</t>
        </is>
      </c>
      <c r="D94" s="391" t="inlineStr"/>
      <c r="E94" s="394" t="inlineStr"/>
      <c r="F94" s="436" t="n">
        <v>0.21</v>
      </c>
      <c r="G94" s="436" t="n">
        <v>0.182</v>
      </c>
      <c r="H94" s="397" t="inlineStr"/>
      <c r="I94" s="442" t="n">
        <v>0.238</v>
      </c>
      <c r="J94" s="436" t="n">
        <v>0.249</v>
      </c>
      <c r="K94" s="394" t="inlineStr"/>
      <c r="L94" s="436" t="n">
        <v>0.227</v>
      </c>
      <c r="M94" s="439" t="n">
        <v>0.237</v>
      </c>
      <c r="N94" s="400" t="inlineStr"/>
      <c r="O94" s="436" t="n">
        <v>0.201</v>
      </c>
      <c r="P94" s="436" t="n">
        <v>0.2</v>
      </c>
      <c r="Q94" s="394" t="inlineStr"/>
      <c r="R94" s="439" t="n">
        <v>0.207</v>
      </c>
      <c r="S94" s="442" t="n">
        <v>0.193</v>
      </c>
      <c r="T94" s="394" t="inlineStr"/>
      <c r="U94" s="436" t="n">
        <v>0.191</v>
      </c>
      <c r="V94" s="436" t="n">
        <v>0.211</v>
      </c>
      <c r="W94" s="397" t="inlineStr"/>
      <c r="X94" s="442" t="n">
        <v>0.183</v>
      </c>
      <c r="Y94" s="436" t="n">
        <v>0.206</v>
      </c>
      <c r="Z94" s="394" t="inlineStr"/>
      <c r="AA94" s="436" t="n">
        <v>0.195</v>
      </c>
      <c r="AB94" s="439" t="n">
        <v>0.194</v>
      </c>
      <c r="AC94" s="400" t="inlineStr"/>
      <c r="AD94" s="436" t="n">
        <v>0.186</v>
      </c>
      <c r="AE94" s="436" t="n">
        <v>0.18</v>
      </c>
      <c r="AF94" s="394" t="inlineStr"/>
      <c r="AG94" s="439" t="n">
        <v>0.199</v>
      </c>
      <c r="AH94" s="442" t="n">
        <v>0.191</v>
      </c>
      <c r="AI94" s="394" t="inlineStr"/>
      <c r="AJ94" s="436" t="n">
        <v>0.203</v>
      </c>
      <c r="AK94" s="436" t="n">
        <v>0.198</v>
      </c>
      <c r="AL94" s="397" t="inlineStr"/>
      <c r="AM94" s="442" t="n">
        <v>0.191</v>
      </c>
      <c r="AN94" s="436" t="n">
        <v>0.196</v>
      </c>
      <c r="AO94" s="394" t="inlineStr"/>
      <c r="AP94" s="436" t="n">
        <v>0.188</v>
      </c>
      <c r="AQ94" s="439" t="n">
        <v>0.202</v>
      </c>
      <c r="AR94" s="400" t="inlineStr"/>
      <c r="AS94" s="99" t="n">
        <v>0.229</v>
      </c>
      <c r="AT94" s="436" t="n">
        <v>0.2</v>
      </c>
      <c r="AU94" s="394" t="inlineStr"/>
      <c r="AV94" s="439" t="n">
        <v>0.2</v>
      </c>
      <c r="AW94" s="442" t="n">
        <v>0.207</v>
      </c>
      <c r="AX94" s="394" t="inlineStr"/>
      <c r="AY94" s="436" t="n">
        <v>0.201</v>
      </c>
      <c r="AZ94" s="436" t="n">
        <v>0.191</v>
      </c>
      <c r="BA94" s="397" t="inlineStr"/>
      <c r="BB94" s="442" t="n">
        <v>0.211</v>
      </c>
      <c r="BC94" s="436" t="n">
        <v>0.198</v>
      </c>
      <c r="BD94" s="394" t="inlineStr"/>
      <c r="BE94" s="436" t="n">
        <v>0.181</v>
      </c>
      <c r="BF94" s="439" t="n">
        <v>0.209</v>
      </c>
      <c r="BG94" s="400" t="inlineStr"/>
      <c r="BH94" s="436" t="n">
        <v>0.196</v>
      </c>
      <c r="BI94" s="436" t="n">
        <v>0.201</v>
      </c>
      <c r="BJ94" s="394" t="inlineStr"/>
      <c r="BK94" s="439" t="n">
        <v>0.2</v>
      </c>
      <c r="BL94" s="442" t="n">
        <v>0.193</v>
      </c>
      <c r="BM94" s="394" t="inlineStr"/>
      <c r="BN94" s="99" t="n">
        <v>0.22</v>
      </c>
      <c r="BO94" s="436" t="n">
        <v>0.196</v>
      </c>
      <c r="BP94" s="397" t="inlineStr"/>
      <c r="BQ94" s="442" t="n">
        <v>0.196</v>
      </c>
      <c r="BR94" s="436" t="n">
        <v>0.207</v>
      </c>
      <c r="BS94" s="394" t="inlineStr"/>
      <c r="BT94" s="397" t="inlineStr"/>
      <c r="BU94" s="454">
        <f>IFERROR(AVERAGE(D94:BT96),0)</f>
        <v/>
      </c>
      <c r="BV94" s="454">
        <f>MIN(D94:BT96)</f>
        <v/>
      </c>
      <c r="BW94" s="437" t="n"/>
      <c r="BX94" s="437" t="n"/>
      <c r="BY94" s="437" t="n"/>
      <c r="BZ94" s="437" t="n"/>
      <c r="CA94" s="437" t="n"/>
      <c r="CB94" s="437" t="n"/>
      <c r="CC94" s="437" t="n"/>
      <c r="CD94" s="437" t="n"/>
      <c r="CE94" s="437" t="n"/>
      <c r="CF94" s="437" t="n"/>
      <c r="CG94" s="437" t="n"/>
      <c r="CH94" s="437" t="n"/>
      <c r="CI94" s="437" t="n"/>
      <c r="CJ94" s="437" t="n"/>
      <c r="CK94" s="437" t="n"/>
      <c r="CL94" s="437" t="n"/>
      <c r="CM94" s="437" t="n"/>
      <c r="CN94" s="437" t="n"/>
      <c r="CO94" s="437" t="n"/>
      <c r="CP94" s="437" t="n"/>
      <c r="CQ94" s="437" t="n"/>
      <c r="CR94" s="437" t="n"/>
      <c r="CS94" s="437" t="n"/>
      <c r="CT94" s="437" t="n"/>
      <c r="CU94" s="437" t="n"/>
      <c r="CV94" s="437" t="n"/>
      <c r="CW94" s="437" t="n"/>
      <c r="CX94" s="437" t="n"/>
      <c r="CY94" s="437" t="n"/>
      <c r="CZ94" s="437" t="n"/>
      <c r="DA94" s="437" t="n"/>
      <c r="DB94" s="437" t="n"/>
      <c r="DC94" s="437" t="n"/>
      <c r="DD94" s="437" t="n"/>
      <c r="DE94" s="437" t="n"/>
      <c r="DF94" s="437" t="n"/>
      <c r="DG94" s="437" t="n"/>
      <c r="DH94" s="437" t="n"/>
      <c r="DI94" s="437" t="n"/>
      <c r="DJ94" s="437" t="n"/>
      <c r="DK94" s="437" t="n"/>
      <c r="DL94" s="437" t="n"/>
      <c r="DM94" s="437" t="n"/>
      <c r="DN94" s="437" t="n"/>
      <c r="DO94" s="437" t="n"/>
      <c r="DP94" s="437" t="n"/>
      <c r="DQ94" s="437" t="n"/>
      <c r="DR94" s="437" t="n"/>
      <c r="DS94" s="437" t="n"/>
      <c r="DT94" s="437" t="n"/>
      <c r="DU94" s="437" t="n"/>
      <c r="DV94" s="437" t="n"/>
      <c r="DW94" s="437" t="n"/>
      <c r="DX94" s="437" t="n"/>
      <c r="DY94" s="238" t="n"/>
      <c r="DZ94" s="23" t="n"/>
      <c r="FQ94" s="212" t="n"/>
      <c r="FR94" s="212" t="n"/>
      <c r="FS94" s="212" t="n"/>
      <c r="FT94" s="212" t="n"/>
      <c r="FU94" s="212" t="n"/>
      <c r="FV94" s="212" t="n"/>
      <c r="FW94" s="212" t="n"/>
      <c r="FX94" s="212" t="n"/>
      <c r="FY94" s="212" t="n"/>
      <c r="FZ94" s="212" t="n"/>
    </row>
    <row r="95" ht="39.95" customFormat="1" customHeight="1" s="5">
      <c r="A95" s="182" t="n">
        <v>0.083</v>
      </c>
      <c r="B95" s="7" t="inlineStr">
        <is>
          <t xml:space="preserve">OF THE </t>
        </is>
      </c>
      <c r="C95" s="11" t="inlineStr">
        <is>
          <t>C</t>
        </is>
      </c>
      <c r="D95" s="392" t="inlineStr"/>
      <c r="E95" s="395" t="inlineStr"/>
      <c r="F95" s="437" t="n">
        <v>0.203</v>
      </c>
      <c r="G95" s="437" t="n">
        <v>0.191</v>
      </c>
      <c r="H95" s="398" t="inlineStr"/>
      <c r="I95" s="443" t="n">
        <v>0.236</v>
      </c>
      <c r="J95" s="437" t="n">
        <v>0.247</v>
      </c>
      <c r="K95" s="395" t="inlineStr"/>
      <c r="L95" s="437" t="n">
        <v>0.219</v>
      </c>
      <c r="M95" s="440" t="n">
        <v>0.202</v>
      </c>
      <c r="N95" s="401" t="inlineStr"/>
      <c r="O95" s="437" t="n">
        <v>0.205</v>
      </c>
      <c r="P95" s="437" t="n">
        <v>0.183</v>
      </c>
      <c r="Q95" s="395" t="inlineStr"/>
      <c r="R95" s="440" t="n">
        <v>0.202</v>
      </c>
      <c r="S95" s="443" t="n">
        <v>0.195</v>
      </c>
      <c r="T95" s="395" t="inlineStr"/>
      <c r="U95" s="437" t="n">
        <v>0.201</v>
      </c>
      <c r="V95" s="395" t="n">
        <v>0.232</v>
      </c>
      <c r="W95" s="398" t="inlineStr"/>
      <c r="X95" s="443" t="n">
        <v>0.193</v>
      </c>
      <c r="Y95" s="437" t="n">
        <v>0.213</v>
      </c>
      <c r="Z95" s="395" t="inlineStr"/>
      <c r="AA95" s="437" t="n">
        <v>0.215</v>
      </c>
      <c r="AB95" s="440" t="n">
        <v>0.202</v>
      </c>
      <c r="AC95" s="401" t="inlineStr"/>
      <c r="AD95" s="437" t="n">
        <v>0.184</v>
      </c>
      <c r="AE95" s="437" t="n">
        <v>0.206</v>
      </c>
      <c r="AF95" s="395" t="inlineStr"/>
      <c r="AG95" s="440" t="n">
        <v>0.193</v>
      </c>
      <c r="AH95" s="443" t="n">
        <v>0.203</v>
      </c>
      <c r="AI95" s="395" t="inlineStr"/>
      <c r="AJ95" s="437" t="n">
        <v>0.208</v>
      </c>
      <c r="AK95" s="437" t="n">
        <v>0.205</v>
      </c>
      <c r="AL95" s="398" t="inlineStr"/>
      <c r="AM95" s="443" t="n">
        <v>0.188</v>
      </c>
      <c r="AN95" s="437" t="n">
        <v>0.196</v>
      </c>
      <c r="AO95" s="395" t="inlineStr"/>
      <c r="AP95" s="437" t="n">
        <v>0.192</v>
      </c>
      <c r="AQ95" s="440" t="n">
        <v>0.201</v>
      </c>
      <c r="AR95" s="401" t="inlineStr"/>
      <c r="AS95" s="437" t="n">
        <v>0.2</v>
      </c>
      <c r="AT95" s="437" t="n">
        <v>0.206</v>
      </c>
      <c r="AU95" s="395" t="inlineStr"/>
      <c r="AV95" s="440" t="n">
        <v>0.212</v>
      </c>
      <c r="AW95" s="443" t="n">
        <v>0.205</v>
      </c>
      <c r="AX95" s="395" t="inlineStr"/>
      <c r="AY95" s="395" t="n">
        <v>0.22</v>
      </c>
      <c r="AZ95" s="437" t="n">
        <v>0.182</v>
      </c>
      <c r="BA95" s="398" t="inlineStr"/>
      <c r="BB95" s="443" t="n">
        <v>0.205</v>
      </c>
      <c r="BC95" s="437" t="n">
        <v>0.217</v>
      </c>
      <c r="BD95" s="395" t="inlineStr"/>
      <c r="BE95" s="437" t="n">
        <v>0.175</v>
      </c>
      <c r="BF95" s="440" t="n">
        <v>0.194</v>
      </c>
      <c r="BG95" s="401" t="inlineStr"/>
      <c r="BH95" s="437" t="n">
        <v>0.187</v>
      </c>
      <c r="BI95" s="437" t="n">
        <v>0.198</v>
      </c>
      <c r="BJ95" s="395" t="inlineStr"/>
      <c r="BK95" s="440" t="n">
        <v>0.205</v>
      </c>
      <c r="BL95" s="443" t="n">
        <v>0.188</v>
      </c>
      <c r="BM95" s="395" t="inlineStr"/>
      <c r="BN95" s="101" t="n">
        <v>0.221</v>
      </c>
      <c r="BO95" s="101" t="n">
        <v>0.218</v>
      </c>
      <c r="BP95" s="398" t="inlineStr"/>
      <c r="BQ95" s="443" t="n">
        <v>0.182</v>
      </c>
      <c r="BR95" s="437" t="n">
        <v>0.192</v>
      </c>
      <c r="BS95" s="395" t="inlineStr"/>
      <c r="BT95" s="398" t="inlineStr"/>
      <c r="BU95" s="455" t="n"/>
      <c r="BV95" s="455" t="n"/>
      <c r="BW95" s="437" t="n"/>
      <c r="BX95" s="437" t="n"/>
      <c r="BY95" s="437" t="n"/>
      <c r="BZ95" s="437" t="n"/>
      <c r="CA95" s="437" t="n"/>
      <c r="CB95" s="437" t="n"/>
      <c r="CC95" s="437" t="n"/>
      <c r="CD95" s="437" t="n"/>
      <c r="CE95" s="437" t="n"/>
      <c r="CF95" s="437" t="n"/>
      <c r="CG95" s="437" t="n"/>
      <c r="CH95" s="437" t="n"/>
      <c r="CI95" s="437" t="n"/>
      <c r="CJ95" s="437" t="n"/>
      <c r="CK95" s="437" t="n"/>
      <c r="CL95" s="437" t="n"/>
      <c r="CM95" s="437" t="n"/>
      <c r="CN95" s="437" t="n"/>
      <c r="CO95" s="437" t="n"/>
      <c r="CP95" s="437" t="n"/>
      <c r="CQ95" s="437" t="n"/>
      <c r="CR95" s="437" t="n"/>
      <c r="CS95" s="437" t="n"/>
      <c r="CT95" s="437" t="n"/>
      <c r="CU95" s="437" t="n"/>
      <c r="CV95" s="437" t="n"/>
      <c r="CW95" s="437" t="n"/>
      <c r="CX95" s="437" t="n"/>
      <c r="CY95" s="437" t="n"/>
      <c r="CZ95" s="437" t="n"/>
      <c r="DA95" s="437" t="n"/>
      <c r="DB95" s="437" t="n"/>
      <c r="DC95" s="437" t="n"/>
      <c r="DD95" s="437" t="n"/>
      <c r="DE95" s="437" t="n"/>
      <c r="DF95" s="437" t="n"/>
      <c r="DG95" s="437" t="n"/>
      <c r="DH95" s="437" t="n"/>
      <c r="DI95" s="437" t="n"/>
      <c r="DJ95" s="437" t="n"/>
      <c r="DK95" s="437" t="n"/>
      <c r="DL95" s="437" t="n"/>
      <c r="DM95" s="437" t="n"/>
      <c r="DN95" s="437" t="n"/>
      <c r="DO95" s="437" t="n"/>
      <c r="DP95" s="437" t="n"/>
      <c r="DQ95" s="437" t="n"/>
      <c r="DR95" s="437" t="n"/>
      <c r="DS95" s="437" t="n"/>
      <c r="DT95" s="437" t="n"/>
      <c r="DU95" s="437" t="n"/>
      <c r="DV95" s="437" t="n"/>
      <c r="DW95" s="437" t="n"/>
      <c r="DX95" s="437" t="n"/>
      <c r="DY95" s="238" t="n"/>
      <c r="DZ95" s="23" t="n"/>
      <c r="FQ95" s="212" t="n"/>
      <c r="FR95" s="212" t="n"/>
      <c r="FS95" s="212" t="n"/>
      <c r="FT95" s="212" t="n"/>
      <c r="FU95" s="212" t="n"/>
      <c r="FV95" s="212" t="n"/>
      <c r="FW95" s="212" t="n"/>
      <c r="FX95" s="212" t="n"/>
      <c r="FY95" s="212" t="n"/>
      <c r="FZ95" s="212" t="n"/>
    </row>
    <row r="96" ht="39.95" customFormat="1" customHeight="1" s="5">
      <c r="A96" s="456" t="n"/>
      <c r="B96" s="8" t="inlineStr">
        <is>
          <t>PRIMARIES</t>
        </is>
      </c>
      <c r="C96" s="12" t="inlineStr">
        <is>
          <t>R</t>
        </is>
      </c>
      <c r="D96" s="393" t="inlineStr"/>
      <c r="E96" s="396" t="inlineStr"/>
      <c r="F96" s="438" t="n">
        <v>0.196</v>
      </c>
      <c r="G96" s="438" t="n">
        <v>0.209</v>
      </c>
      <c r="H96" s="399" t="inlineStr"/>
      <c r="I96" s="402" t="n">
        <v>0.232</v>
      </c>
      <c r="J96" s="438" t="n">
        <v>0.243</v>
      </c>
      <c r="K96" s="396" t="inlineStr"/>
      <c r="L96" s="438" t="n">
        <v>0.234</v>
      </c>
      <c r="M96" s="441" t="n">
        <v>0.244</v>
      </c>
      <c r="N96" s="402" t="inlineStr"/>
      <c r="O96" s="438" t="n">
        <v>0.199</v>
      </c>
      <c r="P96" s="438" t="n">
        <v>0.205</v>
      </c>
      <c r="Q96" s="396" t="inlineStr"/>
      <c r="R96" s="441" t="n">
        <v>0.21</v>
      </c>
      <c r="S96" s="444" t="n">
        <v>0.192</v>
      </c>
      <c r="T96" s="396" t="inlineStr"/>
      <c r="U96" s="438" t="n">
        <v>0.195</v>
      </c>
      <c r="V96" s="438" t="n">
        <v>0.221</v>
      </c>
      <c r="W96" s="399" t="inlineStr"/>
      <c r="X96" s="444" t="n">
        <v>0.194</v>
      </c>
      <c r="Y96" s="438" t="n">
        <v>0.202</v>
      </c>
      <c r="Z96" s="396" t="inlineStr"/>
      <c r="AA96" s="438" t="n">
        <v>0.185</v>
      </c>
      <c r="AB96" s="441" t="n">
        <v>0.187</v>
      </c>
      <c r="AC96" s="402" t="inlineStr"/>
      <c r="AD96" s="438" t="n">
        <v>0.197</v>
      </c>
      <c r="AE96" s="438" t="n">
        <v>0.196</v>
      </c>
      <c r="AF96" s="396" t="inlineStr"/>
      <c r="AG96" s="441" t="n">
        <v>0.2</v>
      </c>
      <c r="AH96" s="444" t="n">
        <v>0.203</v>
      </c>
      <c r="AI96" s="396" t="inlineStr"/>
      <c r="AJ96" s="438" t="n">
        <v>0.202</v>
      </c>
      <c r="AK96" s="438" t="n">
        <v>0.212</v>
      </c>
      <c r="AL96" s="399" t="inlineStr"/>
      <c r="AM96" s="444" t="n">
        <v>0.2</v>
      </c>
      <c r="AN96" s="438" t="n">
        <v>0.177</v>
      </c>
      <c r="AO96" s="396" t="inlineStr"/>
      <c r="AP96" s="438" t="n">
        <v>0.173</v>
      </c>
      <c r="AQ96" s="441" t="n">
        <v>0.216</v>
      </c>
      <c r="AR96" s="402" t="inlineStr"/>
      <c r="AS96" s="438" t="n">
        <v>0.19</v>
      </c>
      <c r="AT96" s="438" t="n">
        <v>0.188</v>
      </c>
      <c r="AU96" s="396" t="inlineStr"/>
      <c r="AV96" s="441" t="n">
        <v>0.21</v>
      </c>
      <c r="AW96" s="444" t="n">
        <v>0.199</v>
      </c>
      <c r="AX96" s="396" t="inlineStr"/>
      <c r="AY96" s="438" t="n">
        <v>0.207</v>
      </c>
      <c r="AZ96" s="438" t="n">
        <v>0.203</v>
      </c>
      <c r="BA96" s="399" t="inlineStr"/>
      <c r="BB96" s="444" t="n">
        <v>0.21</v>
      </c>
      <c r="BC96" s="438" t="n">
        <v>0.198</v>
      </c>
      <c r="BD96" s="396" t="inlineStr"/>
      <c r="BE96" s="438" t="n">
        <v>0.183</v>
      </c>
      <c r="BF96" s="441" t="n">
        <v>0.199</v>
      </c>
      <c r="BG96" s="402" t="inlineStr"/>
      <c r="BH96" s="438" t="n">
        <v>0.204</v>
      </c>
      <c r="BI96" s="438" t="n">
        <v>0.192</v>
      </c>
      <c r="BJ96" s="396" t="inlineStr"/>
      <c r="BK96" s="441" t="n">
        <v>0.201</v>
      </c>
      <c r="BL96" s="444" t="n">
        <v>0.196</v>
      </c>
      <c r="BM96" s="396" t="inlineStr"/>
      <c r="BN96" s="438" t="n">
        <v>0.192</v>
      </c>
      <c r="BO96" s="104" t="n">
        <v>0.22</v>
      </c>
      <c r="BP96" s="399" t="inlineStr"/>
      <c r="BQ96" s="444" t="n">
        <v>0.191</v>
      </c>
      <c r="BR96" s="438" t="n">
        <v>0.201</v>
      </c>
      <c r="BS96" s="396" t="inlineStr"/>
      <c r="BT96" s="399" t="inlineStr"/>
      <c r="BU96" s="457" t="n"/>
      <c r="BV96" s="457" t="n"/>
      <c r="BW96" s="437" t="n"/>
      <c r="BX96" s="437" t="n"/>
      <c r="BY96" s="437" t="n"/>
      <c r="BZ96" s="437" t="n"/>
      <c r="CA96" s="437" t="n"/>
      <c r="CB96" s="437" t="n"/>
      <c r="CC96" s="437" t="n"/>
      <c r="CD96" s="437" t="n"/>
      <c r="CE96" s="437" t="n"/>
      <c r="CF96" s="437" t="n"/>
      <c r="CG96" s="437" t="n"/>
      <c r="CH96" s="437" t="n"/>
      <c r="CI96" s="437" t="n"/>
      <c r="CJ96" s="437" t="n"/>
      <c r="CK96" s="437" t="n"/>
      <c r="CL96" s="437" t="n"/>
      <c r="CM96" s="437" t="n"/>
      <c r="CN96" s="437" t="n"/>
      <c r="CO96" s="437" t="n"/>
      <c r="CP96" s="437" t="n"/>
      <c r="CQ96" s="437" t="n"/>
      <c r="CR96" s="437" t="n"/>
      <c r="CS96" s="437" t="n"/>
      <c r="CT96" s="437" t="n"/>
      <c r="CU96" s="437" t="n"/>
      <c r="CV96" s="437" t="n"/>
      <c r="CW96" s="437" t="n"/>
      <c r="CX96" s="437" t="n"/>
      <c r="CY96" s="437" t="n"/>
      <c r="CZ96" s="437" t="n"/>
      <c r="DA96" s="437" t="n"/>
      <c r="DB96" s="437" t="n"/>
      <c r="DC96" s="437" t="n"/>
      <c r="DD96" s="437" t="n"/>
      <c r="DE96" s="437" t="n"/>
      <c r="DF96" s="437" t="n"/>
      <c r="DG96" s="437" t="n"/>
      <c r="DH96" s="437" t="n"/>
      <c r="DI96" s="437" t="n"/>
      <c r="DJ96" s="437" t="n"/>
      <c r="DK96" s="437" t="n"/>
      <c r="DL96" s="437" t="n"/>
      <c r="DM96" s="437" t="n"/>
      <c r="DN96" s="437" t="n"/>
      <c r="DO96" s="437" t="n"/>
      <c r="DP96" s="437" t="n"/>
      <c r="DQ96" s="437" t="n"/>
      <c r="DR96" s="437" t="n"/>
      <c r="DS96" s="437" t="n"/>
      <c r="DT96" s="437" t="n"/>
      <c r="DU96" s="437" t="n"/>
      <c r="DV96" s="437" t="n"/>
      <c r="DW96" s="437" t="n"/>
      <c r="DX96" s="437" t="n"/>
      <c r="DY96" s="238" t="n"/>
      <c r="DZ96" s="23" t="n"/>
      <c r="FQ96" s="212" t="n"/>
      <c r="FR96" s="212" t="n"/>
      <c r="FS96" s="212" t="n"/>
      <c r="FT96" s="212" t="n"/>
      <c r="FU96" s="212" t="n"/>
      <c r="FV96" s="212" t="n"/>
      <c r="FW96" s="212" t="n"/>
      <c r="FX96" s="212" t="n"/>
      <c r="FY96" s="212" t="n"/>
      <c r="FZ96" s="212" t="n"/>
    </row>
    <row r="97" ht="39.95" customFormat="1" customHeight="1" s="5">
      <c r="A97" s="10" t="inlineStr">
        <is>
          <t>A</t>
        </is>
      </c>
      <c r="B97" s="6" t="inlineStr">
        <is>
          <t>POSITION 'C'</t>
        </is>
      </c>
      <c r="C97" s="11" t="inlineStr">
        <is>
          <t>L</t>
        </is>
      </c>
      <c r="D97" s="391" t="inlineStr"/>
      <c r="E97" s="394" t="inlineStr"/>
      <c r="F97" s="436" t="n">
        <v>0.152</v>
      </c>
      <c r="G97" s="436" t="n">
        <v>0.207</v>
      </c>
      <c r="H97" s="397" t="inlineStr"/>
      <c r="I97" s="442" t="n">
        <v>0.214</v>
      </c>
      <c r="J97" s="436" t="n">
        <v>0.246</v>
      </c>
      <c r="K97" s="394" t="inlineStr"/>
      <c r="L97" s="436" t="n">
        <v>0.225</v>
      </c>
      <c r="M97" s="439" t="n">
        <v>0.228</v>
      </c>
      <c r="N97" s="400" t="inlineStr"/>
      <c r="O97" s="99" t="n">
        <v>0.214</v>
      </c>
      <c r="P97" s="436" t="n">
        <v>0.194</v>
      </c>
      <c r="Q97" s="394" t="inlineStr"/>
      <c r="R97" s="439" t="n">
        <v>0.181</v>
      </c>
      <c r="S97" s="442" t="n">
        <v>0.202</v>
      </c>
      <c r="T97" s="394" t="inlineStr"/>
      <c r="U97" s="436" t="n">
        <v>0.188</v>
      </c>
      <c r="V97" s="436" t="n">
        <v>0.192</v>
      </c>
      <c r="W97" s="397" t="inlineStr"/>
      <c r="X97" s="442" t="n">
        <v>0.198</v>
      </c>
      <c r="Y97" s="436" t="n">
        <v>0.197</v>
      </c>
      <c r="Z97" s="394" t="inlineStr"/>
      <c r="AA97" s="436" t="n">
        <v>0.179</v>
      </c>
      <c r="AB97" s="439" t="n">
        <v>0.207</v>
      </c>
      <c r="AC97" s="400" t="inlineStr"/>
      <c r="AD97" s="436" t="n">
        <v>0.179</v>
      </c>
      <c r="AE97" s="436" t="n">
        <v>0.203</v>
      </c>
      <c r="AF97" s="394" t="inlineStr"/>
      <c r="AG97" s="439" t="n">
        <v>0.187</v>
      </c>
      <c r="AH97" s="442" t="n">
        <v>0.209</v>
      </c>
      <c r="AI97" s="394" t="inlineStr"/>
      <c r="AJ97" s="436" t="n">
        <v>0.202</v>
      </c>
      <c r="AK97" s="436" t="n">
        <v>0.196</v>
      </c>
      <c r="AL97" s="397" t="inlineStr"/>
      <c r="AM97" s="442" t="n">
        <v>0.192</v>
      </c>
      <c r="AN97" s="436" t="n">
        <v>0.179</v>
      </c>
      <c r="AO97" s="394" t="inlineStr"/>
      <c r="AP97" s="436" t="n">
        <v>0.198</v>
      </c>
      <c r="AQ97" s="439" t="n">
        <v>0.202</v>
      </c>
      <c r="AR97" s="400" t="inlineStr"/>
      <c r="AS97" s="436" t="n">
        <v>0.217</v>
      </c>
      <c r="AT97" s="436" t="n">
        <v>0.196</v>
      </c>
      <c r="AU97" s="394" t="inlineStr"/>
      <c r="AV97" s="439" t="n">
        <v>0.182</v>
      </c>
      <c r="AW97" s="442" t="n">
        <v>0.215</v>
      </c>
      <c r="AX97" s="394" t="inlineStr"/>
      <c r="AY97" s="99" t="n">
        <v>0.226</v>
      </c>
      <c r="AZ97" s="436" t="n">
        <v>0.193</v>
      </c>
      <c r="BA97" s="397" t="inlineStr"/>
      <c r="BB97" s="442" t="n">
        <v>0.208</v>
      </c>
      <c r="BC97" s="436" t="n">
        <v>0.187</v>
      </c>
      <c r="BD97" s="394" t="inlineStr"/>
      <c r="BE97" s="436" t="n">
        <v>0.17</v>
      </c>
      <c r="BF97" s="439" t="n">
        <v>0.192</v>
      </c>
      <c r="BG97" s="400" t="inlineStr"/>
      <c r="BH97" s="436" t="n">
        <v>0.201</v>
      </c>
      <c r="BI97" s="436" t="n">
        <v>0.194</v>
      </c>
      <c r="BJ97" s="394" t="inlineStr"/>
      <c r="BK97" s="439" t="n">
        <v>0.2</v>
      </c>
      <c r="BL97" s="442" t="n">
        <v>0.188</v>
      </c>
      <c r="BM97" s="394" t="inlineStr"/>
      <c r="BN97" s="436" t="n">
        <v>0.194</v>
      </c>
      <c r="BO97" s="436" t="n">
        <v>0.205</v>
      </c>
      <c r="BP97" s="397" t="inlineStr"/>
      <c r="BQ97" s="442" t="n">
        <v>0.198</v>
      </c>
      <c r="BR97" s="436" t="n">
        <v>0.208</v>
      </c>
      <c r="BS97" s="394" t="inlineStr"/>
      <c r="BT97" s="397" t="inlineStr"/>
      <c r="BU97" s="454">
        <f>IFERROR(AVERAGE(D97:BT99),0)</f>
        <v/>
      </c>
      <c r="BV97" s="454">
        <f>MIN(D97:BT99)</f>
        <v/>
      </c>
      <c r="BW97" s="437" t="n"/>
      <c r="BX97" s="437" t="n"/>
      <c r="BY97" s="437" t="n"/>
      <c r="BZ97" s="437" t="n"/>
      <c r="CA97" s="437" t="n"/>
      <c r="CB97" s="437" t="n"/>
      <c r="CC97" s="437" t="n"/>
      <c r="CD97" s="437" t="n"/>
      <c r="CE97" s="437" t="n"/>
      <c r="CF97" s="437" t="n"/>
      <c r="CG97" s="437" t="n"/>
      <c r="CH97" s="437" t="n"/>
      <c r="CI97" s="437" t="n"/>
      <c r="CJ97" s="437" t="n"/>
      <c r="CK97" s="437" t="n"/>
      <c r="CL97" s="437" t="n"/>
      <c r="CM97" s="437" t="n"/>
      <c r="CN97" s="437" t="n"/>
      <c r="CO97" s="437" t="n"/>
      <c r="CP97" s="437" t="n"/>
      <c r="CQ97" s="437" t="n"/>
      <c r="CR97" s="437" t="n"/>
      <c r="CS97" s="437" t="n"/>
      <c r="CT97" s="437" t="n"/>
      <c r="CU97" s="437" t="n"/>
      <c r="CV97" s="437" t="n"/>
      <c r="CW97" s="437" t="n"/>
      <c r="CX97" s="437" t="n"/>
      <c r="CY97" s="437" t="n"/>
      <c r="CZ97" s="437" t="n"/>
      <c r="DA97" s="437" t="n"/>
      <c r="DB97" s="437" t="n"/>
      <c r="DC97" s="437" t="n"/>
      <c r="DD97" s="437" t="n"/>
      <c r="DE97" s="437" t="n"/>
      <c r="DF97" s="437" t="n"/>
      <c r="DG97" s="437" t="n"/>
      <c r="DH97" s="437" t="n"/>
      <c r="DI97" s="437" t="n"/>
      <c r="DJ97" s="437" t="n"/>
      <c r="DK97" s="437" t="n"/>
      <c r="DL97" s="437" t="n"/>
      <c r="DM97" s="437" t="n"/>
      <c r="DN97" s="437" t="n"/>
      <c r="DO97" s="437" t="n"/>
      <c r="DP97" s="437" t="n"/>
      <c r="DQ97" s="437" t="n"/>
      <c r="DR97" s="437" t="n"/>
      <c r="DS97" s="437" t="n"/>
      <c r="DT97" s="437" t="n"/>
      <c r="DU97" s="437" t="n"/>
      <c r="DV97" s="437" t="n"/>
      <c r="DW97" s="437" t="n"/>
      <c r="DX97" s="437" t="n"/>
      <c r="DY97" s="238" t="n"/>
      <c r="DZ97" s="23" t="n"/>
      <c r="FQ97" s="212" t="n"/>
      <c r="FR97" s="212" t="n"/>
      <c r="FS97" s="212" t="n"/>
      <c r="FT97" s="212" t="n"/>
      <c r="FU97" s="212" t="n"/>
      <c r="FV97" s="212" t="n"/>
      <c r="FW97" s="212" t="n"/>
      <c r="FX97" s="212" t="n"/>
      <c r="FY97" s="212" t="n"/>
      <c r="FZ97" s="212" t="n"/>
    </row>
    <row r="98" ht="39.95" customFormat="1" customHeight="1" s="5">
      <c r="A98" s="182" t="n">
        <v>0.083</v>
      </c>
      <c r="B98" s="7" t="inlineStr">
        <is>
          <t xml:space="preserve">OF THE </t>
        </is>
      </c>
      <c r="C98" s="11" t="inlineStr">
        <is>
          <t>C</t>
        </is>
      </c>
      <c r="D98" s="392" t="inlineStr"/>
      <c r="E98" s="395" t="inlineStr"/>
      <c r="F98" s="437" t="n">
        <v>0.142</v>
      </c>
      <c r="G98" s="437" t="n">
        <v>0.158</v>
      </c>
      <c r="H98" s="398" t="inlineStr"/>
      <c r="I98" s="443" t="n">
        <v>0.227</v>
      </c>
      <c r="J98" s="437" t="n">
        <v>0.193</v>
      </c>
      <c r="K98" s="395" t="inlineStr"/>
      <c r="L98" s="437" t="n">
        <v>0.211</v>
      </c>
      <c r="M98" s="440" t="n">
        <v>0.24</v>
      </c>
      <c r="N98" s="401" t="inlineStr"/>
      <c r="O98" s="437" t="n">
        <v>0.188</v>
      </c>
      <c r="P98" s="437" t="n">
        <v>0.187</v>
      </c>
      <c r="Q98" s="395" t="inlineStr"/>
      <c r="R98" s="440" t="n">
        <v>0.194</v>
      </c>
      <c r="S98" s="443" t="n">
        <v>0.189</v>
      </c>
      <c r="T98" s="395" t="inlineStr"/>
      <c r="U98" s="437" t="n">
        <v>0.195</v>
      </c>
      <c r="V98" s="437" t="n">
        <v>0.186</v>
      </c>
      <c r="W98" s="398" t="inlineStr"/>
      <c r="X98" s="443" t="n">
        <v>0.191</v>
      </c>
      <c r="Y98" s="437" t="n">
        <v>0.21</v>
      </c>
      <c r="Z98" s="395" t="inlineStr"/>
      <c r="AA98" s="437" t="n">
        <v>0.188</v>
      </c>
      <c r="AB98" s="440" t="n">
        <v>0.194</v>
      </c>
      <c r="AC98" s="401" t="inlineStr"/>
      <c r="AD98" s="437" t="n">
        <v>0.195</v>
      </c>
      <c r="AE98" s="437" t="n">
        <v>0.197</v>
      </c>
      <c r="AF98" s="395" t="inlineStr"/>
      <c r="AG98" s="440" t="n">
        <v>0.179</v>
      </c>
      <c r="AH98" s="443" t="n">
        <v>0.194</v>
      </c>
      <c r="AI98" s="395" t="inlineStr"/>
      <c r="AJ98" s="437" t="n">
        <v>0.18</v>
      </c>
      <c r="AK98" s="437" t="n">
        <v>0.194</v>
      </c>
      <c r="AL98" s="398" t="inlineStr"/>
      <c r="AM98" s="443" t="n">
        <v>0.177</v>
      </c>
      <c r="AN98" s="437" t="n">
        <v>0.185</v>
      </c>
      <c r="AO98" s="395" t="inlineStr"/>
      <c r="AP98" s="437" t="n">
        <v>0.197</v>
      </c>
      <c r="AQ98" s="440" t="n">
        <v>0.189</v>
      </c>
      <c r="AR98" s="401" t="inlineStr"/>
      <c r="AS98" s="437" t="n">
        <v>0.197</v>
      </c>
      <c r="AT98" s="437" t="n">
        <v>0.196</v>
      </c>
      <c r="AU98" s="395" t="inlineStr"/>
      <c r="AV98" s="440" t="n">
        <v>0.171</v>
      </c>
      <c r="AW98" s="443" t="n">
        <v>0.197</v>
      </c>
      <c r="AX98" s="395" t="inlineStr"/>
      <c r="AY98" s="437" t="n">
        <v>0.211</v>
      </c>
      <c r="AZ98" s="437" t="n">
        <v>0.182</v>
      </c>
      <c r="BA98" s="398" t="inlineStr"/>
      <c r="BB98" s="443" t="n">
        <v>0.212</v>
      </c>
      <c r="BC98" s="437" t="n">
        <v>0.198</v>
      </c>
      <c r="BD98" s="395" t="inlineStr"/>
      <c r="BE98" s="437" t="n">
        <v>0.178</v>
      </c>
      <c r="BF98" s="398" t="n">
        <v>0.192</v>
      </c>
      <c r="BG98" s="401" t="inlineStr"/>
      <c r="BH98" s="437" t="n">
        <v>0.176</v>
      </c>
      <c r="BI98" s="437" t="n">
        <v>0.185</v>
      </c>
      <c r="BJ98" s="395" t="inlineStr"/>
      <c r="BK98" s="440" t="n">
        <v>0.187</v>
      </c>
      <c r="BL98" s="443" t="n">
        <v>0.187</v>
      </c>
      <c r="BM98" s="395" t="inlineStr"/>
      <c r="BN98" s="437" t="n">
        <v>0.168</v>
      </c>
      <c r="BO98" s="437" t="n">
        <v>0.214</v>
      </c>
      <c r="BP98" s="398" t="inlineStr"/>
      <c r="BQ98" s="443" t="n">
        <v>0.2</v>
      </c>
      <c r="BR98" s="437" t="n">
        <v>0.188</v>
      </c>
      <c r="BS98" s="395" t="inlineStr"/>
      <c r="BT98" s="398" t="inlineStr"/>
      <c r="BU98" s="455" t="n"/>
      <c r="BV98" s="455" t="n"/>
      <c r="BW98" s="437" t="n"/>
      <c r="BX98" s="437" t="n"/>
      <c r="BY98" s="437" t="n"/>
      <c r="BZ98" s="437" t="n"/>
      <c r="CA98" s="437" t="n"/>
      <c r="CB98" s="437" t="n"/>
      <c r="CC98" s="437" t="n"/>
      <c r="CD98" s="437" t="n"/>
      <c r="CE98" s="437" t="n"/>
      <c r="CF98" s="437" t="n"/>
      <c r="CG98" s="437" t="n"/>
      <c r="CH98" s="437" t="n"/>
      <c r="CI98" s="437" t="n"/>
      <c r="CJ98" s="437" t="n"/>
      <c r="CK98" s="437" t="n"/>
      <c r="CL98" s="437" t="n"/>
      <c r="CM98" s="437" t="n"/>
      <c r="CN98" s="437" t="n"/>
      <c r="CO98" s="437" t="n"/>
      <c r="CP98" s="437" t="n"/>
      <c r="CQ98" s="437" t="n"/>
      <c r="CR98" s="437" t="n"/>
      <c r="CS98" s="437" t="n"/>
      <c r="CT98" s="437" t="n"/>
      <c r="CU98" s="437" t="n"/>
      <c r="CV98" s="437" t="n"/>
      <c r="CW98" s="437" t="n"/>
      <c r="CX98" s="437" t="n"/>
      <c r="CY98" s="437" t="n"/>
      <c r="CZ98" s="437" t="n"/>
      <c r="DA98" s="437" t="n"/>
      <c r="DB98" s="437" t="n"/>
      <c r="DC98" s="437" t="n"/>
      <c r="DD98" s="437" t="n"/>
      <c r="DE98" s="437" t="n"/>
      <c r="DF98" s="437" t="n"/>
      <c r="DG98" s="437" t="n"/>
      <c r="DH98" s="437" t="n"/>
      <c r="DI98" s="437" t="n"/>
      <c r="DJ98" s="437" t="n"/>
      <c r="DK98" s="437" t="n"/>
      <c r="DL98" s="437" t="n"/>
      <c r="DM98" s="437" t="n"/>
      <c r="DN98" s="437" t="n"/>
      <c r="DO98" s="437" t="n"/>
      <c r="DP98" s="437" t="n"/>
      <c r="DQ98" s="437" t="n"/>
      <c r="DR98" s="437" t="n"/>
      <c r="DS98" s="437" t="n"/>
      <c r="DT98" s="437" t="n"/>
      <c r="DU98" s="437" t="n"/>
      <c r="DV98" s="437" t="n"/>
      <c r="DW98" s="437" t="n"/>
      <c r="DX98" s="437" t="n"/>
      <c r="DY98" s="238" t="n"/>
      <c r="DZ98" s="23" t="n"/>
      <c r="FQ98" s="212" t="n"/>
      <c r="FR98" s="212" t="n"/>
      <c r="FS98" s="212" t="n"/>
      <c r="FT98" s="212" t="n"/>
      <c r="FU98" s="212" t="n"/>
      <c r="FV98" s="212" t="n"/>
      <c r="FW98" s="212" t="n"/>
      <c r="FX98" s="212" t="n"/>
      <c r="FY98" s="212" t="n"/>
      <c r="FZ98" s="212" t="n"/>
    </row>
    <row r="99" ht="39.95" customFormat="1" customHeight="1" s="5">
      <c r="A99" s="456" t="n"/>
      <c r="B99" s="8" t="inlineStr">
        <is>
          <t>PRIMARIES</t>
        </is>
      </c>
      <c r="C99" s="12" t="inlineStr">
        <is>
          <t>R</t>
        </is>
      </c>
      <c r="D99" s="393" t="inlineStr"/>
      <c r="E99" s="396" t="inlineStr"/>
      <c r="F99" s="438" t="n">
        <v>0.177</v>
      </c>
      <c r="G99" s="438" t="n">
        <v>0.202</v>
      </c>
      <c r="H99" s="399" t="inlineStr"/>
      <c r="I99" s="444" t="n">
        <v>0.245</v>
      </c>
      <c r="J99" s="438" t="n">
        <v>0.215</v>
      </c>
      <c r="K99" s="396" t="inlineStr"/>
      <c r="L99" s="438" t="n">
        <v>0.216</v>
      </c>
      <c r="M99" s="105" t="n">
        <v>0.256</v>
      </c>
      <c r="N99" s="402" t="inlineStr"/>
      <c r="O99" s="438" t="n">
        <v>0.187</v>
      </c>
      <c r="P99" s="438" t="n">
        <v>0.214</v>
      </c>
      <c r="Q99" s="396" t="inlineStr"/>
      <c r="R99" s="441" t="n">
        <v>0.204</v>
      </c>
      <c r="S99" s="444" t="n">
        <v>0.192</v>
      </c>
      <c r="T99" s="396" t="inlineStr"/>
      <c r="U99" s="438" t="n">
        <v>0.199</v>
      </c>
      <c r="V99" s="438" t="n">
        <v>0.197</v>
      </c>
      <c r="W99" s="399" t="inlineStr"/>
      <c r="X99" s="444" t="n">
        <v>0.2</v>
      </c>
      <c r="Y99" s="438" t="n">
        <v>0.198</v>
      </c>
      <c r="Z99" s="396" t="inlineStr"/>
      <c r="AA99" s="438" t="n">
        <v>0.184</v>
      </c>
      <c r="AB99" s="441" t="n">
        <v>0.203</v>
      </c>
      <c r="AC99" s="402" t="inlineStr"/>
      <c r="AD99" s="438" t="n">
        <v>0.196</v>
      </c>
      <c r="AE99" s="438" t="n">
        <v>0.189</v>
      </c>
      <c r="AF99" s="396" t="inlineStr"/>
      <c r="AG99" s="441" t="n">
        <v>0.189</v>
      </c>
      <c r="AH99" s="444" t="n">
        <v>0.189</v>
      </c>
      <c r="AI99" s="396" t="inlineStr"/>
      <c r="AJ99" s="438" t="n">
        <v>0.18</v>
      </c>
      <c r="AK99" s="438" t="n">
        <v>0.214</v>
      </c>
      <c r="AL99" s="399" t="inlineStr"/>
      <c r="AM99" s="444" t="n">
        <v>0.184</v>
      </c>
      <c r="AN99" s="438" t="n">
        <v>0.173</v>
      </c>
      <c r="AO99" s="396" t="inlineStr"/>
      <c r="AP99" s="438" t="n">
        <v>0.186</v>
      </c>
      <c r="AQ99" s="441" t="n">
        <v>0.194</v>
      </c>
      <c r="AR99" s="402" t="inlineStr"/>
      <c r="AS99" s="438" t="n">
        <v>0.194</v>
      </c>
      <c r="AT99" s="438" t="n">
        <v>0.193</v>
      </c>
      <c r="AU99" s="396" t="inlineStr"/>
      <c r="AV99" s="441" t="n">
        <v>0.181</v>
      </c>
      <c r="AW99" s="444" t="n">
        <v>0.19</v>
      </c>
      <c r="AX99" s="396" t="inlineStr"/>
      <c r="AY99" s="438" t="n">
        <v>0.18</v>
      </c>
      <c r="AZ99" s="438" t="n">
        <v>0.19</v>
      </c>
      <c r="BA99" s="399" t="inlineStr"/>
      <c r="BB99" s="444" t="n">
        <v>0.197</v>
      </c>
      <c r="BC99" s="396" t="n">
        <v>0.187</v>
      </c>
      <c r="BD99" s="396" t="inlineStr"/>
      <c r="BE99" s="438" t="n">
        <v>0.16</v>
      </c>
      <c r="BF99" s="441" t="n">
        <v>0.203</v>
      </c>
      <c r="BG99" s="402" t="inlineStr"/>
      <c r="BH99" s="438" t="n">
        <v>0.179</v>
      </c>
      <c r="BI99" s="438" t="n">
        <v>0.175</v>
      </c>
      <c r="BJ99" s="396" t="inlineStr"/>
      <c r="BK99" s="441" t="n">
        <v>0.191</v>
      </c>
      <c r="BL99" s="444" t="n">
        <v>0.179</v>
      </c>
      <c r="BM99" s="396" t="inlineStr"/>
      <c r="BN99" s="438" t="n">
        <v>0.189</v>
      </c>
      <c r="BO99" s="104" t="n">
        <v>0.207</v>
      </c>
      <c r="BP99" s="399" t="inlineStr"/>
      <c r="BQ99" s="444" t="n">
        <v>0.196</v>
      </c>
      <c r="BR99" s="104" t="n">
        <v>0.231</v>
      </c>
      <c r="BS99" s="396" t="inlineStr"/>
      <c r="BT99" s="399" t="inlineStr"/>
      <c r="BU99" s="457" t="n"/>
      <c r="BV99" s="457" t="n"/>
      <c r="BW99" s="437" t="n"/>
      <c r="BX99" s="437" t="n"/>
      <c r="BY99" s="437" t="n"/>
      <c r="BZ99" s="437" t="n"/>
      <c r="CA99" s="437" t="n"/>
      <c r="CB99" s="437" t="n"/>
      <c r="CC99" s="437" t="n"/>
      <c r="CD99" s="437" t="n"/>
      <c r="CE99" s="437" t="n"/>
      <c r="CF99" s="437" t="n"/>
      <c r="CG99" s="437" t="n"/>
      <c r="CH99" s="437" t="n"/>
      <c r="CI99" s="437" t="n"/>
      <c r="CJ99" s="437" t="n"/>
      <c r="CK99" s="437" t="n"/>
      <c r="CL99" s="437" t="n"/>
      <c r="CM99" s="437" t="n"/>
      <c r="CN99" s="437" t="n"/>
      <c r="CO99" s="437" t="n"/>
      <c r="CP99" s="437" t="n"/>
      <c r="CQ99" s="437" t="n"/>
      <c r="CR99" s="437" t="n"/>
      <c r="CS99" s="437" t="n"/>
      <c r="CT99" s="437" t="n"/>
      <c r="CU99" s="437" t="n"/>
      <c r="CV99" s="437" t="n"/>
      <c r="CW99" s="437" t="n"/>
      <c r="CX99" s="437" t="n"/>
      <c r="CY99" s="437" t="n"/>
      <c r="CZ99" s="437" t="n"/>
      <c r="DA99" s="437" t="n"/>
      <c r="DB99" s="437" t="n"/>
      <c r="DC99" s="437" t="n"/>
      <c r="DD99" s="437" t="n"/>
      <c r="DE99" s="437" t="n"/>
      <c r="DF99" s="437" t="n"/>
      <c r="DG99" s="437" t="n"/>
      <c r="DH99" s="437" t="n"/>
      <c r="DI99" s="437" t="n"/>
      <c r="DJ99" s="437" t="n"/>
      <c r="DK99" s="437" t="n"/>
      <c r="DL99" s="437" t="n"/>
      <c r="DM99" s="437" t="n"/>
      <c r="DN99" s="437" t="n"/>
      <c r="DO99" s="437" t="n"/>
      <c r="DP99" s="437" t="n"/>
      <c r="DQ99" s="437" t="n"/>
      <c r="DR99" s="437" t="n"/>
      <c r="DS99" s="437" t="n"/>
      <c r="DT99" s="437" t="n"/>
      <c r="DU99" s="437" t="n"/>
      <c r="DV99" s="437" t="n"/>
      <c r="DW99" s="437" t="n"/>
      <c r="DX99" s="437" t="n"/>
      <c r="DY99" s="238" t="n"/>
      <c r="DZ99" s="23" t="n"/>
      <c r="FQ99" s="212" t="n"/>
      <c r="FR99" s="212" t="n"/>
      <c r="FS99" s="212" t="n"/>
      <c r="FT99" s="212" t="n"/>
      <c r="FU99" s="212" t="n"/>
      <c r="FV99" s="212" t="n"/>
      <c r="FW99" s="212" t="n"/>
      <c r="FX99" s="212" t="n"/>
      <c r="FY99" s="212" t="n"/>
      <c r="FZ99" s="212" t="n"/>
    </row>
    <row r="100" ht="39.95" customFormat="1" customHeight="1" s="5">
      <c r="A100" s="10" t="inlineStr">
        <is>
          <t>A</t>
        </is>
      </c>
      <c r="B100" s="6" t="n"/>
      <c r="C100" s="11" t="inlineStr">
        <is>
          <t>L</t>
        </is>
      </c>
      <c r="D100" s="108" t="n">
        <v>0.228</v>
      </c>
      <c r="E100" s="436" t="n">
        <v>0.216</v>
      </c>
      <c r="F100" s="99" t="n">
        <v>0.248</v>
      </c>
      <c r="G100" s="436" t="n">
        <v>0.21</v>
      </c>
      <c r="H100" s="439" t="n">
        <v>0.194</v>
      </c>
      <c r="I100" s="400" t="n">
        <v>0.242</v>
      </c>
      <c r="J100" s="436" t="n">
        <v>0.256</v>
      </c>
      <c r="K100" s="394" t="n">
        <v>0.221</v>
      </c>
      <c r="L100" s="99" t="n">
        <v>0.264</v>
      </c>
      <c r="M100" s="439" t="n">
        <v>0.237</v>
      </c>
      <c r="N100" s="442" t="n">
        <v>0.256</v>
      </c>
      <c r="O100" s="436" t="n">
        <v>0.204</v>
      </c>
      <c r="P100" s="394" t="n">
        <v>0.204</v>
      </c>
      <c r="Q100" s="99" t="n">
        <v>0.223</v>
      </c>
      <c r="R100" s="439" t="n">
        <v>0.189</v>
      </c>
      <c r="S100" s="442" t="n">
        <v>0.192</v>
      </c>
      <c r="T100" s="436" t="n">
        <v>0.208</v>
      </c>
      <c r="U100" s="99" t="n">
        <v>0.215</v>
      </c>
      <c r="V100" s="99" t="n">
        <v>0.227</v>
      </c>
      <c r="W100" s="439" t="n">
        <v>0.19</v>
      </c>
      <c r="X100" s="442" t="n">
        <v>0.206</v>
      </c>
      <c r="Y100" s="436" t="n">
        <v>0.216</v>
      </c>
      <c r="Z100" s="436" t="n">
        <v>0.21</v>
      </c>
      <c r="AA100" s="394" t="n">
        <v>0.21</v>
      </c>
      <c r="AB100" s="439" t="n">
        <v>0.214</v>
      </c>
      <c r="AC100" s="442" t="n">
        <v>0.179</v>
      </c>
      <c r="AD100" s="436" t="n">
        <v>0.218</v>
      </c>
      <c r="AE100" s="99" t="n">
        <v>0.216</v>
      </c>
      <c r="AF100" s="99" t="n">
        <v>0.214</v>
      </c>
      <c r="AG100" s="100" t="n">
        <v>0.219</v>
      </c>
      <c r="AH100" s="442" t="n">
        <v>0.193</v>
      </c>
      <c r="AI100" s="436" t="n">
        <v>0.205</v>
      </c>
      <c r="AJ100" s="99" t="n">
        <v>0.214</v>
      </c>
      <c r="AK100" s="99" t="n">
        <v>0.215</v>
      </c>
      <c r="AL100" s="439" t="n">
        <v>0.206</v>
      </c>
      <c r="AM100" s="442" t="n">
        <v>0.201</v>
      </c>
      <c r="AN100" s="436" t="n">
        <v>0.202</v>
      </c>
      <c r="AO100" s="436" t="n">
        <v>0.196</v>
      </c>
      <c r="AP100" s="99" t="n">
        <v>0.218</v>
      </c>
      <c r="AQ100" s="100" t="n">
        <v>0.224</v>
      </c>
      <c r="AR100" s="98" t="n">
        <v>0.229</v>
      </c>
      <c r="AS100" s="99" t="n">
        <v>0.218</v>
      </c>
      <c r="AT100" s="99" t="n">
        <v>0.222</v>
      </c>
      <c r="AU100" s="436" t="n">
        <v>0.213</v>
      </c>
      <c r="AV100" s="100" t="n">
        <v>0.214</v>
      </c>
      <c r="AW100" s="442" t="n">
        <v>0.213</v>
      </c>
      <c r="AX100" s="436" t="n">
        <v>0.206</v>
      </c>
      <c r="AY100" s="436" t="n">
        <v>0.195</v>
      </c>
      <c r="AZ100" s="436" t="n">
        <v>0.195</v>
      </c>
      <c r="BA100" s="439" t="n">
        <v>0.156</v>
      </c>
      <c r="BB100" s="442" t="n">
        <v>0.194</v>
      </c>
      <c r="BC100" s="436" t="n">
        <v>0.211</v>
      </c>
      <c r="BD100" s="99" t="n">
        <v>0.229</v>
      </c>
      <c r="BE100" s="436" t="n">
        <v>0.152</v>
      </c>
      <c r="BF100" s="397" t="n">
        <v>0.226</v>
      </c>
      <c r="BG100" s="98" t="n">
        <v>0.224</v>
      </c>
      <c r="BH100" s="436" t="n">
        <v>0.211</v>
      </c>
      <c r="BI100" s="436" t="n">
        <v>0.212</v>
      </c>
      <c r="BJ100" s="436" t="n">
        <v>0.207</v>
      </c>
      <c r="BK100" s="439" t="n">
        <v>0.2</v>
      </c>
      <c r="BL100" s="442" t="n">
        <v>0.213</v>
      </c>
      <c r="BM100" s="99" t="n">
        <v>0.227</v>
      </c>
      <c r="BN100" s="436" t="n">
        <v>0.205</v>
      </c>
      <c r="BO100" s="436" t="n">
        <v>0.204</v>
      </c>
      <c r="BP100" s="397" t="n">
        <v>0.228</v>
      </c>
      <c r="BQ100" s="442" t="n">
        <v>0.175</v>
      </c>
      <c r="BR100" s="394" t="n">
        <v>0.22</v>
      </c>
      <c r="BS100" s="436" t="n">
        <v>0.196</v>
      </c>
      <c r="BT100" s="397" t="inlineStr">
        <is>
          <t>RF</t>
        </is>
      </c>
      <c r="BU100" s="454">
        <f>IFERROR(AVERAGE(D100:BT102),0)</f>
        <v/>
      </c>
      <c r="BV100" s="454">
        <f>MIN(D100:BT102)</f>
        <v/>
      </c>
      <c r="BW100" s="437" t="n"/>
      <c r="BX100" s="437" t="n"/>
      <c r="BY100" s="437" t="n"/>
      <c r="BZ100" s="437" t="n"/>
      <c r="CA100" s="437" t="n"/>
      <c r="CB100" s="437" t="n"/>
      <c r="CC100" s="437" t="n"/>
      <c r="CD100" s="437" t="n"/>
      <c r="CE100" s="437" t="n"/>
      <c r="CF100" s="437" t="n"/>
      <c r="CG100" s="437" t="n"/>
      <c r="CH100" s="437" t="n"/>
      <c r="CI100" s="437" t="n"/>
      <c r="CJ100" s="437" t="n"/>
      <c r="CK100" s="437" t="n"/>
      <c r="CL100" s="437" t="n"/>
      <c r="CM100" s="437" t="n"/>
      <c r="CN100" s="437" t="n"/>
      <c r="CO100" s="437" t="n"/>
      <c r="CP100" s="437" t="n"/>
      <c r="CQ100" s="437" t="n"/>
      <c r="CR100" s="437" t="n"/>
      <c r="CS100" s="437" t="n"/>
      <c r="CT100" s="437" t="n"/>
      <c r="CU100" s="437" t="n"/>
      <c r="CV100" s="437" t="n"/>
      <c r="CW100" s="437" t="n"/>
      <c r="CX100" s="437" t="n"/>
      <c r="CY100" s="437" t="n"/>
      <c r="CZ100" s="437" t="n"/>
      <c r="DA100" s="437" t="n"/>
      <c r="DB100" s="437" t="n"/>
      <c r="DC100" s="437" t="n"/>
      <c r="DD100" s="437" t="n"/>
      <c r="DE100" s="437" t="n"/>
      <c r="DF100" s="437" t="n"/>
      <c r="DG100" s="437" t="n"/>
      <c r="DH100" s="437" t="n"/>
      <c r="DI100" s="437" t="n"/>
      <c r="DJ100" s="437" t="n"/>
      <c r="DK100" s="437" t="n"/>
      <c r="DL100" s="437" t="n"/>
      <c r="DM100" s="437" t="n"/>
      <c r="DN100" s="437" t="n"/>
      <c r="DO100" s="437" t="n"/>
      <c r="DP100" s="437" t="n"/>
      <c r="DQ100" s="437" t="n"/>
      <c r="DR100" s="437" t="n"/>
      <c r="DS100" s="437" t="n"/>
      <c r="DT100" s="437" t="n"/>
      <c r="DU100" s="437" t="n"/>
      <c r="DV100" s="437" t="n"/>
      <c r="DW100" s="437" t="n"/>
      <c r="DX100" s="437" t="n"/>
      <c r="DY100" s="238" t="n"/>
      <c r="DZ100" s="23" t="n"/>
      <c r="FQ100" s="212" t="n"/>
      <c r="FR100" s="212" t="n"/>
      <c r="FS100" s="212" t="n"/>
      <c r="FT100" s="212" t="n"/>
      <c r="FU100" s="212" t="n"/>
      <c r="FV100" s="212" t="n"/>
      <c r="FW100" s="212" t="n"/>
      <c r="FX100" s="212" t="n"/>
      <c r="FY100" s="212" t="n"/>
      <c r="FZ100" s="212" t="n"/>
    </row>
    <row r="101" ht="39.95" customFormat="1" customHeight="1" s="5">
      <c r="A101" s="182" t="n">
        <v>0.083</v>
      </c>
      <c r="B101" s="7" t="inlineStr">
        <is>
          <t>-63 IN</t>
        </is>
      </c>
      <c r="C101" s="11" t="inlineStr">
        <is>
          <t>C</t>
        </is>
      </c>
      <c r="D101" s="392" t="n">
        <v>0.278</v>
      </c>
      <c r="E101" s="101" t="n">
        <v>0.222</v>
      </c>
      <c r="F101" s="437" t="n">
        <v>0.218</v>
      </c>
      <c r="G101" s="437" t="n">
        <v>0.198</v>
      </c>
      <c r="H101" s="440" t="n">
        <v>0.195</v>
      </c>
      <c r="I101" s="443" t="n">
        <v>0.251</v>
      </c>
      <c r="J101" s="101" t="n">
        <v>0.286</v>
      </c>
      <c r="K101" s="437" t="n">
        <v>0.248</v>
      </c>
      <c r="L101" s="437" t="n">
        <v>0.247</v>
      </c>
      <c r="M101" s="440" t="n">
        <v>0.231</v>
      </c>
      <c r="N101" s="103" t="n">
        <v>0.254</v>
      </c>
      <c r="O101" s="437" t="n">
        <v>0.197</v>
      </c>
      <c r="P101" s="437" t="n">
        <v>0.21</v>
      </c>
      <c r="Q101" s="437" t="n">
        <v>0.208</v>
      </c>
      <c r="R101" s="440" t="n">
        <v>0.214</v>
      </c>
      <c r="S101" s="103" t="n">
        <v>0.224</v>
      </c>
      <c r="T101" s="437" t="n">
        <v>0.193</v>
      </c>
      <c r="U101" s="395" t="n">
        <v>0.209</v>
      </c>
      <c r="V101" s="101" t="n">
        <v>0.23</v>
      </c>
      <c r="W101" s="440" t="n">
        <v>0.192</v>
      </c>
      <c r="X101" s="443" t="n">
        <v>0.222</v>
      </c>
      <c r="Y101" s="395" t="n">
        <v>0.153</v>
      </c>
      <c r="Z101" s="101" t="n">
        <v>0.218</v>
      </c>
      <c r="AA101" s="101" t="n">
        <v>0.222</v>
      </c>
      <c r="AB101" s="102" t="n">
        <v>0.219</v>
      </c>
      <c r="AC101" s="103" t="n">
        <v>0.213</v>
      </c>
      <c r="AD101" s="437" t="n">
        <v>0.215</v>
      </c>
      <c r="AE101" s="437" t="n">
        <v>0.204</v>
      </c>
      <c r="AF101" s="437" t="n">
        <v>0.171</v>
      </c>
      <c r="AG101" s="102" t="n">
        <v>0.212</v>
      </c>
      <c r="AH101" s="443" t="n">
        <v>0.207</v>
      </c>
      <c r="AI101" s="101" t="n">
        <v>0.212</v>
      </c>
      <c r="AJ101" s="437" t="n">
        <v>0.206</v>
      </c>
      <c r="AK101" s="437" t="n">
        <v>0.205</v>
      </c>
      <c r="AL101" s="102" t="n">
        <v>0.214</v>
      </c>
      <c r="AM101" s="443" t="n">
        <v>0.182</v>
      </c>
      <c r="AN101" s="437" t="n">
        <v>0.203</v>
      </c>
      <c r="AO101" s="437" t="n">
        <v>0.181</v>
      </c>
      <c r="AP101" s="437" t="n">
        <v>0.205</v>
      </c>
      <c r="AQ101" s="102" t="n">
        <v>0.217</v>
      </c>
      <c r="AR101" s="443" t="n">
        <v>0.183</v>
      </c>
      <c r="AS101" s="101" t="n">
        <v>0.222</v>
      </c>
      <c r="AT101" s="395" t="n">
        <v>0.213</v>
      </c>
      <c r="AU101" s="437" t="n">
        <v>0.213</v>
      </c>
      <c r="AV101" s="440" t="n">
        <v>0.189</v>
      </c>
      <c r="AW101" s="443" t="n">
        <v>0.214</v>
      </c>
      <c r="AX101" s="101" t="n">
        <v>0.234</v>
      </c>
      <c r="AY101" s="101" t="n">
        <v>0.222</v>
      </c>
      <c r="AZ101" s="437" t="n">
        <v>0.206</v>
      </c>
      <c r="BA101" s="440" t="n">
        <v>0.216</v>
      </c>
      <c r="BB101" s="443" t="n">
        <v>0.203</v>
      </c>
      <c r="BC101" s="437" t="n">
        <v>0.195</v>
      </c>
      <c r="BD101" s="437" t="n">
        <v>0.208</v>
      </c>
      <c r="BE101" s="437" t="n">
        <v>0.2</v>
      </c>
      <c r="BF101" s="102" t="n">
        <v>0.217</v>
      </c>
      <c r="BG101" s="443" t="n">
        <v>0.213</v>
      </c>
      <c r="BH101" s="437" t="n">
        <v>0.193</v>
      </c>
      <c r="BI101" s="437" t="n">
        <v>0.2</v>
      </c>
      <c r="BJ101" s="437" t="n">
        <v>0.206</v>
      </c>
      <c r="BK101" s="102" t="n">
        <v>0.224</v>
      </c>
      <c r="BL101" s="443" t="n">
        <v>0.199</v>
      </c>
      <c r="BM101" s="101" t="n">
        <v>0.228</v>
      </c>
      <c r="BN101" s="437" t="n">
        <v>0.163</v>
      </c>
      <c r="BO101" s="437" t="n">
        <v>0.186</v>
      </c>
      <c r="BP101" s="102" t="n">
        <v>0.209</v>
      </c>
      <c r="BQ101" s="401" t="n">
        <v>0.179</v>
      </c>
      <c r="BR101" s="437" t="n">
        <v>0.212</v>
      </c>
      <c r="BS101" s="437" t="n">
        <v>0.195</v>
      </c>
      <c r="BT101" s="440" t="n">
        <v>0.202</v>
      </c>
      <c r="BU101" s="455" t="n"/>
      <c r="BV101" s="455" t="n"/>
      <c r="BW101" s="437" t="n"/>
      <c r="BX101" s="437" t="n"/>
      <c r="BY101" s="437" t="n"/>
      <c r="BZ101" s="437" t="n"/>
      <c r="CA101" s="437" t="n"/>
      <c r="CB101" s="437" t="n"/>
      <c r="CC101" s="437" t="n"/>
      <c r="CD101" s="437" t="n"/>
      <c r="CE101" s="437" t="n"/>
      <c r="CF101" s="437" t="n"/>
      <c r="CG101" s="437" t="n"/>
      <c r="CH101" s="437" t="n"/>
      <c r="CI101" s="437" t="n"/>
      <c r="CJ101" s="437" t="n"/>
      <c r="CK101" s="437" t="n"/>
      <c r="CL101" s="437" t="n"/>
      <c r="CM101" s="437" t="n"/>
      <c r="CN101" s="437" t="n"/>
      <c r="CO101" s="437" t="n"/>
      <c r="CP101" s="437" t="n"/>
      <c r="CQ101" s="437" t="n"/>
      <c r="CR101" s="437" t="n"/>
      <c r="CS101" s="437" t="n"/>
      <c r="CT101" s="437" t="n"/>
      <c r="CU101" s="437" t="n"/>
      <c r="CV101" s="437" t="n"/>
      <c r="CW101" s="437" t="n"/>
      <c r="CX101" s="437" t="n"/>
      <c r="CY101" s="437" t="n"/>
      <c r="CZ101" s="437" t="n"/>
      <c r="DA101" s="437" t="n"/>
      <c r="DB101" s="437" t="n"/>
      <c r="DC101" s="437" t="n"/>
      <c r="DD101" s="437" t="n"/>
      <c r="DE101" s="437" t="n"/>
      <c r="DF101" s="437" t="n"/>
      <c r="DG101" s="437" t="n"/>
      <c r="DH101" s="437" t="n"/>
      <c r="DI101" s="437" t="n"/>
      <c r="DJ101" s="437" t="n"/>
      <c r="DK101" s="437" t="n"/>
      <c r="DL101" s="437" t="n"/>
      <c r="DM101" s="437" t="n"/>
      <c r="DN101" s="437" t="n"/>
      <c r="DO101" s="437" t="n"/>
      <c r="DP101" s="437" t="n"/>
      <c r="DQ101" s="437" t="n"/>
      <c r="DR101" s="437" t="n"/>
      <c r="DS101" s="437" t="n"/>
      <c r="DT101" s="437" t="n"/>
      <c r="DU101" s="437" t="n"/>
      <c r="DV101" s="437" t="n"/>
      <c r="DW101" s="437" t="n"/>
      <c r="DX101" s="437" t="n"/>
      <c r="DY101" s="238" t="n"/>
      <c r="DZ101" s="23" t="n"/>
      <c r="FQ101" s="212" t="n"/>
      <c r="FR101" s="212" t="n"/>
      <c r="FS101" s="212" t="n"/>
      <c r="FT101" s="212" t="n"/>
      <c r="FU101" s="212" t="n"/>
      <c r="FV101" s="212" t="n"/>
      <c r="FW101" s="212" t="n"/>
      <c r="FX101" s="212" t="n"/>
      <c r="FY101" s="212" t="n"/>
      <c r="FZ101" s="212" t="n"/>
    </row>
    <row r="102" ht="39.95" customFormat="1" customHeight="1" s="5">
      <c r="A102" s="456" t="n"/>
      <c r="B102" s="8" t="n"/>
      <c r="C102" s="12" t="inlineStr">
        <is>
          <t>R</t>
        </is>
      </c>
      <c r="D102" s="393" t="n">
        <v>0.195</v>
      </c>
      <c r="E102" s="438" t="n">
        <v>0.177</v>
      </c>
      <c r="F102" s="438" t="n">
        <v>0.195</v>
      </c>
      <c r="G102" s="438" t="n">
        <v>0.212</v>
      </c>
      <c r="H102" s="441" t="n">
        <v>0.195</v>
      </c>
      <c r="I102" s="444" t="n">
        <v>0.198</v>
      </c>
      <c r="J102" s="104" t="n">
        <v>0.263</v>
      </c>
      <c r="K102" s="438" t="n">
        <v>0.229</v>
      </c>
      <c r="L102" s="438" t="n">
        <v>0.244</v>
      </c>
      <c r="M102" s="105" t="n">
        <v>0.264</v>
      </c>
      <c r="N102" s="444" t="n">
        <v>0.233</v>
      </c>
      <c r="O102" s="438" t="n">
        <v>0.186</v>
      </c>
      <c r="P102" s="438" t="n">
        <v>0.21</v>
      </c>
      <c r="Q102" s="438" t="n">
        <v>0.202</v>
      </c>
      <c r="R102" s="441" t="n">
        <v>0.202</v>
      </c>
      <c r="S102" s="444" t="n">
        <v>0.217</v>
      </c>
      <c r="T102" s="438" t="n">
        <v>0.181</v>
      </c>
      <c r="U102" s="438" t="n">
        <v>0.209</v>
      </c>
      <c r="V102" s="396" t="n">
        <v>0.234</v>
      </c>
      <c r="W102" s="441" t="n">
        <v>0.181</v>
      </c>
      <c r="X102" s="444" t="n">
        <v>0.215</v>
      </c>
      <c r="Y102" s="438" t="n">
        <v>0.208</v>
      </c>
      <c r="Z102" s="104" t="n">
        <v>0.232</v>
      </c>
      <c r="AA102" s="104" t="n">
        <v>0.224</v>
      </c>
      <c r="AB102" s="441" t="n">
        <v>0.216</v>
      </c>
      <c r="AC102" s="444" t="n">
        <v>0.21</v>
      </c>
      <c r="AD102" s="104" t="n">
        <v>0.22</v>
      </c>
      <c r="AE102" s="438" t="n">
        <v>0.198</v>
      </c>
      <c r="AF102" s="104" t="n">
        <v>0.214</v>
      </c>
      <c r="AG102" s="441" t="n">
        <v>0.21</v>
      </c>
      <c r="AH102" s="444" t="n">
        <v>0.208</v>
      </c>
      <c r="AI102" s="438" t="n">
        <v>0.214</v>
      </c>
      <c r="AJ102" s="438" t="n">
        <v>0.207</v>
      </c>
      <c r="AK102" s="438" t="n">
        <v>0.219</v>
      </c>
      <c r="AL102" s="441" t="n">
        <v>0.193</v>
      </c>
      <c r="AM102" s="444" t="n">
        <v>0.192</v>
      </c>
      <c r="AN102" s="438" t="n">
        <v>0.167</v>
      </c>
      <c r="AO102" s="104" t="n">
        <v>0.217</v>
      </c>
      <c r="AP102" s="438" t="n">
        <v>0.209</v>
      </c>
      <c r="AQ102" s="441" t="n">
        <v>0.19</v>
      </c>
      <c r="AR102" s="444" t="n">
        <v>0.177</v>
      </c>
      <c r="AS102" s="396" t="n">
        <v>0.213</v>
      </c>
      <c r="AT102" s="438" t="n">
        <v>0.191</v>
      </c>
      <c r="AU102" s="438" t="n">
        <v>0.201</v>
      </c>
      <c r="AV102" s="441" t="n">
        <v>0.203</v>
      </c>
      <c r="AW102" s="444" t="n">
        <v>0.199</v>
      </c>
      <c r="AX102" s="438" t="n">
        <v>0.211</v>
      </c>
      <c r="AY102" s="438" t="n">
        <v>0.213</v>
      </c>
      <c r="AZ102" s="438" t="n">
        <v>0.205</v>
      </c>
      <c r="BA102" s="441" t="n">
        <v>0.191</v>
      </c>
      <c r="BB102" s="444" t="n">
        <v>0.203</v>
      </c>
      <c r="BC102" s="438" t="n">
        <v>0.21</v>
      </c>
      <c r="BD102" s="438" t="n">
        <v>0.185</v>
      </c>
      <c r="BE102" s="104" t="n">
        <v>0.214</v>
      </c>
      <c r="BF102" s="441" t="n">
        <v>0.197</v>
      </c>
      <c r="BG102" s="106" t="n">
        <v>0.223</v>
      </c>
      <c r="BH102" s="438" t="n">
        <v>0.202</v>
      </c>
      <c r="BI102" s="438" t="n">
        <v>0.185</v>
      </c>
      <c r="BJ102" s="438" t="n">
        <v>0.21</v>
      </c>
      <c r="BK102" s="441" t="n">
        <v>0.207</v>
      </c>
      <c r="BL102" s="444" t="n">
        <v>0.19</v>
      </c>
      <c r="BM102" s="438" t="n">
        <v>0.186</v>
      </c>
      <c r="BN102" s="438" t="n">
        <v>0.186</v>
      </c>
      <c r="BO102" s="438" t="n">
        <v>0.185</v>
      </c>
      <c r="BP102" s="441" t="n">
        <v>0.199</v>
      </c>
      <c r="BQ102" s="444" t="n">
        <v>0.188</v>
      </c>
      <c r="BR102" s="438" t="n">
        <v>0.175</v>
      </c>
      <c r="BS102" s="438" t="n">
        <v>0.198</v>
      </c>
      <c r="BT102" s="441" t="n">
        <v>0.215</v>
      </c>
      <c r="BU102" s="457" t="n"/>
      <c r="BV102" s="457" t="n"/>
      <c r="BW102" s="437" t="n"/>
      <c r="BX102" s="437" t="n"/>
      <c r="BY102" s="437" t="n"/>
      <c r="BZ102" s="437" t="n"/>
      <c r="CA102" s="437" t="n"/>
      <c r="CB102" s="437" t="n"/>
      <c r="CC102" s="437" t="n"/>
      <c r="CD102" s="437" t="n"/>
      <c r="CE102" s="437" t="n"/>
      <c r="CF102" s="437" t="n"/>
      <c r="CG102" s="437" t="n"/>
      <c r="CH102" s="437" t="n"/>
      <c r="CI102" s="437" t="n"/>
      <c r="CJ102" s="437" t="n"/>
      <c r="CK102" s="437" t="n"/>
      <c r="CL102" s="437" t="n"/>
      <c r="CM102" s="437" t="n"/>
      <c r="CN102" s="437" t="n"/>
      <c r="CO102" s="437" t="n"/>
      <c r="CP102" s="437" t="n"/>
      <c r="CQ102" s="437" t="n"/>
      <c r="CR102" s="437" t="n"/>
      <c r="CS102" s="437" t="n"/>
      <c r="CT102" s="437" t="n"/>
      <c r="CU102" s="437" t="n"/>
      <c r="CV102" s="437" t="n"/>
      <c r="CW102" s="437" t="n"/>
      <c r="CX102" s="437" t="n"/>
      <c r="CY102" s="437" t="n"/>
      <c r="CZ102" s="437" t="n"/>
      <c r="DA102" s="437" t="n"/>
      <c r="DB102" s="437" t="n"/>
      <c r="DC102" s="437" t="n"/>
      <c r="DD102" s="437" t="n"/>
      <c r="DE102" s="437" t="n"/>
      <c r="DF102" s="437" t="n"/>
      <c r="DG102" s="437" t="n"/>
      <c r="DH102" s="437" t="n"/>
      <c r="DI102" s="437" t="n"/>
      <c r="DJ102" s="437" t="n"/>
      <c r="DK102" s="437" t="n"/>
      <c r="DL102" s="437" t="n"/>
      <c r="DM102" s="437" t="n"/>
      <c r="DN102" s="437" t="n"/>
      <c r="DO102" s="437" t="n"/>
      <c r="DP102" s="437" t="n"/>
      <c r="DQ102" s="437" t="n"/>
      <c r="DR102" s="437" t="n"/>
      <c r="DS102" s="437" t="n"/>
      <c r="DT102" s="437" t="n"/>
      <c r="DU102" s="437" t="n"/>
      <c r="DV102" s="437" t="n"/>
      <c r="DW102" s="437" t="n"/>
      <c r="DX102" s="437" t="n"/>
      <c r="DY102" s="238" t="n"/>
      <c r="DZ102" s="23" t="n"/>
      <c r="FQ102" s="212" t="n"/>
      <c r="FR102" s="212" t="n"/>
      <c r="FS102" s="212" t="n"/>
      <c r="FT102" s="212" t="n"/>
      <c r="FU102" s="212" t="n"/>
      <c r="FV102" s="212" t="n"/>
      <c r="FW102" s="212" t="n"/>
      <c r="FX102" s="212" t="n"/>
      <c r="FY102" s="212" t="n"/>
      <c r="FZ102" s="212" t="n"/>
    </row>
    <row r="103" ht="39.95" customFormat="1" customHeight="1" s="5">
      <c r="A103" s="10" t="inlineStr">
        <is>
          <t>A</t>
        </is>
      </c>
      <c r="B103" s="6" t="n"/>
      <c r="C103" s="11" t="inlineStr">
        <is>
          <t>L</t>
        </is>
      </c>
      <c r="D103" s="108" t="n">
        <v>0.222</v>
      </c>
      <c r="E103" s="436" t="n">
        <v>0.197</v>
      </c>
      <c r="F103" s="436" t="n">
        <v>0.208</v>
      </c>
      <c r="G103" s="99" t="n">
        <v>0.232</v>
      </c>
      <c r="H103" s="439" t="n">
        <v>0.177</v>
      </c>
      <c r="I103" s="442" t="n">
        <v>0.225</v>
      </c>
      <c r="J103" s="436" t="n">
        <v>0.257</v>
      </c>
      <c r="K103" s="436" t="n">
        <v>0.25</v>
      </c>
      <c r="L103" s="436" t="n">
        <v>0.233</v>
      </c>
      <c r="M103" s="100" t="n">
        <v>0.252</v>
      </c>
      <c r="N103" s="442" t="n">
        <v>0.221</v>
      </c>
      <c r="O103" s="436" t="n">
        <v>0.175</v>
      </c>
      <c r="P103" s="436" t="n">
        <v>0.205</v>
      </c>
      <c r="Q103" s="99" t="n">
        <v>0.226</v>
      </c>
      <c r="R103" s="439" t="n">
        <v>0.192</v>
      </c>
      <c r="S103" s="442" t="n">
        <v>0.17</v>
      </c>
      <c r="T103" s="436" t="n">
        <v>0.129</v>
      </c>
      <c r="U103" s="436" t="n">
        <v>0.205</v>
      </c>
      <c r="V103" s="436" t="n">
        <v>0.202</v>
      </c>
      <c r="W103" s="439" t="n">
        <v>0.169</v>
      </c>
      <c r="X103" s="442" t="n">
        <v>0.206</v>
      </c>
      <c r="Y103" s="436" t="n">
        <v>0.212</v>
      </c>
      <c r="Z103" s="436" t="n">
        <v>0.171</v>
      </c>
      <c r="AA103" s="436" t="n">
        <v>0.2</v>
      </c>
      <c r="AB103" s="439" t="n">
        <v>0.183</v>
      </c>
      <c r="AC103" s="442" t="n">
        <v>0.169</v>
      </c>
      <c r="AD103" s="436" t="n">
        <v>0.177</v>
      </c>
      <c r="AE103" s="436" t="n">
        <v>0.187</v>
      </c>
      <c r="AF103" s="436" t="n">
        <v>0.188</v>
      </c>
      <c r="AG103" s="100" t="n">
        <v>0.22</v>
      </c>
      <c r="AH103" s="442" t="n">
        <v>0.203</v>
      </c>
      <c r="AI103" s="99" t="n">
        <v>0.226</v>
      </c>
      <c r="AJ103" s="436" t="n">
        <v>0.196</v>
      </c>
      <c r="AK103" s="99" t="n">
        <v>0.23</v>
      </c>
      <c r="AL103" s="439" t="n">
        <v>0.177</v>
      </c>
      <c r="AM103" s="442" t="n">
        <v>0.171</v>
      </c>
      <c r="AN103" s="436" t="n">
        <v>0.203</v>
      </c>
      <c r="AO103" s="436" t="n">
        <v>0.194</v>
      </c>
      <c r="AP103" s="436" t="n">
        <v>0.198</v>
      </c>
      <c r="AQ103" s="439" t="n">
        <v>0.205</v>
      </c>
      <c r="AR103" s="442" t="n">
        <v>0.176</v>
      </c>
      <c r="AS103" s="99" t="n">
        <v>0.225</v>
      </c>
      <c r="AT103" s="436" t="n">
        <v>0.132</v>
      </c>
      <c r="AU103" s="99" t="n">
        <v>0.22</v>
      </c>
      <c r="AV103" s="439" t="n">
        <v>0.176</v>
      </c>
      <c r="AW103" s="98" t="n">
        <v>0.216</v>
      </c>
      <c r="AX103" s="436" t="n">
        <v>0.209</v>
      </c>
      <c r="AY103" s="436" t="n">
        <v>0.203</v>
      </c>
      <c r="AZ103" s="436" t="n">
        <v>0.181</v>
      </c>
      <c r="BA103" s="397" t="n">
        <v>0.231</v>
      </c>
      <c r="BB103" s="442" t="n">
        <v>0.206</v>
      </c>
      <c r="BC103" s="436" t="n">
        <v>0.202</v>
      </c>
      <c r="BD103" s="99" t="n">
        <v>0.23</v>
      </c>
      <c r="BE103" s="436" t="n">
        <v>0.2</v>
      </c>
      <c r="BF103" s="439" t="n">
        <v>0.204</v>
      </c>
      <c r="BG103" s="98" t="n">
        <v>0.226</v>
      </c>
      <c r="BH103" s="99" t="n">
        <v>0.236</v>
      </c>
      <c r="BI103" s="436" t="n">
        <v>0.194</v>
      </c>
      <c r="BJ103" s="394" t="n">
        <v>0.23</v>
      </c>
      <c r="BK103" s="397" t="n">
        <v>0.243</v>
      </c>
      <c r="BL103" s="442" t="n">
        <v>0.189</v>
      </c>
      <c r="BM103" s="436" t="n">
        <v>0.192</v>
      </c>
      <c r="BN103" s="99" t="n">
        <v>0.22</v>
      </c>
      <c r="BO103" s="436" t="n">
        <v>0.185</v>
      </c>
      <c r="BP103" s="439" t="n">
        <v>0.202</v>
      </c>
      <c r="BQ103" s="442" t="n">
        <v>0.193</v>
      </c>
      <c r="BR103" s="436" t="n">
        <v>0.197</v>
      </c>
      <c r="BS103" s="436" t="n">
        <v>0.203</v>
      </c>
      <c r="BT103" s="397" t="n">
        <v>0.176</v>
      </c>
      <c r="BU103" s="454">
        <f>IFERROR(AVERAGE(D103:BT105),0)</f>
        <v/>
      </c>
      <c r="BV103" s="454">
        <f>MIN(D103:BT105)</f>
        <v/>
      </c>
      <c r="BW103" s="437" t="n"/>
      <c r="BX103" s="437" t="n"/>
      <c r="BY103" s="437" t="n"/>
      <c r="BZ103" s="437" t="n"/>
      <c r="CA103" s="437" t="n"/>
      <c r="CB103" s="437" t="n"/>
      <c r="CC103" s="437" t="n"/>
      <c r="CD103" s="437" t="n"/>
      <c r="CE103" s="437" t="n"/>
      <c r="CF103" s="437" t="n"/>
      <c r="CG103" s="437" t="n"/>
      <c r="CH103" s="437" t="n"/>
      <c r="CI103" s="437" t="n"/>
      <c r="CJ103" s="437" t="n"/>
      <c r="CK103" s="437" t="n"/>
      <c r="CL103" s="437" t="n"/>
      <c r="CM103" s="437" t="n"/>
      <c r="CN103" s="437" t="n"/>
      <c r="CO103" s="437" t="n"/>
      <c r="CP103" s="437" t="n"/>
      <c r="CQ103" s="437" t="n"/>
      <c r="CR103" s="437" t="n"/>
      <c r="CS103" s="437" t="n"/>
      <c r="CT103" s="437" t="n"/>
      <c r="CU103" s="437" t="n"/>
      <c r="CV103" s="437" t="n"/>
      <c r="CW103" s="437" t="n"/>
      <c r="CX103" s="437" t="n"/>
      <c r="CY103" s="437" t="n"/>
      <c r="CZ103" s="437" t="n"/>
      <c r="DA103" s="437" t="n"/>
      <c r="DB103" s="437" t="n"/>
      <c r="DC103" s="437" t="n"/>
      <c r="DD103" s="437" t="n"/>
      <c r="DE103" s="437" t="n"/>
      <c r="DF103" s="437" t="n"/>
      <c r="DG103" s="437" t="n"/>
      <c r="DH103" s="437" t="n"/>
      <c r="DI103" s="437" t="n"/>
      <c r="DJ103" s="437" t="n"/>
      <c r="DK103" s="437" t="n"/>
      <c r="DL103" s="437" t="n"/>
      <c r="DM103" s="437" t="n"/>
      <c r="DN103" s="437" t="n"/>
      <c r="DO103" s="437" t="n"/>
      <c r="DP103" s="437" t="n"/>
      <c r="DQ103" s="437" t="n"/>
      <c r="DR103" s="437" t="n"/>
      <c r="DS103" s="437" t="n"/>
      <c r="DT103" s="437" t="n"/>
      <c r="DU103" s="437" t="n"/>
      <c r="DV103" s="437" t="n"/>
      <c r="DW103" s="437" t="n"/>
      <c r="DX103" s="437" t="n"/>
      <c r="DY103" s="238" t="n"/>
      <c r="DZ103" s="23" t="n"/>
      <c r="FQ103" s="212" t="n"/>
      <c r="FR103" s="212" t="n"/>
      <c r="FS103" s="212" t="n"/>
      <c r="FT103" s="212" t="n"/>
      <c r="FU103" s="212" t="n"/>
      <c r="FV103" s="212" t="n"/>
      <c r="FW103" s="212" t="n"/>
      <c r="FX103" s="212" t="n"/>
      <c r="FY103" s="212" t="n"/>
      <c r="FZ103" s="212" t="n"/>
    </row>
    <row r="104" ht="39.95" customFormat="1" customHeight="1" s="5">
      <c r="A104" s="182" t="n">
        <v>0.083</v>
      </c>
      <c r="B104" s="7" t="inlineStr">
        <is>
          <t>-72 IN</t>
        </is>
      </c>
      <c r="C104" s="11" t="inlineStr">
        <is>
          <t>C</t>
        </is>
      </c>
      <c r="D104" s="434" t="n">
        <v>0.203</v>
      </c>
      <c r="E104" s="437" t="n">
        <v>0.182</v>
      </c>
      <c r="F104" s="437" t="n">
        <v>0.194</v>
      </c>
      <c r="G104" s="437" t="n">
        <v>0.184</v>
      </c>
      <c r="H104" s="440" t="n">
        <v>0.202</v>
      </c>
      <c r="I104" s="443" t="n">
        <v>0.247</v>
      </c>
      <c r="J104" s="437" t="n">
        <v>0.22</v>
      </c>
      <c r="K104" s="437" t="n">
        <v>0.227</v>
      </c>
      <c r="L104" s="437" t="n">
        <v>0.236</v>
      </c>
      <c r="M104" s="440" t="n">
        <v>0.211</v>
      </c>
      <c r="N104" s="443" t="n">
        <v>0.242</v>
      </c>
      <c r="O104" s="437" t="n">
        <v>0.168</v>
      </c>
      <c r="P104" s="437" t="n">
        <v>0.207</v>
      </c>
      <c r="Q104" s="437" t="n">
        <v>0.181</v>
      </c>
      <c r="R104" s="440" t="n">
        <v>0.193</v>
      </c>
      <c r="S104" s="443" t="n">
        <v>0.193</v>
      </c>
      <c r="T104" s="437" t="n">
        <v>0.181</v>
      </c>
      <c r="U104" s="101" t="n">
        <v>0.221</v>
      </c>
      <c r="V104" s="437" t="n">
        <v>0.212</v>
      </c>
      <c r="W104" s="440" t="n">
        <v>0.173</v>
      </c>
      <c r="X104" s="443" t="n">
        <v>0.184</v>
      </c>
      <c r="Y104" s="437" t="n">
        <v>0.211</v>
      </c>
      <c r="Z104" s="437" t="n">
        <v>0.197</v>
      </c>
      <c r="AA104" s="437" t="n">
        <v>0.213</v>
      </c>
      <c r="AB104" s="440" t="n">
        <v>0.185</v>
      </c>
      <c r="AC104" s="443" t="n">
        <v>0.211</v>
      </c>
      <c r="AD104" s="437" t="n">
        <v>0.186</v>
      </c>
      <c r="AE104" s="437" t="n">
        <v>0.189</v>
      </c>
      <c r="AF104" s="437" t="n">
        <v>0.143</v>
      </c>
      <c r="AG104" s="440" t="n">
        <v>0.209</v>
      </c>
      <c r="AH104" s="443" t="n">
        <v>0.197</v>
      </c>
      <c r="AI104" s="437" t="n">
        <v>0.181</v>
      </c>
      <c r="AJ104" s="437" t="n">
        <v>0.185</v>
      </c>
      <c r="AK104" s="437" t="n">
        <v>0.177</v>
      </c>
      <c r="AL104" s="440" t="n">
        <v>0.193</v>
      </c>
      <c r="AM104" s="443" t="n">
        <v>0.188</v>
      </c>
      <c r="AN104" s="101" t="n">
        <v>0.209</v>
      </c>
      <c r="AO104" s="101" t="n">
        <v>0.201</v>
      </c>
      <c r="AP104" s="101" t="n">
        <v>0.209</v>
      </c>
      <c r="AQ104" s="102" t="n">
        <v>0.236</v>
      </c>
      <c r="AR104" s="443" t="n">
        <v>0.18</v>
      </c>
      <c r="AS104" s="395" t="n">
        <v>0.195</v>
      </c>
      <c r="AT104" s="437" t="n">
        <v>0.184</v>
      </c>
      <c r="AU104" s="437" t="n">
        <v>0.207</v>
      </c>
      <c r="AV104" s="440" t="n">
        <v>0.199</v>
      </c>
      <c r="AW104" s="443" t="n">
        <v>0.214</v>
      </c>
      <c r="AX104" s="437" t="n">
        <v>0.205</v>
      </c>
      <c r="AY104" s="101" t="n">
        <v>0.224</v>
      </c>
      <c r="AZ104" s="437" t="n">
        <v>0.192</v>
      </c>
      <c r="BA104" s="440" t="n">
        <v>0.213</v>
      </c>
      <c r="BB104" s="443" t="n">
        <v>0.207</v>
      </c>
      <c r="BC104" s="437" t="n">
        <v>0.214</v>
      </c>
      <c r="BD104" s="437" t="n">
        <v>0.206</v>
      </c>
      <c r="BE104" s="437" t="n">
        <v>0.198</v>
      </c>
      <c r="BF104" s="440" t="n">
        <v>0.203</v>
      </c>
      <c r="BG104" s="103" t="n">
        <v>0.222</v>
      </c>
      <c r="BH104" s="101" t="n">
        <v>0.227</v>
      </c>
      <c r="BI104" s="437" t="n">
        <v>0.199</v>
      </c>
      <c r="BJ104" s="395" t="n">
        <v>0.232</v>
      </c>
      <c r="BK104" s="102" t="n">
        <v>0.224</v>
      </c>
      <c r="BL104" s="443" t="n">
        <v>0.187</v>
      </c>
      <c r="BM104" s="437" t="n">
        <v>0.165</v>
      </c>
      <c r="BN104" s="101" t="n">
        <v>0.24</v>
      </c>
      <c r="BO104" s="437" t="n">
        <v>0.206</v>
      </c>
      <c r="BP104" s="102" t="n">
        <v>0.22</v>
      </c>
      <c r="BQ104" s="103" t="n">
        <v>0.215</v>
      </c>
      <c r="BR104" s="437" t="n">
        <v>0.195</v>
      </c>
      <c r="BS104" s="437" t="n">
        <v>0.172</v>
      </c>
      <c r="BT104" s="440" t="n">
        <v>0.193</v>
      </c>
      <c r="BU104" s="455" t="n"/>
      <c r="BV104" s="455" t="n"/>
      <c r="BW104" s="437" t="n"/>
      <c r="BX104" s="437" t="n"/>
      <c r="BY104" s="437" t="n"/>
      <c r="BZ104" s="437" t="n"/>
      <c r="CA104" s="437" t="n"/>
      <c r="CB104" s="437" t="n"/>
      <c r="CC104" s="437" t="n"/>
      <c r="CD104" s="437" t="n"/>
      <c r="CE104" s="437" t="n"/>
      <c r="CF104" s="437" t="n"/>
      <c r="CG104" s="437" t="n"/>
      <c r="CH104" s="437" t="n"/>
      <c r="CI104" s="437" t="n"/>
      <c r="CJ104" s="437" t="n"/>
      <c r="CK104" s="437" t="n"/>
      <c r="CL104" s="437" t="n"/>
      <c r="CM104" s="437" t="n"/>
      <c r="CN104" s="437" t="n"/>
      <c r="CO104" s="437" t="n"/>
      <c r="CP104" s="437" t="n"/>
      <c r="CQ104" s="437" t="n"/>
      <c r="CR104" s="437" t="n"/>
      <c r="CS104" s="437" t="n"/>
      <c r="CT104" s="437" t="n"/>
      <c r="CU104" s="437" t="n"/>
      <c r="CV104" s="437" t="n"/>
      <c r="CW104" s="437" t="n"/>
      <c r="CX104" s="437" t="n"/>
      <c r="CY104" s="437" t="n"/>
      <c r="CZ104" s="437" t="n"/>
      <c r="DA104" s="437" t="n"/>
      <c r="DB104" s="437" t="n"/>
      <c r="DC104" s="437" t="n"/>
      <c r="DD104" s="437" t="n"/>
      <c r="DE104" s="437" t="n"/>
      <c r="DF104" s="437" t="n"/>
      <c r="DG104" s="437" t="n"/>
      <c r="DH104" s="437" t="n"/>
      <c r="DI104" s="437" t="n"/>
      <c r="DJ104" s="437" t="n"/>
      <c r="DK104" s="437" t="n"/>
      <c r="DL104" s="437" t="n"/>
      <c r="DM104" s="437" t="n"/>
      <c r="DN104" s="437" t="n"/>
      <c r="DO104" s="437" t="n"/>
      <c r="DP104" s="437" t="n"/>
      <c r="DQ104" s="437" t="n"/>
      <c r="DR104" s="437" t="n"/>
      <c r="DS104" s="437" t="n"/>
      <c r="DT104" s="437" t="n"/>
      <c r="DU104" s="437" t="n"/>
      <c r="DV104" s="437" t="n"/>
      <c r="DW104" s="437" t="n"/>
      <c r="DX104" s="437" t="n"/>
      <c r="DY104" s="238" t="n"/>
      <c r="DZ104" s="23" t="n"/>
      <c r="FQ104" s="212" t="n"/>
      <c r="FR104" s="212" t="n"/>
      <c r="FS104" s="212" t="n"/>
      <c r="FT104" s="212" t="n"/>
      <c r="FU104" s="212" t="n"/>
      <c r="FV104" s="212" t="n"/>
      <c r="FW104" s="212" t="n"/>
      <c r="FX104" s="212" t="n"/>
      <c r="FY104" s="212" t="n"/>
      <c r="FZ104" s="212" t="n"/>
    </row>
    <row r="105" ht="39.95" customFormat="1" customHeight="1" s="5">
      <c r="A105" s="456" t="n"/>
      <c r="B105" s="8" t="n"/>
      <c r="C105" s="12" t="inlineStr">
        <is>
          <t>R</t>
        </is>
      </c>
      <c r="D105" s="109" t="n">
        <v>0.232</v>
      </c>
      <c r="E105" s="438" t="n">
        <v>0.199</v>
      </c>
      <c r="F105" s="438" t="n">
        <v>0.202</v>
      </c>
      <c r="G105" s="438" t="n">
        <v>0.195</v>
      </c>
      <c r="H105" s="441" t="n">
        <v>0.19</v>
      </c>
      <c r="I105" s="444" t="n">
        <v>0.237</v>
      </c>
      <c r="J105" s="438" t="n">
        <v>0.226</v>
      </c>
      <c r="K105" s="438" t="n">
        <v>0.241</v>
      </c>
      <c r="L105" s="438" t="n">
        <v>0.245</v>
      </c>
      <c r="M105" s="441" t="n">
        <v>0.225</v>
      </c>
      <c r="N105" s="444" t="n">
        <v>0.234</v>
      </c>
      <c r="O105" s="438" t="n">
        <v>0.197</v>
      </c>
      <c r="P105" s="438" t="n">
        <v>0.153</v>
      </c>
      <c r="Q105" s="438" t="n">
        <v>0.195</v>
      </c>
      <c r="R105" s="441" t="n">
        <v>0.181</v>
      </c>
      <c r="S105" s="444" t="n">
        <v>0.179</v>
      </c>
      <c r="T105" s="438" t="n">
        <v>0.149</v>
      </c>
      <c r="U105" s="438" t="n">
        <v>0.206</v>
      </c>
      <c r="V105" s="438" t="n">
        <v>0.204</v>
      </c>
      <c r="W105" s="441" t="n">
        <v>0.176</v>
      </c>
      <c r="X105" s="444" t="n">
        <v>0.197</v>
      </c>
      <c r="Y105" s="104" t="n">
        <v>0.226</v>
      </c>
      <c r="Z105" s="438" t="n">
        <v>0.166</v>
      </c>
      <c r="AA105" s="438" t="n">
        <v>0.209</v>
      </c>
      <c r="AB105" s="441" t="n">
        <v>0.199</v>
      </c>
      <c r="AC105" s="444" t="n">
        <v>0.114</v>
      </c>
      <c r="AD105" s="438" t="n">
        <v>0.191</v>
      </c>
      <c r="AE105" s="438" t="n">
        <v>0.201</v>
      </c>
      <c r="AF105" s="438" t="n">
        <v>0.158</v>
      </c>
      <c r="AG105" s="441" t="n">
        <v>0.201</v>
      </c>
      <c r="AH105" s="444" t="n">
        <v>0.182</v>
      </c>
      <c r="AI105" s="438" t="n">
        <v>0.189</v>
      </c>
      <c r="AJ105" s="438" t="n">
        <v>0.189</v>
      </c>
      <c r="AK105" s="104" t="n">
        <v>0.207</v>
      </c>
      <c r="AL105" s="441" t="n">
        <v>0.178</v>
      </c>
      <c r="AM105" s="444" t="n">
        <v>0.19</v>
      </c>
      <c r="AN105" s="438" t="n">
        <v>0.197</v>
      </c>
      <c r="AO105" s="438" t="n">
        <v>0.2</v>
      </c>
      <c r="AP105" s="438" t="n">
        <v>0.179</v>
      </c>
      <c r="AQ105" s="105" t="n">
        <v>0.223</v>
      </c>
      <c r="AR105" s="444" t="n">
        <v>0.19</v>
      </c>
      <c r="AS105" s="438" t="n">
        <v>0.192</v>
      </c>
      <c r="AT105" s="438" t="n">
        <v>0.192</v>
      </c>
      <c r="AU105" s="104" t="n">
        <v>0.216</v>
      </c>
      <c r="AV105" s="441" t="n">
        <v>0.207</v>
      </c>
      <c r="AW105" s="106" t="n">
        <v>0.217</v>
      </c>
      <c r="AX105" s="438" t="n">
        <v>0.207</v>
      </c>
      <c r="AY105" s="104" t="n">
        <v>0.224</v>
      </c>
      <c r="AZ105" s="396" t="n">
        <v>0.195</v>
      </c>
      <c r="BA105" s="441" t="n">
        <v>0.211</v>
      </c>
      <c r="BB105" s="444" t="n">
        <v>0.199</v>
      </c>
      <c r="BC105" s="438" t="n">
        <v>0.215</v>
      </c>
      <c r="BD105" s="104" t="n">
        <v>0.218</v>
      </c>
      <c r="BE105" s="438" t="n">
        <v>0.202</v>
      </c>
      <c r="BF105" s="399" t="n">
        <v>0.24</v>
      </c>
      <c r="BG105" s="106" t="n">
        <v>0.216</v>
      </c>
      <c r="BH105" s="104" t="n">
        <v>0.224</v>
      </c>
      <c r="BI105" s="438" t="n">
        <v>0.176</v>
      </c>
      <c r="BJ105" s="396" t="n">
        <v>0.233</v>
      </c>
      <c r="BK105" s="441" t="n">
        <v>0.207</v>
      </c>
      <c r="BL105" s="444" t="n">
        <v>0.14</v>
      </c>
      <c r="BM105" s="438" t="n">
        <v>0.188</v>
      </c>
      <c r="BN105" s="438" t="n">
        <v>0.206</v>
      </c>
      <c r="BO105" s="438" t="n">
        <v>0.202</v>
      </c>
      <c r="BP105" s="441" t="n">
        <v>0.16</v>
      </c>
      <c r="BQ105" s="444" t="n">
        <v>0.202</v>
      </c>
      <c r="BR105" s="438" t="n">
        <v>0.216</v>
      </c>
      <c r="BS105" s="396" t="n">
        <v>0.19</v>
      </c>
      <c r="BT105" s="441" t="n">
        <v>0.191</v>
      </c>
      <c r="BU105" s="457" t="n"/>
      <c r="BV105" s="457" t="n"/>
      <c r="BW105" s="437" t="n"/>
      <c r="BX105" s="437" t="n"/>
      <c r="BY105" s="437" t="n"/>
      <c r="BZ105" s="437" t="n"/>
      <c r="CA105" s="437" t="n"/>
      <c r="CB105" s="437" t="n"/>
      <c r="CC105" s="437" t="n"/>
      <c r="CD105" s="437" t="n"/>
      <c r="CE105" s="437" t="n"/>
      <c r="CF105" s="437" t="n"/>
      <c r="CG105" s="437" t="n"/>
      <c r="CH105" s="437" t="n"/>
      <c r="CI105" s="437" t="n"/>
      <c r="CJ105" s="437" t="n"/>
      <c r="CK105" s="437" t="n"/>
      <c r="CL105" s="437" t="n"/>
      <c r="CM105" s="437" t="n"/>
      <c r="CN105" s="437" t="n"/>
      <c r="CO105" s="437" t="n"/>
      <c r="CP105" s="437" t="n"/>
      <c r="CQ105" s="437" t="n"/>
      <c r="CR105" s="437" t="n"/>
      <c r="CS105" s="437" t="n"/>
      <c r="CT105" s="437" t="n"/>
      <c r="CU105" s="437" t="n"/>
      <c r="CV105" s="437" t="n"/>
      <c r="CW105" s="437" t="n"/>
      <c r="CX105" s="437" t="n"/>
      <c r="CY105" s="437" t="n"/>
      <c r="CZ105" s="437" t="n"/>
      <c r="DA105" s="437" t="n"/>
      <c r="DB105" s="437" t="n"/>
      <c r="DC105" s="437" t="n"/>
      <c r="DD105" s="437" t="n"/>
      <c r="DE105" s="437" t="n"/>
      <c r="DF105" s="437" t="n"/>
      <c r="DG105" s="437" t="n"/>
      <c r="DH105" s="437" t="n"/>
      <c r="DI105" s="437" t="n"/>
      <c r="DJ105" s="437" t="n"/>
      <c r="DK105" s="437" t="n"/>
      <c r="DL105" s="437" t="n"/>
      <c r="DM105" s="437" t="n"/>
      <c r="DN105" s="437" t="n"/>
      <c r="DO105" s="437" t="n"/>
      <c r="DP105" s="437" t="n"/>
      <c r="DQ105" s="437" t="n"/>
      <c r="DR105" s="437" t="n"/>
      <c r="DS105" s="437" t="n"/>
      <c r="DT105" s="437" t="n"/>
      <c r="DU105" s="437" t="n"/>
      <c r="DV105" s="437" t="n"/>
      <c r="DW105" s="437" t="n"/>
      <c r="DX105" s="437" t="n"/>
      <c r="DY105" s="238" t="n"/>
      <c r="DZ105" s="23" t="n"/>
      <c r="FQ105" s="212" t="n"/>
      <c r="FR105" s="212" t="n"/>
      <c r="FS105" s="212" t="n"/>
      <c r="FT105" s="212" t="n"/>
      <c r="FU105" s="212" t="n"/>
      <c r="FV105" s="212" t="n"/>
      <c r="FW105" s="212" t="n"/>
      <c r="FX105" s="212" t="n"/>
      <c r="FY105" s="212" t="n"/>
      <c r="FZ105" s="212" t="n"/>
    </row>
    <row r="106" ht="39.95" customFormat="1" customHeight="1" s="5">
      <c r="A106" s="10" t="inlineStr">
        <is>
          <t>A</t>
        </is>
      </c>
      <c r="B106" s="6" t="n"/>
      <c r="C106" s="11" t="inlineStr">
        <is>
          <t>L</t>
        </is>
      </c>
      <c r="D106" s="433" t="n">
        <v>0.129</v>
      </c>
      <c r="E106" s="394" t="n">
        <v>0.208</v>
      </c>
      <c r="F106" s="436" t="n">
        <v>0.14</v>
      </c>
      <c r="G106" s="436" t="n">
        <v>0.201</v>
      </c>
      <c r="H106" s="439" t="n">
        <v>0.178</v>
      </c>
      <c r="I106" s="442" t="n">
        <v>0.243</v>
      </c>
      <c r="J106" s="436" t="n">
        <v>0.215</v>
      </c>
      <c r="K106" s="436" t="n">
        <v>0.23</v>
      </c>
      <c r="L106" s="436" t="n">
        <v>0.191</v>
      </c>
      <c r="M106" s="439" t="n">
        <v>0.233</v>
      </c>
      <c r="N106" s="442" t="n">
        <v>0.239</v>
      </c>
      <c r="O106" s="436" t="n">
        <v>0.183</v>
      </c>
      <c r="P106" s="436" t="n">
        <v>0.183</v>
      </c>
      <c r="Q106" s="436" t="n">
        <v>0.204</v>
      </c>
      <c r="R106" s="397" t="n">
        <v>0.21</v>
      </c>
      <c r="S106" s="442" t="n">
        <v>0.193</v>
      </c>
      <c r="T106" s="436" t="n">
        <v>0.203</v>
      </c>
      <c r="U106" s="436" t="n">
        <v>0.148</v>
      </c>
      <c r="V106" s="436" t="n">
        <v>0.194</v>
      </c>
      <c r="W106" s="397" t="n">
        <v>0.201</v>
      </c>
      <c r="X106" s="442" t="n">
        <v>0.172</v>
      </c>
      <c r="Y106" s="436" t="n">
        <v>0.211</v>
      </c>
      <c r="Z106" s="436" t="n">
        <v>0.206</v>
      </c>
      <c r="AA106" s="436" t="n">
        <v>0.204</v>
      </c>
      <c r="AB106" s="439" t="n">
        <v>0.198</v>
      </c>
      <c r="AC106" s="98" t="n">
        <v>0.229</v>
      </c>
      <c r="AD106" s="436" t="n">
        <v>0.194</v>
      </c>
      <c r="AE106" s="436" t="n">
        <v>0.2</v>
      </c>
      <c r="AF106" s="436" t="n">
        <v>0.195</v>
      </c>
      <c r="AG106" s="439" t="n">
        <v>0.193</v>
      </c>
      <c r="AH106" s="442" t="n">
        <v>0.188</v>
      </c>
      <c r="AI106" s="436" t="n">
        <v>0.199</v>
      </c>
      <c r="AJ106" s="436" t="n">
        <v>0.213</v>
      </c>
      <c r="AK106" s="436" t="n">
        <v>0.171</v>
      </c>
      <c r="AL106" s="439" t="n">
        <v>0.205</v>
      </c>
      <c r="AM106" s="98" t="n">
        <v>0.22</v>
      </c>
      <c r="AN106" s="436" t="n">
        <v>0.194</v>
      </c>
      <c r="AO106" s="436" t="n">
        <v>0.187</v>
      </c>
      <c r="AP106" s="99" t="n">
        <v>0.218</v>
      </c>
      <c r="AQ106" s="100" t="n">
        <v>0.214</v>
      </c>
      <c r="AR106" s="98" t="n">
        <v>0.227</v>
      </c>
      <c r="AS106" s="436" t="n">
        <v>0.209</v>
      </c>
      <c r="AT106" s="436" t="n">
        <v>0.209</v>
      </c>
      <c r="AU106" s="436" t="n">
        <v>0.211</v>
      </c>
      <c r="AV106" s="439" t="n">
        <v>0.196</v>
      </c>
      <c r="AW106" s="442" t="n">
        <v>0.215</v>
      </c>
      <c r="AX106" s="436" t="n">
        <v>0.21</v>
      </c>
      <c r="AY106" s="436" t="n">
        <v>0.223</v>
      </c>
      <c r="AZ106" s="99" t="n">
        <v>0.226</v>
      </c>
      <c r="BA106" s="397" t="n">
        <v>0.22</v>
      </c>
      <c r="BB106" s="442" t="n">
        <v>0.213</v>
      </c>
      <c r="BC106" s="99" t="n">
        <v>0.227</v>
      </c>
      <c r="BD106" s="394" t="n">
        <v>0.23</v>
      </c>
      <c r="BE106" s="394" t="n">
        <v>0.208</v>
      </c>
      <c r="BF106" s="397" t="n">
        <v>0.213</v>
      </c>
      <c r="BG106" s="400" t="n">
        <v>0.229</v>
      </c>
      <c r="BH106" s="394" t="n">
        <v>0.221</v>
      </c>
      <c r="BI106" s="394" t="inlineStr">
        <is>
          <t>ST</t>
        </is>
      </c>
      <c r="BJ106" s="394" t="inlineStr">
        <is>
          <t>ST</t>
        </is>
      </c>
      <c r="BK106" s="397" t="inlineStr">
        <is>
          <t>ST</t>
        </is>
      </c>
      <c r="BL106" s="400" t="inlineStr">
        <is>
          <t>ST</t>
        </is>
      </c>
      <c r="BM106" s="394" t="inlineStr">
        <is>
          <t>ST</t>
        </is>
      </c>
      <c r="BN106" s="394" t="inlineStr">
        <is>
          <t>ST</t>
        </is>
      </c>
      <c r="BO106" s="394" t="inlineStr">
        <is>
          <t>ST</t>
        </is>
      </c>
      <c r="BP106" s="397" t="inlineStr">
        <is>
          <t>ST</t>
        </is>
      </c>
      <c r="BQ106" s="400" t="inlineStr">
        <is>
          <t>ST</t>
        </is>
      </c>
      <c r="BR106" s="394" t="inlineStr">
        <is>
          <t>ST</t>
        </is>
      </c>
      <c r="BS106" s="394" t="inlineStr">
        <is>
          <t>ST</t>
        </is>
      </c>
      <c r="BT106" s="397" t="inlineStr">
        <is>
          <t>ST</t>
        </is>
      </c>
      <c r="BU106" s="454">
        <f>IFERROR(AVERAGE(D106:BT108),0)</f>
        <v/>
      </c>
      <c r="BV106" s="454">
        <f>MIN(D106:BT108)</f>
        <v/>
      </c>
      <c r="BW106" s="437" t="n"/>
      <c r="BX106" s="437" t="n"/>
      <c r="BY106" s="437" t="n"/>
      <c r="BZ106" s="437" t="n"/>
      <c r="CA106" s="437" t="n"/>
      <c r="CB106" s="437" t="n"/>
      <c r="CC106" s="437" t="n"/>
      <c r="CD106" s="437" t="n"/>
      <c r="CE106" s="437" t="n"/>
      <c r="CF106" s="437" t="n"/>
      <c r="CG106" s="437" t="n"/>
      <c r="CH106" s="437" t="n"/>
      <c r="CI106" s="437" t="n"/>
      <c r="CJ106" s="437" t="n"/>
      <c r="CK106" s="437" t="n"/>
      <c r="CL106" s="437" t="n"/>
      <c r="CM106" s="437" t="n"/>
      <c r="CN106" s="437" t="n"/>
      <c r="CO106" s="437" t="n"/>
      <c r="CP106" s="437" t="n"/>
      <c r="CQ106" s="437" t="n"/>
      <c r="CR106" s="437" t="n"/>
      <c r="CS106" s="437" t="n"/>
      <c r="CT106" s="437" t="n"/>
      <c r="CU106" s="437" t="n"/>
      <c r="CV106" s="437" t="n"/>
      <c r="CW106" s="437" t="n"/>
      <c r="CX106" s="437" t="n"/>
      <c r="CY106" s="437" t="n"/>
      <c r="CZ106" s="437" t="n"/>
      <c r="DA106" s="437" t="n"/>
      <c r="DB106" s="437" t="n"/>
      <c r="DC106" s="437" t="n"/>
      <c r="DD106" s="437" t="n"/>
      <c r="DE106" s="437" t="n"/>
      <c r="DF106" s="437" t="n"/>
      <c r="DG106" s="437" t="n"/>
      <c r="DH106" s="437" t="n"/>
      <c r="DI106" s="437" t="n"/>
      <c r="DJ106" s="437" t="n"/>
      <c r="DK106" s="437" t="n"/>
      <c r="DL106" s="437" t="n"/>
      <c r="DM106" s="437" t="n"/>
      <c r="DN106" s="437" t="n"/>
      <c r="DO106" s="437" t="n"/>
      <c r="DP106" s="437" t="n"/>
      <c r="DQ106" s="437" t="n"/>
      <c r="DR106" s="437" t="n"/>
      <c r="DS106" s="437" t="n"/>
      <c r="DT106" s="437" t="n"/>
      <c r="DU106" s="437" t="n"/>
      <c r="DV106" s="437" t="n"/>
      <c r="DW106" s="437" t="n"/>
      <c r="DX106" s="437" t="n"/>
      <c r="DY106" s="238" t="n"/>
      <c r="DZ106" s="23" t="n"/>
      <c r="FQ106" s="212" t="n"/>
      <c r="FR106" s="212" t="n"/>
      <c r="FS106" s="212" t="n"/>
      <c r="FT106" s="212" t="n"/>
      <c r="FU106" s="212" t="n"/>
      <c r="FV106" s="212" t="n"/>
      <c r="FW106" s="212" t="n"/>
      <c r="FX106" s="212" t="n"/>
      <c r="FY106" s="212" t="n"/>
      <c r="FZ106" s="212" t="n"/>
    </row>
    <row r="107" ht="39.95" customFormat="1" customHeight="1" s="5">
      <c r="A107" s="182" t="n">
        <v>0.083</v>
      </c>
      <c r="B107" s="7" t="inlineStr">
        <is>
          <t>-81 IN</t>
        </is>
      </c>
      <c r="C107" s="11" t="inlineStr">
        <is>
          <t>C</t>
        </is>
      </c>
      <c r="D107" s="107" t="n">
        <v>0.214</v>
      </c>
      <c r="E107" s="101" t="n">
        <v>0.24</v>
      </c>
      <c r="F107" s="437" t="n">
        <v>0.208</v>
      </c>
      <c r="G107" s="101" t="n">
        <v>0.227</v>
      </c>
      <c r="H107" s="440" t="n">
        <v>0.211</v>
      </c>
      <c r="I107" s="443" t="n">
        <v>0.227</v>
      </c>
      <c r="J107" s="437" t="n">
        <v>0.245</v>
      </c>
      <c r="K107" s="437" t="n">
        <v>0.227</v>
      </c>
      <c r="L107" s="437" t="n">
        <v>0.222</v>
      </c>
      <c r="M107" s="440" t="n">
        <v>0.239</v>
      </c>
      <c r="N107" s="443" t="n">
        <v>0.246</v>
      </c>
      <c r="O107" s="437" t="n">
        <v>0.179</v>
      </c>
      <c r="P107" s="437" t="n">
        <v>0.182</v>
      </c>
      <c r="Q107" s="437" t="n">
        <v>0.209</v>
      </c>
      <c r="R107" s="440" t="n">
        <v>0.193</v>
      </c>
      <c r="S107" s="443" t="n">
        <v>0.197</v>
      </c>
      <c r="T107" s="395" t="n">
        <v>0.221</v>
      </c>
      <c r="U107" s="437" t="n">
        <v>0.188</v>
      </c>
      <c r="V107" s="437" t="n">
        <v>0.21</v>
      </c>
      <c r="W107" s="440" t="n">
        <v>0.182</v>
      </c>
      <c r="X107" s="103" t="n">
        <v>0.227</v>
      </c>
      <c r="Y107" s="437" t="n">
        <v>0.217</v>
      </c>
      <c r="Z107" s="437" t="n">
        <v>0.196</v>
      </c>
      <c r="AA107" s="101" t="n">
        <v>0.225</v>
      </c>
      <c r="AB107" s="440" t="n">
        <v>0.211</v>
      </c>
      <c r="AC107" s="443" t="n">
        <v>0.205</v>
      </c>
      <c r="AD107" s="437" t="n">
        <v>0.213</v>
      </c>
      <c r="AE107" s="437" t="n">
        <v>0.195</v>
      </c>
      <c r="AF107" s="437" t="n">
        <v>0.218</v>
      </c>
      <c r="AG107" s="440" t="n">
        <v>0.19</v>
      </c>
      <c r="AH107" s="443" t="n">
        <v>0.189</v>
      </c>
      <c r="AI107" s="437" t="n">
        <v>0.214</v>
      </c>
      <c r="AJ107" s="437" t="n">
        <v>0.206</v>
      </c>
      <c r="AK107" s="437" t="n">
        <v>0.194</v>
      </c>
      <c r="AL107" s="440" t="n">
        <v>0.188</v>
      </c>
      <c r="AM107" s="443" t="n">
        <v>0.202</v>
      </c>
      <c r="AN107" s="437" t="n">
        <v>0.192</v>
      </c>
      <c r="AO107" s="437" t="n">
        <v>0.202</v>
      </c>
      <c r="AP107" s="395" t="n">
        <v>0.227</v>
      </c>
      <c r="AQ107" s="102" t="n">
        <v>0.221</v>
      </c>
      <c r="AR107" s="103" t="n">
        <v>0.217</v>
      </c>
      <c r="AS107" s="101" t="n">
        <v>0.219</v>
      </c>
      <c r="AT107" s="437" t="n">
        <v>0.207</v>
      </c>
      <c r="AU107" s="395" t="n">
        <v>0.221</v>
      </c>
      <c r="AV107" s="398" t="n">
        <v>0.203</v>
      </c>
      <c r="AW107" s="103" t="n">
        <v>0.23</v>
      </c>
      <c r="AX107" s="395" t="n">
        <v>0.218</v>
      </c>
      <c r="AY107" s="395" t="n">
        <v>0.238</v>
      </c>
      <c r="AZ107" s="101" t="n">
        <v>0.223</v>
      </c>
      <c r="BA107" s="398" t="n">
        <v>0.214</v>
      </c>
      <c r="BB107" s="401" t="n">
        <v>0.226</v>
      </c>
      <c r="BC107" s="395" t="n">
        <v>0.211</v>
      </c>
      <c r="BD107" s="395" t="n">
        <v>0.23</v>
      </c>
      <c r="BE107" s="395" t="n">
        <v>0.217</v>
      </c>
      <c r="BF107" s="398" t="n">
        <v>0.212</v>
      </c>
      <c r="BG107" s="443" t="n">
        <v>0.219</v>
      </c>
      <c r="BH107" s="395" t="n">
        <v>0.219</v>
      </c>
      <c r="BI107" s="395" t="inlineStr">
        <is>
          <t>ST</t>
        </is>
      </c>
      <c r="BJ107" s="395" t="inlineStr">
        <is>
          <t>ST</t>
        </is>
      </c>
      <c r="BK107" s="398" t="inlineStr">
        <is>
          <t>ST</t>
        </is>
      </c>
      <c r="BL107" s="401" t="inlineStr">
        <is>
          <t>ST</t>
        </is>
      </c>
      <c r="BM107" s="395" t="inlineStr">
        <is>
          <t>ST</t>
        </is>
      </c>
      <c r="BN107" s="395" t="inlineStr">
        <is>
          <t>ST</t>
        </is>
      </c>
      <c r="BO107" s="395" t="inlineStr">
        <is>
          <t>ST</t>
        </is>
      </c>
      <c r="BP107" s="398" t="inlineStr">
        <is>
          <t>ST</t>
        </is>
      </c>
      <c r="BQ107" s="401" t="inlineStr">
        <is>
          <t>ST</t>
        </is>
      </c>
      <c r="BR107" s="395" t="inlineStr">
        <is>
          <t>ST</t>
        </is>
      </c>
      <c r="BS107" s="395" t="inlineStr">
        <is>
          <t>ST</t>
        </is>
      </c>
      <c r="BT107" s="398" t="inlineStr">
        <is>
          <t>ST</t>
        </is>
      </c>
      <c r="BU107" s="455" t="n"/>
      <c r="BV107" s="455" t="n"/>
      <c r="BW107" s="437" t="n"/>
      <c r="BX107" s="437" t="n"/>
      <c r="BY107" s="437" t="n"/>
      <c r="BZ107" s="437" t="n"/>
      <c r="CA107" s="437" t="n"/>
      <c r="CB107" s="437" t="n"/>
      <c r="CC107" s="437" t="n"/>
      <c r="CD107" s="437" t="n"/>
      <c r="CE107" s="437" t="n"/>
      <c r="CF107" s="437" t="n"/>
      <c r="CG107" s="437" t="n"/>
      <c r="CH107" s="437" t="n"/>
      <c r="CI107" s="437" t="n"/>
      <c r="CJ107" s="437" t="n"/>
      <c r="CK107" s="437" t="n"/>
      <c r="CL107" s="437" t="n"/>
      <c r="CM107" s="437" t="n"/>
      <c r="CN107" s="437" t="n"/>
      <c r="CO107" s="437" t="n"/>
      <c r="CP107" s="437" t="n"/>
      <c r="CQ107" s="437" t="n"/>
      <c r="CR107" s="437" t="n"/>
      <c r="CS107" s="437" t="n"/>
      <c r="CT107" s="437" t="n"/>
      <c r="CU107" s="437" t="n"/>
      <c r="CV107" s="437" t="n"/>
      <c r="CW107" s="437" t="n"/>
      <c r="CX107" s="437" t="n"/>
      <c r="CY107" s="437" t="n"/>
      <c r="CZ107" s="437" t="n"/>
      <c r="DA107" s="437" t="n"/>
      <c r="DB107" s="437" t="n"/>
      <c r="DC107" s="437" t="n"/>
      <c r="DD107" s="437" t="n"/>
      <c r="DE107" s="437" t="n"/>
      <c r="DF107" s="437" t="n"/>
      <c r="DG107" s="437" t="n"/>
      <c r="DH107" s="437" t="n"/>
      <c r="DI107" s="437" t="n"/>
      <c r="DJ107" s="437" t="n"/>
      <c r="DK107" s="437" t="n"/>
      <c r="DL107" s="437" t="n"/>
      <c r="DM107" s="437" t="n"/>
      <c r="DN107" s="437" t="n"/>
      <c r="DO107" s="437" t="n"/>
      <c r="DP107" s="437" t="n"/>
      <c r="DQ107" s="437" t="n"/>
      <c r="DR107" s="437" t="n"/>
      <c r="DS107" s="437" t="n"/>
      <c r="DT107" s="437" t="n"/>
      <c r="DU107" s="437" t="n"/>
      <c r="DV107" s="437" t="n"/>
      <c r="DW107" s="437" t="n"/>
      <c r="DX107" s="437" t="n"/>
      <c r="DY107" s="238" t="n"/>
      <c r="DZ107" s="23" t="n"/>
      <c r="FQ107" s="212" t="n"/>
      <c r="FR107" s="212" t="n"/>
      <c r="FS107" s="212" t="n"/>
      <c r="FT107" s="212" t="n"/>
      <c r="FU107" s="212" t="n"/>
      <c r="FV107" s="212" t="n"/>
      <c r="FW107" s="212" t="n"/>
      <c r="FX107" s="212" t="n"/>
      <c r="FY107" s="212" t="n"/>
      <c r="FZ107" s="212" t="n"/>
    </row>
    <row r="108" ht="39.95" customFormat="1" customHeight="1" s="5">
      <c r="A108" s="456" t="n"/>
      <c r="B108" s="8" t="n"/>
      <c r="C108" s="12" t="inlineStr">
        <is>
          <t>R</t>
        </is>
      </c>
      <c r="D108" s="109" t="n">
        <v>0.217</v>
      </c>
      <c r="E108" s="104" t="n">
        <v>0.235</v>
      </c>
      <c r="F108" s="438" t="n">
        <v>0.204</v>
      </c>
      <c r="G108" s="396" t="n">
        <v>0.224</v>
      </c>
      <c r="H108" s="441" t="n">
        <v>0.209</v>
      </c>
      <c r="I108" s="444" t="n">
        <v>0.239</v>
      </c>
      <c r="J108" s="438" t="n">
        <v>0.222</v>
      </c>
      <c r="K108" s="438" t="n">
        <v>0.223</v>
      </c>
      <c r="L108" s="438" t="n">
        <v>0.224</v>
      </c>
      <c r="M108" s="441" t="n">
        <v>0.243</v>
      </c>
      <c r="N108" s="444" t="n">
        <v>0.254</v>
      </c>
      <c r="O108" s="396" t="n">
        <v>0.217</v>
      </c>
      <c r="P108" s="438" t="n">
        <v>0.212</v>
      </c>
      <c r="Q108" s="396" t="n">
        <v>0.209</v>
      </c>
      <c r="R108" s="399" t="n">
        <v>0.228</v>
      </c>
      <c r="S108" s="444" t="n">
        <v>0.196</v>
      </c>
      <c r="T108" s="438" t="n">
        <v>0.198</v>
      </c>
      <c r="U108" s="438" t="n">
        <v>0.19</v>
      </c>
      <c r="V108" s="438" t="n">
        <v>0.197</v>
      </c>
      <c r="W108" s="399" t="n">
        <v>0.194</v>
      </c>
      <c r="X108" s="444" t="n">
        <v>0.211</v>
      </c>
      <c r="Y108" s="438" t="n">
        <v>0.208</v>
      </c>
      <c r="Z108" s="438" t="n">
        <v>0.178</v>
      </c>
      <c r="AA108" s="438" t="n">
        <v>0.208</v>
      </c>
      <c r="AB108" s="399" t="n">
        <v>0.228</v>
      </c>
      <c r="AC108" s="106" t="n">
        <v>0.234</v>
      </c>
      <c r="AD108" s="438" t="n">
        <v>0.213</v>
      </c>
      <c r="AE108" s="104" t="n">
        <v>0.225</v>
      </c>
      <c r="AF108" s="438" t="n">
        <v>0.212</v>
      </c>
      <c r="AG108" s="441" t="n">
        <v>0.209</v>
      </c>
      <c r="AH108" s="444" t="n">
        <v>0.193</v>
      </c>
      <c r="AI108" s="396" t="n">
        <v>0.243</v>
      </c>
      <c r="AJ108" s="438" t="n">
        <v>0.216</v>
      </c>
      <c r="AK108" s="438" t="n">
        <v>0.194</v>
      </c>
      <c r="AL108" s="441" t="n">
        <v>0.182</v>
      </c>
      <c r="AM108" s="444" t="n">
        <v>0.208</v>
      </c>
      <c r="AN108" s="396" t="n">
        <v>0.233</v>
      </c>
      <c r="AO108" s="438" t="n">
        <v>0.192</v>
      </c>
      <c r="AP108" s="104" t="n">
        <v>0.22</v>
      </c>
      <c r="AQ108" s="441" t="n">
        <v>0.198</v>
      </c>
      <c r="AR108" s="106" t="n">
        <v>0.213</v>
      </c>
      <c r="AS108" s="104" t="n">
        <v>0.22</v>
      </c>
      <c r="AT108" s="438" t="n">
        <v>0.189</v>
      </c>
      <c r="AU108" s="104" t="n">
        <v>0.215</v>
      </c>
      <c r="AV108" s="441" t="n">
        <v>0.211</v>
      </c>
      <c r="AW108" s="106" t="n">
        <v>0.226</v>
      </c>
      <c r="AX108" s="438" t="n">
        <v>0.209</v>
      </c>
      <c r="AY108" s="396" t="n">
        <v>0.237</v>
      </c>
      <c r="AZ108" s="104" t="n">
        <v>0.227</v>
      </c>
      <c r="BA108" s="399" t="n">
        <v>0.206</v>
      </c>
      <c r="BB108" s="444" t="n">
        <v>0.205</v>
      </c>
      <c r="BC108" s="396" t="n">
        <v>0.234</v>
      </c>
      <c r="BD108" s="396" t="n">
        <v>0.226</v>
      </c>
      <c r="BE108" s="396" t="n">
        <v>0.246</v>
      </c>
      <c r="BF108" s="399" t="n">
        <v>0.215</v>
      </c>
      <c r="BG108" s="402" t="n">
        <v>0.231</v>
      </c>
      <c r="BH108" s="396" t="n">
        <v>0.218</v>
      </c>
      <c r="BI108" s="396" t="inlineStr">
        <is>
          <t>ST</t>
        </is>
      </c>
      <c r="BJ108" s="396" t="inlineStr">
        <is>
          <t>ST</t>
        </is>
      </c>
      <c r="BK108" s="399" t="inlineStr">
        <is>
          <t>ST</t>
        </is>
      </c>
      <c r="BL108" s="402" t="inlineStr">
        <is>
          <t>ST</t>
        </is>
      </c>
      <c r="BM108" s="396" t="inlineStr">
        <is>
          <t>ST</t>
        </is>
      </c>
      <c r="BN108" s="396" t="inlineStr">
        <is>
          <t>ST</t>
        </is>
      </c>
      <c r="BO108" s="396" t="inlineStr">
        <is>
          <t>ST</t>
        </is>
      </c>
      <c r="BP108" s="399" t="inlineStr">
        <is>
          <t>ST</t>
        </is>
      </c>
      <c r="BQ108" s="402" t="inlineStr">
        <is>
          <t>ST</t>
        </is>
      </c>
      <c r="BR108" s="396" t="inlineStr">
        <is>
          <t>ST</t>
        </is>
      </c>
      <c r="BS108" s="396" t="inlineStr">
        <is>
          <t>ST</t>
        </is>
      </c>
      <c r="BT108" s="399" t="inlineStr">
        <is>
          <t>ST</t>
        </is>
      </c>
      <c r="BU108" s="457" t="n"/>
      <c r="BV108" s="457" t="n"/>
      <c r="BW108" s="437" t="n"/>
      <c r="BX108" s="437" t="n"/>
      <c r="BY108" s="437" t="n"/>
      <c r="BZ108" s="437" t="n"/>
      <c r="CA108" s="437" t="n"/>
      <c r="CB108" s="437" t="n"/>
      <c r="CC108" s="437" t="n"/>
      <c r="CD108" s="437" t="n"/>
      <c r="CE108" s="437" t="n"/>
      <c r="CF108" s="437" t="n"/>
      <c r="CG108" s="437" t="n"/>
      <c r="CH108" s="437" t="n"/>
      <c r="CI108" s="437" t="n"/>
      <c r="CJ108" s="437" t="n"/>
      <c r="CK108" s="437" t="n"/>
      <c r="CL108" s="437" t="n"/>
      <c r="CM108" s="437" t="n"/>
      <c r="CN108" s="437" t="n"/>
      <c r="CO108" s="437" t="n"/>
      <c r="CP108" s="437" t="n"/>
      <c r="CQ108" s="437" t="n"/>
      <c r="CR108" s="437" t="n"/>
      <c r="CS108" s="437" t="n"/>
      <c r="CT108" s="437" t="n"/>
      <c r="CU108" s="437" t="n"/>
      <c r="CV108" s="437" t="n"/>
      <c r="CW108" s="437" t="n"/>
      <c r="CX108" s="437" t="n"/>
      <c r="CY108" s="437" t="n"/>
      <c r="CZ108" s="437" t="n"/>
      <c r="DA108" s="437" t="n"/>
      <c r="DB108" s="437" t="n"/>
      <c r="DC108" s="437" t="n"/>
      <c r="DD108" s="437" t="n"/>
      <c r="DE108" s="437" t="n"/>
      <c r="DF108" s="437" t="n"/>
      <c r="DG108" s="437" t="n"/>
      <c r="DH108" s="437" t="n"/>
      <c r="DI108" s="437" t="n"/>
      <c r="DJ108" s="437" t="n"/>
      <c r="DK108" s="437" t="n"/>
      <c r="DL108" s="437" t="n"/>
      <c r="DM108" s="437" t="n"/>
      <c r="DN108" s="437" t="n"/>
      <c r="DO108" s="437" t="n"/>
      <c r="DP108" s="437" t="n"/>
      <c r="DQ108" s="437" t="n"/>
      <c r="DR108" s="437" t="n"/>
      <c r="DS108" s="437" t="n"/>
      <c r="DT108" s="437" t="n"/>
      <c r="DU108" s="437" t="n"/>
      <c r="DV108" s="437" t="n"/>
      <c r="DW108" s="437" t="n"/>
      <c r="DX108" s="437" t="n"/>
      <c r="DY108" s="238" t="n"/>
      <c r="DZ108" s="23" t="n"/>
      <c r="FQ108" s="212" t="n"/>
      <c r="FR108" s="212" t="n"/>
      <c r="FS108" s="212" t="n"/>
      <c r="FT108" s="212" t="n"/>
      <c r="FU108" s="212" t="n"/>
      <c r="FV108" s="212" t="n"/>
      <c r="FW108" s="212" t="n"/>
      <c r="FX108" s="212" t="n"/>
      <c r="FY108" s="212" t="n"/>
      <c r="FZ108" s="212" t="n"/>
    </row>
    <row r="109" ht="39.95" customFormat="1" customHeight="1" s="5">
      <c r="A109" s="10" t="inlineStr">
        <is>
          <t>A</t>
        </is>
      </c>
      <c r="B109" s="6" t="n"/>
      <c r="C109" s="11" t="inlineStr">
        <is>
          <t>L</t>
        </is>
      </c>
      <c r="D109" s="433" t="n">
        <v>0.183</v>
      </c>
      <c r="E109" s="436" t="n">
        <v>0.202</v>
      </c>
      <c r="F109" s="436" t="n">
        <v>0.192</v>
      </c>
      <c r="G109" s="394" t="n">
        <v>0.252</v>
      </c>
      <c r="H109" s="439" t="n">
        <v>0.192</v>
      </c>
      <c r="I109" s="400" t="n">
        <v>0.237</v>
      </c>
      <c r="J109" s="394" t="n">
        <v>0.251</v>
      </c>
      <c r="K109" s="436" t="n">
        <v>0.224</v>
      </c>
      <c r="L109" s="436" t="n">
        <v>0.243</v>
      </c>
      <c r="M109" s="397" t="n">
        <v>0.268</v>
      </c>
      <c r="N109" s="442" t="n">
        <v>0.244</v>
      </c>
      <c r="O109" s="394" t="n">
        <v>0.233</v>
      </c>
      <c r="P109" s="436" t="n">
        <v>0.2</v>
      </c>
      <c r="Q109" s="394" t="n">
        <v>0.23</v>
      </c>
      <c r="R109" s="397" t="n">
        <v>0.237</v>
      </c>
      <c r="S109" s="400" t="n">
        <v>0.211</v>
      </c>
      <c r="T109" s="99" t="n">
        <v>0.211</v>
      </c>
      <c r="U109" s="394" t="n">
        <v>0.186</v>
      </c>
      <c r="V109" s="99" t="n">
        <v>0.211</v>
      </c>
      <c r="W109" s="397" t="n">
        <v>0.233</v>
      </c>
      <c r="X109" s="400" t="n">
        <v>0.195</v>
      </c>
      <c r="Y109" s="394" t="n">
        <v>0.207</v>
      </c>
      <c r="Z109" s="394" t="n">
        <v>0.222</v>
      </c>
      <c r="AA109" s="394" t="n">
        <v>0.232</v>
      </c>
      <c r="AB109" s="397" t="n">
        <v>0.206</v>
      </c>
      <c r="AC109" s="400" t="n">
        <v>0.172</v>
      </c>
      <c r="AD109" s="394" t="n">
        <v>0.221</v>
      </c>
      <c r="AE109" s="394" t="n">
        <v>0.223</v>
      </c>
      <c r="AF109" s="394" t="n">
        <v>0.221</v>
      </c>
      <c r="AG109" s="397" t="n">
        <v>0.221</v>
      </c>
      <c r="AH109" s="400" t="n">
        <v>0.219</v>
      </c>
      <c r="AI109" s="394" t="n">
        <v>0.243</v>
      </c>
      <c r="AJ109" s="436" t="n">
        <v>0.201</v>
      </c>
      <c r="AK109" s="394" t="n">
        <v>0.222</v>
      </c>
      <c r="AL109" s="397" t="n">
        <v>0.22</v>
      </c>
      <c r="AM109" s="400" t="n">
        <v>0.224</v>
      </c>
      <c r="AN109" s="394" t="inlineStr">
        <is>
          <t>ST</t>
        </is>
      </c>
      <c r="AO109" s="394" t="inlineStr">
        <is>
          <t>ST</t>
        </is>
      </c>
      <c r="AP109" s="394" t="inlineStr">
        <is>
          <t>ST</t>
        </is>
      </c>
      <c r="AQ109" s="397" t="inlineStr">
        <is>
          <t>ST</t>
        </is>
      </c>
      <c r="AR109" s="400" t="inlineStr">
        <is>
          <t>ST</t>
        </is>
      </c>
      <c r="AS109" s="394" t="inlineStr">
        <is>
          <t>ST</t>
        </is>
      </c>
      <c r="AT109" s="394" t="inlineStr">
        <is>
          <t>ST</t>
        </is>
      </c>
      <c r="AU109" s="394" t="inlineStr">
        <is>
          <t>ST</t>
        </is>
      </c>
      <c r="AV109" s="397" t="inlineStr">
        <is>
          <t>ST</t>
        </is>
      </c>
      <c r="AW109" s="400" t="inlineStr">
        <is>
          <t>ST</t>
        </is>
      </c>
      <c r="AX109" s="394" t="inlineStr">
        <is>
          <t>ST</t>
        </is>
      </c>
      <c r="AY109" s="394" t="inlineStr">
        <is>
          <t>ST</t>
        </is>
      </c>
      <c r="AZ109" s="394" t="inlineStr">
        <is>
          <t>ST</t>
        </is>
      </c>
      <c r="BA109" s="397" t="inlineStr">
        <is>
          <t>ST</t>
        </is>
      </c>
      <c r="BB109" s="400" t="inlineStr">
        <is>
          <t>ST</t>
        </is>
      </c>
      <c r="BC109" s="394" t="inlineStr">
        <is>
          <t>ST</t>
        </is>
      </c>
      <c r="BD109" s="394" t="inlineStr">
        <is>
          <t>ST</t>
        </is>
      </c>
      <c r="BE109" s="394" t="inlineStr">
        <is>
          <t>ST</t>
        </is>
      </c>
      <c r="BF109" s="397" t="inlineStr">
        <is>
          <t>ST</t>
        </is>
      </c>
      <c r="BG109" s="400" t="inlineStr">
        <is>
          <t>ST</t>
        </is>
      </c>
      <c r="BH109" s="394" t="inlineStr">
        <is>
          <t>ST</t>
        </is>
      </c>
      <c r="BI109" s="394" t="inlineStr">
        <is>
          <t>ST</t>
        </is>
      </c>
      <c r="BJ109" s="394" t="inlineStr">
        <is>
          <t>ST</t>
        </is>
      </c>
      <c r="BK109" s="397" t="inlineStr">
        <is>
          <t>ST</t>
        </is>
      </c>
      <c r="BL109" s="400" t="inlineStr">
        <is>
          <t>ST</t>
        </is>
      </c>
      <c r="BM109" s="394" t="inlineStr">
        <is>
          <t>ST</t>
        </is>
      </c>
      <c r="BN109" s="394" t="inlineStr">
        <is>
          <t>ST</t>
        </is>
      </c>
      <c r="BO109" s="394" t="inlineStr">
        <is>
          <t>ST</t>
        </is>
      </c>
      <c r="BP109" s="397" t="inlineStr">
        <is>
          <t>ST</t>
        </is>
      </c>
      <c r="BQ109" s="400" t="inlineStr">
        <is>
          <t>ST</t>
        </is>
      </c>
      <c r="BR109" s="394" t="inlineStr">
        <is>
          <t>ST</t>
        </is>
      </c>
      <c r="BS109" s="394" t="inlineStr">
        <is>
          <t>ST</t>
        </is>
      </c>
      <c r="BT109" s="397" t="inlineStr">
        <is>
          <t>ST</t>
        </is>
      </c>
      <c r="BU109" s="454">
        <f>IFERROR(AVERAGE(D109:BT111),0)</f>
        <v/>
      </c>
      <c r="BV109" s="454">
        <f>MIN(D109:BT111)</f>
        <v/>
      </c>
      <c r="BW109" s="437" t="n"/>
      <c r="BX109" s="437" t="n"/>
      <c r="BY109" s="437" t="n"/>
      <c r="BZ109" s="437" t="n"/>
      <c r="CA109" s="437" t="n"/>
      <c r="CB109" s="437" t="n"/>
      <c r="CC109" s="437" t="n"/>
      <c r="CD109" s="437" t="n"/>
      <c r="CE109" s="437" t="n"/>
      <c r="CF109" s="437" t="n"/>
      <c r="CG109" s="437" t="n"/>
      <c r="CH109" s="437" t="n"/>
      <c r="CI109" s="437" t="n"/>
      <c r="CJ109" s="437" t="n"/>
      <c r="CK109" s="437" t="n"/>
      <c r="CL109" s="437" t="n"/>
      <c r="CM109" s="437" t="n"/>
      <c r="CN109" s="437" t="n"/>
      <c r="CO109" s="437" t="n"/>
      <c r="CP109" s="437" t="n"/>
      <c r="CQ109" s="437" t="n"/>
      <c r="CR109" s="437" t="n"/>
      <c r="CS109" s="437" t="n"/>
      <c r="CT109" s="437" t="n"/>
      <c r="CU109" s="437" t="n"/>
      <c r="CV109" s="437" t="n"/>
      <c r="CW109" s="437" t="n"/>
      <c r="CX109" s="437" t="n"/>
      <c r="CY109" s="437" t="n"/>
      <c r="CZ109" s="437" t="n"/>
      <c r="DA109" s="437" t="n"/>
      <c r="DB109" s="437" t="n"/>
      <c r="DC109" s="437" t="n"/>
      <c r="DD109" s="437" t="n"/>
      <c r="DE109" s="437" t="n"/>
      <c r="DF109" s="437" t="n"/>
      <c r="DG109" s="437" t="n"/>
      <c r="DH109" s="437" t="n"/>
      <c r="DI109" s="437" t="n"/>
      <c r="DJ109" s="437" t="n"/>
      <c r="DK109" s="437" t="n"/>
      <c r="DL109" s="437" t="n"/>
      <c r="DM109" s="437" t="n"/>
      <c r="DN109" s="437" t="n"/>
      <c r="DO109" s="437" t="n"/>
      <c r="DP109" s="437" t="n"/>
      <c r="DQ109" s="437" t="n"/>
      <c r="DR109" s="437" t="n"/>
      <c r="DS109" s="437" t="n"/>
      <c r="DT109" s="437" t="n"/>
      <c r="DU109" s="437" t="n"/>
      <c r="DV109" s="437" t="n"/>
      <c r="DW109" s="437" t="n"/>
      <c r="DX109" s="437" t="n"/>
      <c r="DY109" s="238" t="n"/>
      <c r="DZ109" s="23" t="n"/>
      <c r="FQ109" s="212" t="n"/>
      <c r="FR109" s="212" t="n"/>
      <c r="FS109" s="212" t="n"/>
      <c r="FT109" s="212" t="n"/>
      <c r="FU109" s="212" t="n"/>
      <c r="FV109" s="212" t="n"/>
      <c r="FW109" s="212" t="n"/>
      <c r="FX109" s="212" t="n"/>
      <c r="FY109" s="212" t="n"/>
      <c r="FZ109" s="212" t="n"/>
    </row>
    <row r="110" ht="39.95" customFormat="1" customHeight="1" s="5">
      <c r="A110" s="182" t="n">
        <v>0.083</v>
      </c>
      <c r="B110" s="7" t="inlineStr">
        <is>
          <t>-90 IN</t>
        </is>
      </c>
      <c r="C110" s="11" t="inlineStr">
        <is>
          <t>C</t>
        </is>
      </c>
      <c r="D110" s="434" t="n">
        <v>0.161</v>
      </c>
      <c r="E110" s="437" t="n">
        <v>0.206</v>
      </c>
      <c r="F110" s="437" t="n">
        <v>0.21</v>
      </c>
      <c r="G110" s="395" t="n">
        <v>0.236</v>
      </c>
      <c r="H110" s="440" t="n">
        <v>0.175</v>
      </c>
      <c r="I110" s="401" t="n">
        <v>0.274</v>
      </c>
      <c r="J110" s="437" t="n">
        <v>0.243</v>
      </c>
      <c r="K110" s="437" t="n">
        <v>0.2</v>
      </c>
      <c r="L110" s="437" t="n">
        <v>0.238</v>
      </c>
      <c r="M110" s="440" t="n">
        <v>0.245</v>
      </c>
      <c r="N110" s="401" t="n">
        <v>0.236</v>
      </c>
      <c r="O110" s="395" t="n">
        <v>0.225</v>
      </c>
      <c r="P110" s="437" t="n">
        <v>0.192</v>
      </c>
      <c r="Q110" s="395" t="n">
        <v>0.24</v>
      </c>
      <c r="R110" s="398" t="n">
        <v>0.228</v>
      </c>
      <c r="S110" s="401" t="n">
        <v>0.211</v>
      </c>
      <c r="T110" s="395" t="n">
        <v>0.217</v>
      </c>
      <c r="U110" s="395" t="n">
        <v>0.216</v>
      </c>
      <c r="V110" s="395" t="n">
        <v>0.235</v>
      </c>
      <c r="W110" s="398" t="n">
        <v>0.162</v>
      </c>
      <c r="X110" s="401" t="n">
        <v>0.21</v>
      </c>
      <c r="Y110" s="395" t="n">
        <v>0.221</v>
      </c>
      <c r="Z110" s="101" t="n">
        <v>0.228</v>
      </c>
      <c r="AA110" s="395" t="n">
        <v>0.241</v>
      </c>
      <c r="AB110" s="398" t="n">
        <v>0.236</v>
      </c>
      <c r="AC110" s="401" t="n">
        <v>0.225</v>
      </c>
      <c r="AD110" s="395" t="n">
        <v>0.221</v>
      </c>
      <c r="AE110" s="395" t="n">
        <v>0.165</v>
      </c>
      <c r="AF110" s="395" t="n">
        <v>0.221</v>
      </c>
      <c r="AG110" s="102" t="n">
        <v>0.222</v>
      </c>
      <c r="AH110" s="401" t="n">
        <v>0.208</v>
      </c>
      <c r="AI110" s="395" t="n">
        <v>0.232</v>
      </c>
      <c r="AJ110" s="101" t="n">
        <v>0.221</v>
      </c>
      <c r="AK110" s="395" t="n">
        <v>0.223</v>
      </c>
      <c r="AL110" s="398" t="n">
        <v>0.216</v>
      </c>
      <c r="AM110" s="401" t="n">
        <v>0.226</v>
      </c>
      <c r="AN110" s="395" t="inlineStr">
        <is>
          <t>ST</t>
        </is>
      </c>
      <c r="AO110" s="395" t="inlineStr">
        <is>
          <t>ST</t>
        </is>
      </c>
      <c r="AP110" s="395" t="inlineStr">
        <is>
          <t>ST</t>
        </is>
      </c>
      <c r="AQ110" s="398" t="inlineStr">
        <is>
          <t>ST</t>
        </is>
      </c>
      <c r="AR110" s="401" t="inlineStr">
        <is>
          <t>ST</t>
        </is>
      </c>
      <c r="AS110" s="395" t="inlineStr">
        <is>
          <t>ST</t>
        </is>
      </c>
      <c r="AT110" s="395" t="inlineStr">
        <is>
          <t>ST</t>
        </is>
      </c>
      <c r="AU110" s="395" t="inlineStr">
        <is>
          <t>ST</t>
        </is>
      </c>
      <c r="AV110" s="398" t="inlineStr">
        <is>
          <t>ST</t>
        </is>
      </c>
      <c r="AW110" s="401" t="inlineStr">
        <is>
          <t>ST</t>
        </is>
      </c>
      <c r="AX110" s="395" t="inlineStr">
        <is>
          <t>ST</t>
        </is>
      </c>
      <c r="AY110" s="395" t="inlineStr">
        <is>
          <t>ST</t>
        </is>
      </c>
      <c r="AZ110" s="395" t="inlineStr">
        <is>
          <t>ST</t>
        </is>
      </c>
      <c r="BA110" s="398" t="inlineStr">
        <is>
          <t>ST</t>
        </is>
      </c>
      <c r="BB110" s="401" t="inlineStr">
        <is>
          <t>ST</t>
        </is>
      </c>
      <c r="BC110" s="395" t="inlineStr">
        <is>
          <t>ST</t>
        </is>
      </c>
      <c r="BD110" s="395" t="inlineStr">
        <is>
          <t>ST</t>
        </is>
      </c>
      <c r="BE110" s="395" t="inlineStr">
        <is>
          <t>ST</t>
        </is>
      </c>
      <c r="BF110" s="398" t="inlineStr">
        <is>
          <t>ST</t>
        </is>
      </c>
      <c r="BG110" s="401" t="inlineStr">
        <is>
          <t>ST</t>
        </is>
      </c>
      <c r="BH110" s="395" t="inlineStr">
        <is>
          <t>ST</t>
        </is>
      </c>
      <c r="BI110" s="395" t="inlineStr">
        <is>
          <t>ST</t>
        </is>
      </c>
      <c r="BJ110" s="395" t="inlineStr">
        <is>
          <t>ST</t>
        </is>
      </c>
      <c r="BK110" s="398" t="inlineStr">
        <is>
          <t>ST</t>
        </is>
      </c>
      <c r="BL110" s="401" t="inlineStr">
        <is>
          <t>ST</t>
        </is>
      </c>
      <c r="BM110" s="395" t="inlineStr">
        <is>
          <t>ST</t>
        </is>
      </c>
      <c r="BN110" s="395" t="inlineStr">
        <is>
          <t>ST</t>
        </is>
      </c>
      <c r="BO110" s="395" t="inlineStr">
        <is>
          <t>ST</t>
        </is>
      </c>
      <c r="BP110" s="398" t="inlineStr">
        <is>
          <t>ST</t>
        </is>
      </c>
      <c r="BQ110" s="401" t="inlineStr">
        <is>
          <t>ST</t>
        </is>
      </c>
      <c r="BR110" s="395" t="inlineStr">
        <is>
          <t>ST</t>
        </is>
      </c>
      <c r="BS110" s="395" t="inlineStr">
        <is>
          <t>ST</t>
        </is>
      </c>
      <c r="BT110" s="398" t="inlineStr">
        <is>
          <t>ST</t>
        </is>
      </c>
      <c r="BU110" s="455" t="n"/>
      <c r="BV110" s="455" t="n"/>
      <c r="BW110" s="437" t="n"/>
      <c r="BX110" s="437" t="n"/>
      <c r="BY110" s="437" t="n"/>
      <c r="BZ110" s="437" t="n"/>
      <c r="CA110" s="437" t="n"/>
      <c r="CB110" s="437" t="n"/>
      <c r="CC110" s="437" t="n"/>
      <c r="CD110" s="437" t="n"/>
      <c r="CE110" s="437" t="n"/>
      <c r="CF110" s="437" t="n"/>
      <c r="CG110" s="437" t="n"/>
      <c r="CH110" s="437" t="n"/>
      <c r="CI110" s="437" t="n"/>
      <c r="CJ110" s="437" t="n"/>
      <c r="CK110" s="437" t="n"/>
      <c r="CL110" s="437" t="n"/>
      <c r="CM110" s="437" t="n"/>
      <c r="CN110" s="437" t="n"/>
      <c r="CO110" s="437" t="n"/>
      <c r="CP110" s="437" t="n"/>
      <c r="CQ110" s="437" t="n"/>
      <c r="CR110" s="437" t="n"/>
      <c r="CS110" s="437" t="n"/>
      <c r="CT110" s="437" t="n"/>
      <c r="CU110" s="437" t="n"/>
      <c r="CV110" s="437" t="n"/>
      <c r="CW110" s="437" t="n"/>
      <c r="CX110" s="437" t="n"/>
      <c r="CY110" s="437" t="n"/>
      <c r="CZ110" s="437" t="n"/>
      <c r="DA110" s="437" t="n"/>
      <c r="DB110" s="437" t="n"/>
      <c r="DC110" s="437" t="n"/>
      <c r="DD110" s="437" t="n"/>
      <c r="DE110" s="437" t="n"/>
      <c r="DF110" s="437" t="n"/>
      <c r="DG110" s="437" t="n"/>
      <c r="DH110" s="437" t="n"/>
      <c r="DI110" s="437" t="n"/>
      <c r="DJ110" s="437" t="n"/>
      <c r="DK110" s="437" t="n"/>
      <c r="DL110" s="437" t="n"/>
      <c r="DM110" s="437" t="n"/>
      <c r="DN110" s="437" t="n"/>
      <c r="DO110" s="437" t="n"/>
      <c r="DP110" s="437" t="n"/>
      <c r="DQ110" s="437" t="n"/>
      <c r="DR110" s="437" t="n"/>
      <c r="DS110" s="437" t="n"/>
      <c r="DT110" s="437" t="n"/>
      <c r="DU110" s="437" t="n"/>
      <c r="DV110" s="437" t="n"/>
      <c r="DW110" s="437" t="n"/>
      <c r="DX110" s="437" t="n"/>
      <c r="DY110" s="238" t="n"/>
      <c r="DZ110" s="23" t="n"/>
      <c r="FQ110" s="212" t="n"/>
      <c r="FR110" s="212" t="n"/>
      <c r="FS110" s="212" t="n"/>
      <c r="FT110" s="212" t="n"/>
      <c r="FU110" s="212" t="n"/>
      <c r="FV110" s="212" t="n"/>
      <c r="FW110" s="212" t="n"/>
      <c r="FX110" s="212" t="n"/>
      <c r="FY110" s="212" t="n"/>
      <c r="FZ110" s="212" t="n"/>
    </row>
    <row r="111" ht="39.95" customFormat="1" customHeight="1" s="5">
      <c r="A111" s="456" t="n"/>
      <c r="B111" s="8" t="n"/>
      <c r="C111" s="12" t="inlineStr">
        <is>
          <t>R</t>
        </is>
      </c>
      <c r="D111" s="435" t="n">
        <v>0.208</v>
      </c>
      <c r="E111" s="396" t="n">
        <v>0.223</v>
      </c>
      <c r="F111" s="438" t="n">
        <v>0.215</v>
      </c>
      <c r="G111" s="396" t="n">
        <v>0.227</v>
      </c>
      <c r="H111" s="441" t="n">
        <v>0.179</v>
      </c>
      <c r="I111" s="444" t="n">
        <v>0.233</v>
      </c>
      <c r="J111" s="438" t="n">
        <v>0.255</v>
      </c>
      <c r="K111" s="438" t="n">
        <v>0.241</v>
      </c>
      <c r="L111" s="396" t="n">
        <v>0.273</v>
      </c>
      <c r="M111" s="441" t="n">
        <v>0.239</v>
      </c>
      <c r="N111" s="444" t="n">
        <v>0.238</v>
      </c>
      <c r="O111" s="396" t="n">
        <v>0.225</v>
      </c>
      <c r="P111" s="438" t="n">
        <v>0.191</v>
      </c>
      <c r="Q111" s="396" t="n">
        <v>0.232</v>
      </c>
      <c r="R111" s="399" t="n">
        <v>0.23</v>
      </c>
      <c r="S111" s="402" t="n">
        <v>0.214</v>
      </c>
      <c r="T111" s="104" t="n">
        <v>0.215</v>
      </c>
      <c r="U111" s="104" t="n">
        <v>0.211</v>
      </c>
      <c r="V111" s="396" t="n">
        <v>0.234</v>
      </c>
      <c r="W111" s="105" t="n">
        <v>0.22</v>
      </c>
      <c r="X111" s="402" t="n">
        <v>0.217</v>
      </c>
      <c r="Y111" s="396" t="n">
        <v>0.229</v>
      </c>
      <c r="Z111" s="104" t="n">
        <v>0.23</v>
      </c>
      <c r="AA111" s="104" t="n">
        <v>0.224</v>
      </c>
      <c r="AB111" s="399" t="n">
        <v>0.218</v>
      </c>
      <c r="AC111" s="402" t="n">
        <v>0.214</v>
      </c>
      <c r="AD111" s="396" t="n">
        <v>0.221</v>
      </c>
      <c r="AE111" s="396" t="n">
        <v>0.228</v>
      </c>
      <c r="AF111" s="396" t="n">
        <v>0.225</v>
      </c>
      <c r="AG111" s="399" t="n">
        <v>0.227</v>
      </c>
      <c r="AH111" s="402" t="n">
        <v>0.229</v>
      </c>
      <c r="AI111" s="396" t="n">
        <v>0.235</v>
      </c>
      <c r="AJ111" s="104" t="n">
        <v>0.223</v>
      </c>
      <c r="AK111" s="104" t="n">
        <v>0.218</v>
      </c>
      <c r="AL111" s="399" t="n">
        <v>0.202</v>
      </c>
      <c r="AM111" s="402" t="n">
        <v>0.224</v>
      </c>
      <c r="AN111" s="396" t="inlineStr">
        <is>
          <t>ST</t>
        </is>
      </c>
      <c r="AO111" s="396" t="inlineStr">
        <is>
          <t>ST</t>
        </is>
      </c>
      <c r="AP111" s="396" t="inlineStr">
        <is>
          <t>ST</t>
        </is>
      </c>
      <c r="AQ111" s="399" t="inlineStr">
        <is>
          <t>ST</t>
        </is>
      </c>
      <c r="AR111" s="402" t="inlineStr">
        <is>
          <t>ST</t>
        </is>
      </c>
      <c r="AS111" s="396" t="inlineStr">
        <is>
          <t>ST</t>
        </is>
      </c>
      <c r="AT111" s="396" t="inlineStr">
        <is>
          <t>ST</t>
        </is>
      </c>
      <c r="AU111" s="396" t="inlineStr">
        <is>
          <t>ST</t>
        </is>
      </c>
      <c r="AV111" s="399" t="inlineStr">
        <is>
          <t>ST</t>
        </is>
      </c>
      <c r="AW111" s="402" t="inlineStr">
        <is>
          <t>ST</t>
        </is>
      </c>
      <c r="AX111" s="396" t="inlineStr">
        <is>
          <t>ST</t>
        </is>
      </c>
      <c r="AY111" s="396" t="inlineStr">
        <is>
          <t>ST</t>
        </is>
      </c>
      <c r="AZ111" s="396" t="inlineStr">
        <is>
          <t>ST</t>
        </is>
      </c>
      <c r="BA111" s="399" t="inlineStr">
        <is>
          <t>ST</t>
        </is>
      </c>
      <c r="BB111" s="402" t="inlineStr">
        <is>
          <t>ST</t>
        </is>
      </c>
      <c r="BC111" s="396" t="inlineStr">
        <is>
          <t>ST</t>
        </is>
      </c>
      <c r="BD111" s="396" t="inlineStr">
        <is>
          <t>ST</t>
        </is>
      </c>
      <c r="BE111" s="396" t="inlineStr">
        <is>
          <t>ST</t>
        </is>
      </c>
      <c r="BF111" s="399" t="inlineStr">
        <is>
          <t>ST</t>
        </is>
      </c>
      <c r="BG111" s="402" t="inlineStr">
        <is>
          <t>ST</t>
        </is>
      </c>
      <c r="BH111" s="396" t="inlineStr">
        <is>
          <t>ST</t>
        </is>
      </c>
      <c r="BI111" s="396" t="inlineStr">
        <is>
          <t>ST</t>
        </is>
      </c>
      <c r="BJ111" s="396" t="inlineStr">
        <is>
          <t>ST</t>
        </is>
      </c>
      <c r="BK111" s="399" t="inlineStr">
        <is>
          <t>ST</t>
        </is>
      </c>
      <c r="BL111" s="402" t="inlineStr">
        <is>
          <t>ST</t>
        </is>
      </c>
      <c r="BM111" s="396" t="inlineStr">
        <is>
          <t>ST</t>
        </is>
      </c>
      <c r="BN111" s="396" t="inlineStr">
        <is>
          <t>ST</t>
        </is>
      </c>
      <c r="BO111" s="396" t="inlineStr">
        <is>
          <t>ST</t>
        </is>
      </c>
      <c r="BP111" s="399" t="inlineStr">
        <is>
          <t>ST</t>
        </is>
      </c>
      <c r="BQ111" s="402" t="inlineStr">
        <is>
          <t>ST</t>
        </is>
      </c>
      <c r="BR111" s="396" t="inlineStr">
        <is>
          <t>ST</t>
        </is>
      </c>
      <c r="BS111" s="396" t="inlineStr">
        <is>
          <t>ST</t>
        </is>
      </c>
      <c r="BT111" s="399" t="inlineStr">
        <is>
          <t>ST</t>
        </is>
      </c>
      <c r="BU111" s="457" t="n"/>
      <c r="BV111" s="457" t="n"/>
      <c r="BW111" s="437" t="n"/>
      <c r="BX111" s="437" t="n"/>
      <c r="BY111" s="437" t="n"/>
      <c r="BZ111" s="437" t="n"/>
      <c r="CA111" s="437" t="n"/>
      <c r="CB111" s="437" t="n"/>
      <c r="CC111" s="437" t="n"/>
      <c r="CD111" s="437" t="n"/>
      <c r="CE111" s="437" t="n"/>
      <c r="CF111" s="437" t="n"/>
      <c r="CG111" s="437" t="n"/>
      <c r="CH111" s="437" t="n"/>
      <c r="CI111" s="437" t="n"/>
      <c r="CJ111" s="437" t="n"/>
      <c r="CK111" s="437" t="n"/>
      <c r="CL111" s="437" t="n"/>
      <c r="CM111" s="437" t="n"/>
      <c r="CN111" s="437" t="n"/>
      <c r="CO111" s="437" t="n"/>
      <c r="CP111" s="437" t="n"/>
      <c r="CQ111" s="437" t="n"/>
      <c r="CR111" s="437" t="n"/>
      <c r="CS111" s="437" t="n"/>
      <c r="CT111" s="437" t="n"/>
      <c r="CU111" s="437" t="n"/>
      <c r="CV111" s="437" t="n"/>
      <c r="CW111" s="437" t="n"/>
      <c r="CX111" s="437" t="n"/>
      <c r="CY111" s="437" t="n"/>
      <c r="CZ111" s="437" t="n"/>
      <c r="DA111" s="437" t="n"/>
      <c r="DB111" s="437" t="n"/>
      <c r="DC111" s="437" t="n"/>
      <c r="DD111" s="437" t="n"/>
      <c r="DE111" s="437" t="n"/>
      <c r="DF111" s="437" t="n"/>
      <c r="DG111" s="437" t="n"/>
      <c r="DH111" s="437" t="n"/>
      <c r="DI111" s="437" t="n"/>
      <c r="DJ111" s="437" t="n"/>
      <c r="DK111" s="437" t="n"/>
      <c r="DL111" s="437" t="n"/>
      <c r="DM111" s="437" t="n"/>
      <c r="DN111" s="437" t="n"/>
      <c r="DO111" s="437" t="n"/>
      <c r="DP111" s="437" t="n"/>
      <c r="DQ111" s="437" t="n"/>
      <c r="DR111" s="437" t="n"/>
      <c r="DS111" s="437" t="n"/>
      <c r="DT111" s="437" t="n"/>
      <c r="DU111" s="437" t="n"/>
      <c r="DV111" s="437" t="n"/>
      <c r="DW111" s="437" t="n"/>
      <c r="DX111" s="437" t="n"/>
      <c r="DY111" s="238" t="n"/>
      <c r="DZ111" s="23" t="n"/>
      <c r="FQ111" s="212" t="n"/>
      <c r="FR111" s="212" t="n"/>
      <c r="FS111" s="212" t="n"/>
      <c r="FT111" s="212" t="n"/>
      <c r="FU111" s="212" t="n"/>
      <c r="FV111" s="212" t="n"/>
      <c r="FW111" s="212" t="n"/>
      <c r="FX111" s="212" t="n"/>
      <c r="FY111" s="212" t="n"/>
      <c r="FZ111" s="212" t="n"/>
    </row>
    <row r="112" ht="36" customFormat="1" customHeight="1" s="5">
      <c r="A112" s="453" t="inlineStr">
        <is>
          <t>ELEVATION</t>
        </is>
      </c>
      <c r="B112" s="449" t="n"/>
      <c r="C112" s="18" t="inlineStr">
        <is>
          <t>LOC</t>
        </is>
      </c>
      <c r="D112" s="95" t="n">
        <v>1</v>
      </c>
      <c r="E112" s="96" t="n">
        <v>2</v>
      </c>
      <c r="F112" s="96" t="n">
        <v>3</v>
      </c>
      <c r="G112" s="96" t="n">
        <v>4</v>
      </c>
      <c r="H112" s="96" t="n">
        <v>5</v>
      </c>
      <c r="I112" s="96" t="n">
        <v>6</v>
      </c>
      <c r="J112" s="96" t="n">
        <v>7</v>
      </c>
      <c r="K112" s="96" t="n">
        <v>8</v>
      </c>
      <c r="L112" s="96" t="n">
        <v>9</v>
      </c>
      <c r="M112" s="96" t="n">
        <v>10</v>
      </c>
      <c r="N112" s="96" t="n">
        <v>11</v>
      </c>
      <c r="O112" s="96" t="n">
        <v>12</v>
      </c>
      <c r="P112" s="96" t="n">
        <v>13</v>
      </c>
      <c r="Q112" s="96" t="n">
        <v>14</v>
      </c>
      <c r="R112" s="96" t="n">
        <v>15</v>
      </c>
      <c r="S112" s="96" t="n">
        <v>16</v>
      </c>
      <c r="T112" s="96" t="n">
        <v>17</v>
      </c>
      <c r="U112" s="96" t="n">
        <v>18</v>
      </c>
      <c r="V112" s="96" t="n">
        <v>19</v>
      </c>
      <c r="W112" s="96" t="n">
        <v>20</v>
      </c>
      <c r="X112" s="96" t="n">
        <v>21</v>
      </c>
      <c r="Y112" s="96" t="n">
        <v>22</v>
      </c>
      <c r="Z112" s="96" t="n">
        <v>23</v>
      </c>
      <c r="AA112" s="96" t="n">
        <v>24</v>
      </c>
      <c r="AB112" s="96" t="n">
        <v>25</v>
      </c>
      <c r="AC112" s="96" t="n">
        <v>26</v>
      </c>
      <c r="AD112" s="96" t="n">
        <v>27</v>
      </c>
      <c r="AE112" s="96" t="n">
        <v>28</v>
      </c>
      <c r="AF112" s="96" t="n">
        <v>29</v>
      </c>
      <c r="AG112" s="96" t="n">
        <v>30</v>
      </c>
      <c r="AH112" s="96" t="n">
        <v>31</v>
      </c>
      <c r="AI112" s="96" t="n">
        <v>32</v>
      </c>
      <c r="AJ112" s="96" t="n">
        <v>33</v>
      </c>
      <c r="AK112" s="96" t="n">
        <v>34</v>
      </c>
      <c r="AL112" s="96" t="n">
        <v>35</v>
      </c>
      <c r="AM112" s="96" t="n">
        <v>36</v>
      </c>
      <c r="AN112" s="96" t="n">
        <v>37</v>
      </c>
      <c r="AO112" s="96" t="n">
        <v>38</v>
      </c>
      <c r="AP112" s="96" t="n">
        <v>39</v>
      </c>
      <c r="AQ112" s="96" t="n">
        <v>40</v>
      </c>
      <c r="AR112" s="96" t="n">
        <v>41</v>
      </c>
      <c r="AS112" s="96" t="n">
        <v>42</v>
      </c>
      <c r="AT112" s="96" t="n">
        <v>43</v>
      </c>
      <c r="AU112" s="96" t="n">
        <v>44</v>
      </c>
      <c r="AV112" s="96" t="n">
        <v>45</v>
      </c>
      <c r="AW112" s="96" t="n">
        <v>46</v>
      </c>
      <c r="AX112" s="96" t="n">
        <v>47</v>
      </c>
      <c r="AY112" s="96" t="n">
        <v>48</v>
      </c>
      <c r="AZ112" s="96" t="n">
        <v>49</v>
      </c>
      <c r="BA112" s="96" t="n">
        <v>50</v>
      </c>
      <c r="BB112" s="96" t="n">
        <v>51</v>
      </c>
      <c r="BC112" s="96" t="n">
        <v>52</v>
      </c>
      <c r="BD112" s="96" t="n">
        <v>53</v>
      </c>
      <c r="BE112" s="96" t="n">
        <v>54</v>
      </c>
      <c r="BF112" s="96" t="n">
        <v>55</v>
      </c>
      <c r="BG112" s="96" t="n">
        <v>56</v>
      </c>
      <c r="BH112" s="96" t="n">
        <v>57</v>
      </c>
      <c r="BI112" s="96" t="n">
        <v>58</v>
      </c>
      <c r="BJ112" s="96" t="n">
        <v>59</v>
      </c>
      <c r="BK112" s="96" t="n">
        <v>60</v>
      </c>
      <c r="BL112" s="96" t="n">
        <v>61</v>
      </c>
      <c r="BM112" s="96" t="n">
        <v>62</v>
      </c>
      <c r="BN112" s="96" t="n">
        <v>63</v>
      </c>
      <c r="BO112" s="96" t="n">
        <v>64</v>
      </c>
      <c r="BP112" s="96" t="n">
        <v>65</v>
      </c>
      <c r="BQ112" s="96" t="n">
        <v>66</v>
      </c>
      <c r="BR112" s="96" t="n">
        <v>67</v>
      </c>
      <c r="BS112" s="96" t="n">
        <v>68</v>
      </c>
      <c r="BT112" s="97" t="n">
        <v>69</v>
      </c>
      <c r="BU112" s="29" t="inlineStr">
        <is>
          <t>AVG</t>
        </is>
      </c>
      <c r="BV112" s="30" t="inlineStr">
        <is>
          <t>MIN</t>
        </is>
      </c>
      <c r="BW112" s="238" t="n"/>
      <c r="BX112" s="238" t="n"/>
      <c r="BY112" s="238" t="n"/>
      <c r="BZ112" s="238" t="n"/>
      <c r="CA112" s="238" t="n"/>
      <c r="CB112" s="238" t="n"/>
      <c r="CC112" s="238" t="n"/>
      <c r="CD112" s="238" t="n"/>
      <c r="CE112" s="238" t="n"/>
      <c r="CF112" s="238" t="n"/>
      <c r="CG112" s="238" t="n"/>
      <c r="CH112" s="238" t="n"/>
      <c r="CI112" s="238" t="n"/>
      <c r="CJ112" s="238" t="n"/>
      <c r="CK112" s="238" t="n"/>
      <c r="CL112" s="238" t="n"/>
      <c r="CM112" s="238" t="n"/>
      <c r="CN112" s="238" t="n"/>
      <c r="CO112" s="238" t="n"/>
      <c r="CP112" s="238" t="n"/>
      <c r="CQ112" s="238" t="n"/>
      <c r="CR112" s="238" t="n"/>
      <c r="CS112" s="238" t="n"/>
      <c r="CT112" s="238" t="n"/>
      <c r="CU112" s="238" t="n"/>
      <c r="CV112" s="238" t="n"/>
      <c r="CW112" s="238" t="n"/>
      <c r="CX112" s="238" t="n"/>
      <c r="CY112" s="238" t="n"/>
      <c r="CZ112" s="238" t="n"/>
      <c r="DA112" s="238" t="n"/>
      <c r="DB112" s="238" t="n"/>
      <c r="DC112" s="238" t="n"/>
      <c r="DD112" s="238" t="n"/>
      <c r="DE112" s="238" t="n"/>
      <c r="DF112" s="238" t="n"/>
      <c r="DG112" s="238" t="n"/>
      <c r="DH112" s="238" t="n"/>
      <c r="DI112" s="238" t="n"/>
      <c r="DJ112" s="238" t="n"/>
      <c r="DK112" s="238" t="n"/>
      <c r="DL112" s="238" t="n"/>
      <c r="DM112" s="238" t="n"/>
      <c r="DN112" s="238" t="n"/>
      <c r="DO112" s="238" t="n"/>
      <c r="DP112" s="238" t="n"/>
      <c r="DQ112" s="238" t="n"/>
      <c r="DR112" s="238" t="n"/>
      <c r="DS112" s="238" t="n"/>
      <c r="DT112" s="238" t="n"/>
      <c r="DU112" s="238" t="n"/>
      <c r="DV112" s="238" t="n"/>
      <c r="DW112" s="238" t="n"/>
      <c r="DX112" s="238" t="n"/>
      <c r="DY112" s="238" t="n"/>
      <c r="DZ112" s="23" t="n"/>
      <c r="FQ112" s="212" t="n"/>
      <c r="FR112" s="212" t="n"/>
      <c r="FS112" s="212" t="n"/>
      <c r="FT112" s="212" t="n"/>
      <c r="FU112" s="212" t="n"/>
      <c r="FV112" s="212" t="n"/>
      <c r="FW112" s="212" t="n"/>
      <c r="FX112" s="212" t="n"/>
      <c r="FY112" s="212" t="n"/>
      <c r="FZ112" s="212" t="n"/>
    </row>
    <row r="113" hidden="1" ht="36" customFormat="1" customHeight="1" s="5">
      <c r="A113" s="13" t="n"/>
      <c r="C113" s="238" t="n"/>
      <c r="D113" s="238" t="n"/>
      <c r="E113" s="238" t="n"/>
      <c r="F113" s="238" t="n"/>
      <c r="G113" s="238" t="n"/>
      <c r="H113" s="238" t="n"/>
      <c r="I113" s="238" t="n"/>
      <c r="J113" s="238" t="n"/>
      <c r="K113" s="238" t="n"/>
      <c r="L113" s="238" t="n"/>
      <c r="M113" s="238" t="n"/>
      <c r="N113" s="238" t="n"/>
      <c r="O113" s="238" t="n"/>
      <c r="P113" s="238" t="n"/>
      <c r="Q113" s="238" t="n"/>
      <c r="R113" s="238" t="n"/>
      <c r="S113" s="238" t="n"/>
      <c r="T113" s="238" t="n"/>
      <c r="U113" s="238" t="n"/>
      <c r="V113" s="238" t="n"/>
      <c r="W113" s="238" t="n"/>
      <c r="X113" s="238" t="n"/>
      <c r="Y113" s="238" t="n"/>
      <c r="Z113" s="238" t="n"/>
      <c r="AA113" s="238" t="n"/>
      <c r="AB113" s="238" t="n"/>
      <c r="AC113" s="238" t="n"/>
      <c r="AD113" s="238" t="n"/>
      <c r="AE113" s="238" t="n"/>
      <c r="AF113" s="238" t="n"/>
      <c r="AG113" s="238" t="n"/>
      <c r="AH113" s="238" t="n"/>
      <c r="AI113" s="238" t="n"/>
      <c r="AJ113" s="238" t="n"/>
      <c r="AK113" s="238" t="n"/>
      <c r="AL113" s="238" t="n"/>
      <c r="AM113" s="238" t="n"/>
      <c r="AN113" s="238" t="n"/>
      <c r="AO113" s="238" t="n"/>
      <c r="AP113" s="238" t="n"/>
      <c r="AQ113" s="238" t="n"/>
      <c r="AR113" s="238" t="n"/>
      <c r="AS113" s="238" t="n"/>
      <c r="AT113" s="238" t="n"/>
      <c r="AU113" s="238" t="n"/>
      <c r="AV113" s="238" t="n"/>
      <c r="AW113" s="238" t="n"/>
      <c r="AX113" s="238" t="n"/>
      <c r="AY113" s="238" t="n"/>
      <c r="AZ113" s="238" t="n"/>
      <c r="BA113" s="238" t="n"/>
      <c r="BB113" s="238" t="n"/>
      <c r="BC113" s="238" t="n"/>
      <c r="BD113" s="238" t="n"/>
      <c r="BE113" s="238" t="n"/>
      <c r="BF113" s="238" t="n"/>
      <c r="BG113" s="238" t="n"/>
      <c r="BH113" s="238" t="n"/>
      <c r="BI113" s="238" t="n"/>
      <c r="BJ113" s="238" t="n"/>
      <c r="BK113" s="238" t="n"/>
      <c r="BL113" s="238" t="n"/>
      <c r="BM113" s="238" t="n"/>
      <c r="BN113" s="238" t="n"/>
      <c r="BO113" s="238" t="n"/>
      <c r="BP113" s="238" t="n"/>
      <c r="BQ113" s="238" t="n"/>
      <c r="BR113" s="238" t="n"/>
      <c r="BS113" s="238" t="n"/>
      <c r="BT113" s="238" t="n"/>
      <c r="BU113" s="238" t="n"/>
      <c r="BV113" s="238" t="n"/>
      <c r="BW113" s="238" t="n"/>
      <c r="BX113" s="238" t="n"/>
      <c r="BY113" s="238" t="n"/>
      <c r="BZ113" s="238" t="n"/>
      <c r="CA113" s="238" t="n"/>
      <c r="CB113" s="238" t="n"/>
      <c r="CC113" s="238" t="n"/>
      <c r="CD113" s="238" t="n"/>
      <c r="CE113" s="238" t="n"/>
      <c r="CF113" s="238" t="n"/>
      <c r="CG113" s="238" t="n"/>
      <c r="CH113" s="238" t="n"/>
      <c r="CI113" s="238" t="n"/>
      <c r="CJ113" s="238" t="n"/>
      <c r="CK113" s="238" t="n"/>
      <c r="CL113" s="238" t="n"/>
      <c r="CM113" s="238" t="n"/>
      <c r="CN113" s="238" t="n"/>
      <c r="CO113" s="238" t="n"/>
      <c r="CP113" s="238" t="n"/>
      <c r="CQ113" s="238" t="n"/>
      <c r="CR113" s="238" t="n"/>
      <c r="CS113" s="238" t="n"/>
      <c r="CT113" s="238" t="n"/>
      <c r="CU113" s="238" t="n"/>
      <c r="CV113" s="238" t="n"/>
      <c r="CW113" s="238" t="n"/>
      <c r="CX113" s="238" t="n"/>
      <c r="CY113" s="238" t="n"/>
      <c r="CZ113" s="238" t="n"/>
      <c r="DA113" s="238" t="n"/>
      <c r="DB113" s="238" t="n"/>
      <c r="DC113" s="238" t="n"/>
      <c r="DD113" s="238" t="n"/>
      <c r="DE113" s="238" t="n"/>
      <c r="DF113" s="238" t="n"/>
      <c r="DG113" s="238" t="n"/>
      <c r="DH113" s="238" t="n"/>
      <c r="DI113" s="238" t="n"/>
      <c r="DJ113" s="238" t="n"/>
      <c r="DK113" s="238" t="n"/>
      <c r="DL113" s="238" t="n"/>
      <c r="DM113" s="238" t="n"/>
      <c r="DN113" s="238" t="n"/>
      <c r="DO113" s="238" t="n"/>
      <c r="DP113" s="238" t="n"/>
      <c r="DQ113" s="238" t="n"/>
      <c r="DR113" s="238" t="n"/>
      <c r="DS113" s="238" t="n"/>
      <c r="DT113" s="238" t="n"/>
      <c r="DU113" s="238" t="n"/>
      <c r="DV113" s="238" t="n"/>
      <c r="DW113" s="238" t="n"/>
      <c r="DX113" s="238" t="n"/>
      <c r="DY113" s="238" t="n"/>
      <c r="DZ113" s="23" t="n"/>
      <c r="FQ113" s="212" t="n"/>
      <c r="FR113" s="212" t="n"/>
      <c r="FS113" s="212" t="n"/>
      <c r="FT113" s="212" t="n"/>
      <c r="FU113" s="212" t="n"/>
      <c r="FV113" s="212" t="n"/>
      <c r="FW113" s="212" t="n"/>
      <c r="FX113" s="212" t="n"/>
      <c r="FY113" s="212" t="n"/>
      <c r="FZ113" s="212" t="n"/>
    </row>
    <row r="114" hidden="1" ht="36" customFormat="1" customHeight="1" s="5">
      <c r="A114" s="13" t="n"/>
      <c r="C114" s="238" t="n"/>
      <c r="D114" s="238" t="n"/>
      <c r="E114" s="238" t="n"/>
      <c r="F114" s="238" t="n"/>
      <c r="G114" s="238" t="n"/>
      <c r="H114" s="238" t="n"/>
      <c r="I114" s="238" t="n"/>
      <c r="J114" s="238" t="n"/>
      <c r="K114" s="238" t="n"/>
      <c r="L114" s="238" t="n"/>
      <c r="M114" s="238" t="n"/>
      <c r="N114" s="238" t="n"/>
      <c r="O114" s="238" t="n"/>
      <c r="P114" s="238" t="n"/>
      <c r="Q114" s="238" t="n"/>
      <c r="R114" s="238" t="n"/>
      <c r="S114" s="238" t="n"/>
      <c r="T114" s="238" t="n"/>
      <c r="U114" s="238" t="n"/>
      <c r="V114" s="238" t="n"/>
      <c r="W114" s="238" t="n"/>
      <c r="X114" s="238" t="n"/>
      <c r="Y114" s="238" t="n"/>
      <c r="Z114" s="238" t="n"/>
      <c r="AA114" s="238" t="n"/>
      <c r="AB114" s="238" t="n"/>
      <c r="AC114" s="238" t="n"/>
      <c r="AD114" s="238" t="n"/>
      <c r="AE114" s="238" t="n"/>
      <c r="AF114" s="238" t="n"/>
      <c r="AG114" s="238" t="n"/>
      <c r="AH114" s="238" t="n"/>
      <c r="AI114" s="238" t="n"/>
      <c r="AJ114" s="238" t="n"/>
      <c r="AK114" s="238" t="n"/>
      <c r="AL114" s="238" t="n"/>
      <c r="AM114" s="238" t="n"/>
      <c r="AN114" s="238" t="n"/>
      <c r="AO114" s="238" t="n"/>
      <c r="AP114" s="238" t="n"/>
      <c r="AQ114" s="238" t="n"/>
      <c r="AR114" s="238" t="n"/>
      <c r="AS114" s="238" t="n"/>
      <c r="AT114" s="238" t="n"/>
      <c r="AU114" s="238" t="n"/>
      <c r="AV114" s="238" t="n"/>
      <c r="AW114" s="238" t="n"/>
      <c r="AX114" s="238" t="n"/>
      <c r="AY114" s="238" t="n"/>
      <c r="AZ114" s="238" t="n"/>
      <c r="BA114" s="238" t="n"/>
      <c r="BB114" s="238" t="n"/>
      <c r="BC114" s="238" t="n"/>
      <c r="BD114" s="238" t="n"/>
      <c r="BE114" s="238" t="n"/>
      <c r="BF114" s="238" t="n"/>
      <c r="BG114" s="238" t="n"/>
      <c r="BH114" s="238" t="n"/>
      <c r="BI114" s="238" t="n"/>
      <c r="BJ114" s="238" t="n"/>
      <c r="BK114" s="238" t="n"/>
      <c r="BL114" s="238" t="n"/>
      <c r="BM114" s="238" t="n"/>
      <c r="BN114" s="238" t="n"/>
      <c r="BO114" s="238" t="n"/>
      <c r="BP114" s="238" t="n"/>
      <c r="BQ114" s="238" t="n"/>
      <c r="BR114" s="238" t="n"/>
      <c r="BS114" s="238" t="n"/>
      <c r="BT114" s="238" t="n"/>
      <c r="BU114" s="238" t="n"/>
      <c r="BV114" s="238" t="n"/>
      <c r="BW114" s="238" t="n"/>
      <c r="BX114" s="238" t="n"/>
      <c r="BY114" s="238" t="n"/>
      <c r="BZ114" s="238" t="n"/>
      <c r="CA114" s="238" t="n"/>
      <c r="CB114" s="238" t="n"/>
      <c r="CC114" s="238" t="n"/>
      <c r="CD114" s="238" t="n"/>
      <c r="CE114" s="238" t="n"/>
      <c r="CF114" s="238" t="n"/>
      <c r="CG114" s="238" t="n"/>
      <c r="CH114" s="238" t="n"/>
      <c r="CI114" s="238" t="n"/>
      <c r="CJ114" s="238" t="n"/>
      <c r="CK114" s="238" t="n"/>
      <c r="CL114" s="238" t="n"/>
      <c r="CM114" s="238" t="n"/>
      <c r="CN114" s="238" t="n"/>
      <c r="CO114" s="238" t="n"/>
      <c r="CP114" s="238" t="n"/>
      <c r="CQ114" s="238" t="n"/>
      <c r="CR114" s="238" t="n"/>
      <c r="CS114" s="238" t="n"/>
      <c r="CT114" s="238" t="n"/>
      <c r="CU114" s="238" t="n"/>
      <c r="CV114" s="238" t="n"/>
      <c r="CW114" s="238" t="n"/>
      <c r="CX114" s="238" t="n"/>
      <c r="CY114" s="238" t="n"/>
      <c r="CZ114" s="238" t="n"/>
      <c r="DA114" s="238" t="n"/>
      <c r="DB114" s="238" t="n"/>
      <c r="DC114" s="238" t="n"/>
      <c r="DD114" s="238" t="n"/>
      <c r="DE114" s="238" t="n"/>
      <c r="DF114" s="238" t="n"/>
      <c r="DG114" s="238" t="n"/>
      <c r="DH114" s="238" t="n"/>
      <c r="DI114" s="238" t="n"/>
      <c r="DJ114" s="238" t="n"/>
      <c r="DK114" s="238" t="n"/>
      <c r="DL114" s="238" t="n"/>
      <c r="DM114" s="238" t="n"/>
      <c r="DN114" s="238" t="n"/>
      <c r="DO114" s="238" t="n"/>
      <c r="DP114" s="238" t="n"/>
      <c r="DQ114" s="238" t="n"/>
      <c r="DR114" s="238" t="n"/>
      <c r="DS114" s="238" t="n"/>
      <c r="DT114" s="238" t="n"/>
      <c r="DU114" s="238" t="n"/>
      <c r="DV114" s="238" t="n"/>
      <c r="DW114" s="238" t="n"/>
      <c r="DX114" s="238" t="n"/>
      <c r="DY114" s="238" t="n"/>
      <c r="DZ114" s="23" t="n"/>
      <c r="FQ114" s="212" t="n"/>
      <c r="FR114" s="212" t="n"/>
      <c r="FS114" s="212" t="n"/>
      <c r="FT114" s="212" t="n"/>
      <c r="FU114" s="212" t="n"/>
      <c r="FV114" s="212" t="n"/>
      <c r="FW114" s="212" t="n"/>
      <c r="FX114" s="212" t="n"/>
      <c r="FY114" s="212" t="n"/>
      <c r="FZ114" s="212" t="n"/>
    </row>
    <row r="115" hidden="1" ht="36" customFormat="1" customHeight="1" s="5">
      <c r="A115" s="13" t="n"/>
      <c r="C115" s="238" t="n"/>
      <c r="D115" s="238" t="n"/>
      <c r="E115" s="238" t="n"/>
      <c r="F115" s="238" t="n"/>
      <c r="G115" s="238" t="n"/>
      <c r="H115" s="238" t="n"/>
      <c r="I115" s="238" t="n"/>
      <c r="J115" s="238" t="n"/>
      <c r="K115" s="238" t="n"/>
      <c r="L115" s="238" t="n"/>
      <c r="M115" s="238" t="n"/>
      <c r="N115" s="238" t="n"/>
      <c r="O115" s="238" t="n"/>
      <c r="P115" s="238" t="n"/>
      <c r="Q115" s="238" t="n"/>
      <c r="R115" s="238" t="n"/>
      <c r="S115" s="238" t="n"/>
      <c r="T115" s="238" t="n"/>
      <c r="U115" s="238" t="n"/>
      <c r="V115" s="238" t="n"/>
      <c r="W115" s="238" t="n"/>
      <c r="X115" s="238" t="n"/>
      <c r="Y115" s="238" t="n"/>
      <c r="Z115" s="238" t="n"/>
      <c r="AA115" s="238" t="n"/>
      <c r="AB115" s="238" t="n"/>
      <c r="AC115" s="238" t="n"/>
      <c r="AD115" s="238" t="n"/>
      <c r="AE115" s="238" t="n"/>
      <c r="AF115" s="238" t="n"/>
      <c r="AG115" s="238" t="n"/>
      <c r="AH115" s="238" t="n"/>
      <c r="AI115" s="238" t="n"/>
      <c r="AJ115" s="238" t="n"/>
      <c r="AK115" s="238" t="n"/>
      <c r="AL115" s="238" t="n"/>
      <c r="AM115" s="238" t="n"/>
      <c r="AN115" s="238" t="n"/>
      <c r="AO115" s="238" t="n"/>
      <c r="AP115" s="238" t="n"/>
      <c r="AQ115" s="238" t="n"/>
      <c r="AR115" s="238" t="n"/>
      <c r="AS115" s="238" t="n"/>
      <c r="AT115" s="238" t="n"/>
      <c r="AU115" s="238" t="n"/>
      <c r="AV115" s="238" t="n"/>
      <c r="AW115" s="238" t="n"/>
      <c r="AX115" s="238" t="n"/>
      <c r="AY115" s="238" t="n"/>
      <c r="AZ115" s="238" t="n"/>
      <c r="BA115" s="238" t="n"/>
      <c r="BB115" s="238" t="n"/>
      <c r="BC115" s="238" t="n"/>
      <c r="BD115" s="238" t="n"/>
      <c r="BE115" s="238" t="n"/>
      <c r="BF115" s="238" t="n"/>
      <c r="BG115" s="238" t="n"/>
      <c r="BH115" s="238" t="n"/>
      <c r="BI115" s="238" t="n"/>
      <c r="BJ115" s="238" t="n"/>
      <c r="BK115" s="238" t="n"/>
      <c r="BL115" s="238" t="n"/>
      <c r="BM115" s="238" t="n"/>
      <c r="BN115" s="238" t="n"/>
      <c r="BO115" s="238" t="n"/>
      <c r="BP115" s="238" t="n"/>
      <c r="BQ115" s="238" t="n"/>
      <c r="BR115" s="238" t="n"/>
      <c r="BS115" s="238" t="n"/>
      <c r="BT115" s="238" t="n"/>
      <c r="BU115" s="238" t="n"/>
      <c r="BV115" s="238" t="n"/>
      <c r="BW115" s="238" t="n"/>
      <c r="BX115" s="238" t="n"/>
      <c r="BY115" s="238" t="n"/>
      <c r="BZ115" s="238" t="n"/>
      <c r="CA115" s="238" t="n"/>
      <c r="CB115" s="238" t="n"/>
      <c r="CC115" s="238" t="n"/>
      <c r="CD115" s="238" t="n"/>
      <c r="CE115" s="238" t="n"/>
      <c r="CF115" s="238" t="n"/>
      <c r="CG115" s="238" t="n"/>
      <c r="CH115" s="238" t="n"/>
      <c r="CI115" s="238" t="n"/>
      <c r="CJ115" s="238" t="n"/>
      <c r="CK115" s="238" t="n"/>
      <c r="CL115" s="238" t="n"/>
      <c r="CM115" s="238" t="n"/>
      <c r="CN115" s="238" t="n"/>
      <c r="CO115" s="238" t="n"/>
      <c r="CP115" s="238" t="n"/>
      <c r="CQ115" s="238" t="n"/>
      <c r="CR115" s="238" t="n"/>
      <c r="CS115" s="238" t="n"/>
      <c r="CT115" s="238" t="n"/>
      <c r="CU115" s="238" t="n"/>
      <c r="CV115" s="238" t="n"/>
      <c r="CW115" s="238" t="n"/>
      <c r="CX115" s="238" t="n"/>
      <c r="CY115" s="238" t="n"/>
      <c r="CZ115" s="238" t="n"/>
      <c r="DA115" s="238" t="n"/>
      <c r="DB115" s="238" t="n"/>
      <c r="DC115" s="238" t="n"/>
      <c r="DD115" s="238" t="n"/>
      <c r="DE115" s="238" t="n"/>
      <c r="DF115" s="238" t="n"/>
      <c r="DG115" s="238" t="n"/>
      <c r="DH115" s="238" t="n"/>
      <c r="DI115" s="238" t="n"/>
      <c r="DJ115" s="238" t="n"/>
      <c r="DK115" s="238" t="n"/>
      <c r="DL115" s="238" t="n"/>
      <c r="DM115" s="238" t="n"/>
      <c r="DN115" s="238" t="n"/>
      <c r="DO115" s="238" t="n"/>
      <c r="DP115" s="238" t="n"/>
      <c r="DQ115" s="238" t="n"/>
      <c r="DR115" s="238" t="n"/>
      <c r="DS115" s="238" t="n"/>
      <c r="DT115" s="238" t="n"/>
      <c r="DU115" s="238" t="n"/>
      <c r="DV115" s="238" t="n"/>
      <c r="DW115" s="238" t="n"/>
      <c r="DX115" s="238" t="n"/>
      <c r="DY115" s="238" t="n"/>
      <c r="DZ115" s="23" t="n"/>
      <c r="FQ115" s="212" t="n"/>
      <c r="FR115" s="212" t="n"/>
      <c r="FS115" s="212" t="n"/>
      <c r="FT115" s="212" t="n"/>
      <c r="FU115" s="212" t="n"/>
      <c r="FV115" s="212" t="n"/>
      <c r="FW115" s="212" t="n"/>
      <c r="FX115" s="212" t="n"/>
      <c r="FY115" s="212" t="n"/>
      <c r="FZ115" s="212" t="n"/>
    </row>
    <row r="116" hidden="1" ht="36" customFormat="1" customHeight="1" s="5">
      <c r="A116" s="13" t="n"/>
      <c r="C116" s="238" t="n"/>
      <c r="D116" s="238" t="n"/>
      <c r="E116" s="238" t="n"/>
      <c r="F116" s="238" t="n"/>
      <c r="G116" s="238" t="n"/>
      <c r="H116" s="238" t="n"/>
      <c r="I116" s="238" t="n"/>
      <c r="J116" s="238" t="n"/>
      <c r="K116" s="238" t="n"/>
      <c r="L116" s="238" t="n"/>
      <c r="M116" s="238" t="n"/>
      <c r="N116" s="238" t="n"/>
      <c r="O116" s="238" t="n"/>
      <c r="P116" s="238" t="n"/>
      <c r="Q116" s="238" t="n"/>
      <c r="R116" s="238" t="n"/>
      <c r="S116" s="238" t="n"/>
      <c r="T116" s="238" t="n"/>
      <c r="U116" s="238" t="n"/>
      <c r="V116" s="238" t="n"/>
      <c r="W116" s="238" t="n"/>
      <c r="X116" s="238" t="n"/>
      <c r="Y116" s="238" t="n"/>
      <c r="Z116" s="238" t="n"/>
      <c r="AA116" s="238" t="n"/>
      <c r="AB116" s="238" t="n"/>
      <c r="AC116" s="238" t="n"/>
      <c r="AD116" s="238" t="n"/>
      <c r="AE116" s="238" t="n"/>
      <c r="AF116" s="238" t="n"/>
      <c r="AG116" s="238" t="n"/>
      <c r="AH116" s="238" t="n"/>
      <c r="AI116" s="238" t="n"/>
      <c r="AJ116" s="238" t="n"/>
      <c r="AK116" s="238" t="n"/>
      <c r="AL116" s="238" t="n"/>
      <c r="AM116" s="238" t="n"/>
      <c r="AN116" s="238" t="n"/>
      <c r="AO116" s="238" t="n"/>
      <c r="AP116" s="238" t="n"/>
      <c r="AQ116" s="238" t="n"/>
      <c r="AR116" s="238" t="n"/>
      <c r="AS116" s="238" t="n"/>
      <c r="AT116" s="238" t="n"/>
      <c r="AU116" s="238" t="n"/>
      <c r="AV116" s="238" t="n"/>
      <c r="AW116" s="238" t="n"/>
      <c r="AX116" s="238" t="n"/>
      <c r="AY116" s="238" t="n"/>
      <c r="AZ116" s="238" t="n"/>
      <c r="BA116" s="238" t="n"/>
      <c r="BB116" s="238" t="n"/>
      <c r="BC116" s="238" t="n"/>
      <c r="BD116" s="238" t="n"/>
      <c r="BE116" s="238" t="n"/>
      <c r="BF116" s="238" t="n"/>
      <c r="BG116" s="238" t="n"/>
      <c r="BH116" s="238" t="n"/>
      <c r="BI116" s="238" t="n"/>
      <c r="BJ116" s="238" t="n"/>
      <c r="BK116" s="238" t="n"/>
      <c r="BL116" s="238" t="n"/>
      <c r="BM116" s="238" t="n"/>
      <c r="BN116" s="238" t="n"/>
      <c r="BO116" s="238" t="n"/>
      <c r="BP116" s="238" t="n"/>
      <c r="BQ116" s="238" t="n"/>
      <c r="BR116" s="238" t="n"/>
      <c r="BS116" s="238" t="n"/>
      <c r="BT116" s="238" t="n"/>
      <c r="BU116" s="238" t="n"/>
      <c r="BV116" s="238" t="n"/>
      <c r="BW116" s="238" t="n"/>
      <c r="BX116" s="238" t="n"/>
      <c r="BY116" s="238" t="n"/>
      <c r="BZ116" s="238" t="n"/>
      <c r="CA116" s="238" t="n"/>
      <c r="CB116" s="238" t="n"/>
      <c r="CC116" s="238" t="n"/>
      <c r="CD116" s="238" t="n"/>
      <c r="CE116" s="238" t="n"/>
      <c r="CF116" s="238" t="n"/>
      <c r="CG116" s="238" t="n"/>
      <c r="CH116" s="238" t="n"/>
      <c r="CI116" s="238" t="n"/>
      <c r="CJ116" s="238" t="n"/>
      <c r="CK116" s="238" t="n"/>
      <c r="CL116" s="238" t="n"/>
      <c r="CM116" s="238" t="n"/>
      <c r="CN116" s="238" t="n"/>
      <c r="CO116" s="238" t="n"/>
      <c r="CP116" s="238" t="n"/>
      <c r="CQ116" s="238" t="n"/>
      <c r="CR116" s="238" t="n"/>
      <c r="CS116" s="238" t="n"/>
      <c r="CT116" s="238" t="n"/>
      <c r="CU116" s="238" t="n"/>
      <c r="CV116" s="238" t="n"/>
      <c r="CW116" s="238" t="n"/>
      <c r="CX116" s="238" t="n"/>
      <c r="CY116" s="238" t="n"/>
      <c r="CZ116" s="238" t="n"/>
      <c r="DA116" s="238" t="n"/>
      <c r="DB116" s="238" t="n"/>
      <c r="DC116" s="238" t="n"/>
      <c r="DD116" s="238" t="n"/>
      <c r="DE116" s="238" t="n"/>
      <c r="DF116" s="238" t="n"/>
      <c r="DG116" s="238" t="n"/>
      <c r="DH116" s="238" t="n"/>
      <c r="DI116" s="238" t="n"/>
      <c r="DJ116" s="238" t="n"/>
      <c r="DK116" s="238" t="n"/>
      <c r="DL116" s="238" t="n"/>
      <c r="DM116" s="238" t="n"/>
      <c r="DN116" s="238" t="n"/>
      <c r="DO116" s="238" t="n"/>
      <c r="DP116" s="238" t="n"/>
      <c r="DQ116" s="238" t="n"/>
      <c r="DR116" s="238" t="n"/>
      <c r="DS116" s="238" t="n"/>
      <c r="DT116" s="238" t="n"/>
      <c r="DU116" s="238" t="n"/>
      <c r="DV116" s="238" t="n"/>
      <c r="DW116" s="238" t="n"/>
      <c r="DX116" s="238" t="n"/>
      <c r="DY116" s="238" t="n"/>
      <c r="DZ116" s="23" t="n"/>
      <c r="FQ116" s="212" t="n"/>
      <c r="FR116" s="212" t="n"/>
      <c r="FS116" s="212" t="n"/>
      <c r="FT116" s="212" t="n"/>
      <c r="FU116" s="212" t="n"/>
      <c r="FV116" s="212" t="n"/>
      <c r="FW116" s="212" t="n"/>
      <c r="FX116" s="212" t="n"/>
      <c r="FY116" s="212" t="n"/>
      <c r="FZ116" s="212" t="n"/>
    </row>
    <row r="117" hidden="1" ht="36" customFormat="1" customHeight="1" s="5">
      <c r="A117" s="13" t="n"/>
      <c r="C117" s="238" t="n"/>
      <c r="D117" s="238" t="n"/>
      <c r="E117" s="238" t="n"/>
      <c r="F117" s="238" t="n"/>
      <c r="G117" s="238" t="n"/>
      <c r="H117" s="238" t="n"/>
      <c r="I117" s="238" t="n"/>
      <c r="J117" s="238" t="n"/>
      <c r="K117" s="238" t="n"/>
      <c r="L117" s="238" t="n"/>
      <c r="M117" s="238" t="n"/>
      <c r="N117" s="238" t="n"/>
      <c r="O117" s="238" t="n"/>
      <c r="P117" s="238" t="n"/>
      <c r="Q117" s="238" t="n"/>
      <c r="R117" s="238" t="n"/>
      <c r="S117" s="238" t="n"/>
      <c r="T117" s="238" t="n"/>
      <c r="U117" s="238" t="n"/>
      <c r="V117" s="238" t="n"/>
      <c r="W117" s="238" t="n"/>
      <c r="X117" s="238" t="n"/>
      <c r="Y117" s="238" t="n"/>
      <c r="Z117" s="238" t="n"/>
      <c r="AA117" s="238" t="n"/>
      <c r="AB117" s="238" t="n"/>
      <c r="AC117" s="238" t="n"/>
      <c r="AD117" s="238" t="n"/>
      <c r="AE117" s="238" t="n"/>
      <c r="AF117" s="238" t="n"/>
      <c r="AG117" s="238" t="n"/>
      <c r="AH117" s="238" t="n"/>
      <c r="AI117" s="238" t="n"/>
      <c r="AJ117" s="238" t="n"/>
      <c r="AK117" s="238" t="n"/>
      <c r="AL117" s="238" t="n"/>
      <c r="AM117" s="238" t="n"/>
      <c r="AN117" s="238" t="n"/>
      <c r="AO117" s="238" t="n"/>
      <c r="AP117" s="238" t="n"/>
      <c r="AQ117" s="238" t="n"/>
      <c r="AR117" s="238" t="n"/>
      <c r="AS117" s="238" t="n"/>
      <c r="AT117" s="238" t="n"/>
      <c r="AU117" s="238" t="n"/>
      <c r="AV117" s="238" t="n"/>
      <c r="AW117" s="238" t="n"/>
      <c r="AX117" s="238" t="n"/>
      <c r="AY117" s="238" t="n"/>
      <c r="AZ117" s="238" t="n"/>
      <c r="BA117" s="238" t="n"/>
      <c r="BB117" s="238" t="n"/>
      <c r="BC117" s="238" t="n"/>
      <c r="BD117" s="238" t="n"/>
      <c r="BE117" s="238" t="n"/>
      <c r="BF117" s="238" t="n"/>
      <c r="BG117" s="238" t="n"/>
      <c r="BH117" s="238" t="n"/>
      <c r="BI117" s="238" t="n"/>
      <c r="BJ117" s="238" t="n"/>
      <c r="BK117" s="238" t="n"/>
      <c r="BL117" s="238" t="n"/>
      <c r="BM117" s="238" t="n"/>
      <c r="BN117" s="238" t="n"/>
      <c r="BO117" s="238" t="n"/>
      <c r="BP117" s="238" t="n"/>
      <c r="BQ117" s="238" t="n"/>
      <c r="BR117" s="238" t="n"/>
      <c r="BS117" s="238" t="n"/>
      <c r="BT117" s="238" t="n"/>
      <c r="BU117" s="238" t="n"/>
      <c r="BV117" s="238" t="n"/>
      <c r="BW117" s="238" t="n"/>
      <c r="BX117" s="238" t="n"/>
      <c r="BY117" s="238" t="n"/>
      <c r="BZ117" s="238" t="n"/>
      <c r="CA117" s="238" t="n"/>
      <c r="CB117" s="238" t="n"/>
      <c r="CC117" s="238" t="n"/>
      <c r="CD117" s="238" t="n"/>
      <c r="CE117" s="238" t="n"/>
      <c r="CF117" s="238" t="n"/>
      <c r="CG117" s="238" t="n"/>
      <c r="CH117" s="238" t="n"/>
      <c r="CI117" s="238" t="n"/>
      <c r="CJ117" s="238" t="n"/>
      <c r="CK117" s="238" t="n"/>
      <c r="CL117" s="238" t="n"/>
      <c r="CM117" s="238" t="n"/>
      <c r="CN117" s="238" t="n"/>
      <c r="CO117" s="238" t="n"/>
      <c r="CP117" s="238" t="n"/>
      <c r="CQ117" s="238" t="n"/>
      <c r="CR117" s="238" t="n"/>
      <c r="CS117" s="238" t="n"/>
      <c r="CT117" s="238" t="n"/>
      <c r="CU117" s="238" t="n"/>
      <c r="CV117" s="238" t="n"/>
      <c r="CW117" s="238" t="n"/>
      <c r="CX117" s="238" t="n"/>
      <c r="CY117" s="238" t="n"/>
      <c r="CZ117" s="238" t="n"/>
      <c r="DA117" s="238" t="n"/>
      <c r="DB117" s="238" t="n"/>
      <c r="DC117" s="238" t="n"/>
      <c r="DD117" s="238" t="n"/>
      <c r="DE117" s="238" t="n"/>
      <c r="DF117" s="238" t="n"/>
      <c r="DG117" s="238" t="n"/>
      <c r="DH117" s="238" t="n"/>
      <c r="DI117" s="238" t="n"/>
      <c r="DJ117" s="238" t="n"/>
      <c r="DK117" s="238" t="n"/>
      <c r="DL117" s="238" t="n"/>
      <c r="DM117" s="238" t="n"/>
      <c r="DN117" s="238" t="n"/>
      <c r="DO117" s="238" t="n"/>
      <c r="DP117" s="238" t="n"/>
      <c r="DQ117" s="238" t="n"/>
      <c r="DR117" s="238" t="n"/>
      <c r="DS117" s="238" t="n"/>
      <c r="DT117" s="238" t="n"/>
      <c r="DU117" s="238" t="n"/>
      <c r="DV117" s="238" t="n"/>
      <c r="DW117" s="238" t="n"/>
      <c r="DX117" s="238" t="n"/>
      <c r="DY117" s="238" t="n"/>
      <c r="DZ117" s="23" t="n"/>
      <c r="FQ117" s="212" t="n"/>
      <c r="FR117" s="212" t="n"/>
      <c r="FS117" s="212" t="n"/>
      <c r="FT117" s="212" t="n"/>
      <c r="FU117" s="212" t="n"/>
      <c r="FV117" s="212" t="n"/>
      <c r="FW117" s="212" t="n"/>
      <c r="FX117" s="212" t="n"/>
      <c r="FY117" s="212" t="n"/>
      <c r="FZ117" s="212" t="n"/>
    </row>
    <row r="118" hidden="1" ht="36" customFormat="1" customHeight="1" s="5">
      <c r="A118" s="13" t="n"/>
      <c r="C118" s="238" t="n"/>
      <c r="D118" s="238" t="n"/>
      <c r="E118" s="238" t="n"/>
      <c r="F118" s="238" t="n"/>
      <c r="G118" s="238" t="n"/>
      <c r="H118" s="238" t="n"/>
      <c r="I118" s="238" t="n"/>
      <c r="J118" s="238" t="n"/>
      <c r="K118" s="238" t="n"/>
      <c r="L118" s="238" t="n"/>
      <c r="M118" s="238" t="n"/>
      <c r="N118" s="238" t="n"/>
      <c r="O118" s="238" t="n"/>
      <c r="P118" s="238" t="n"/>
      <c r="Q118" s="238" t="n"/>
      <c r="R118" s="238" t="n"/>
      <c r="S118" s="238" t="n"/>
      <c r="T118" s="238" t="n"/>
      <c r="U118" s="238" t="n"/>
      <c r="V118" s="238" t="n"/>
      <c r="W118" s="238" t="n"/>
      <c r="X118" s="238" t="n"/>
      <c r="Y118" s="238" t="n"/>
      <c r="Z118" s="238" t="n"/>
      <c r="AA118" s="238" t="n"/>
      <c r="AB118" s="238" t="n"/>
      <c r="AC118" s="238" t="n"/>
      <c r="AD118" s="238" t="n"/>
      <c r="AE118" s="238" t="n"/>
      <c r="AF118" s="238" t="n"/>
      <c r="AG118" s="238" t="n"/>
      <c r="AH118" s="238" t="n"/>
      <c r="AI118" s="238" t="n"/>
      <c r="AJ118" s="238" t="n"/>
      <c r="AK118" s="238" t="n"/>
      <c r="AL118" s="238" t="n"/>
      <c r="AM118" s="238" t="n"/>
      <c r="AN118" s="238" t="n"/>
      <c r="AO118" s="238" t="n"/>
      <c r="AP118" s="238" t="n"/>
      <c r="AQ118" s="238" t="n"/>
      <c r="AR118" s="238" t="n"/>
      <c r="AS118" s="238" t="n"/>
      <c r="AT118" s="238" t="n"/>
      <c r="AU118" s="238" t="n"/>
      <c r="AV118" s="238" t="n"/>
      <c r="AW118" s="238" t="n"/>
      <c r="AX118" s="238" t="n"/>
      <c r="AY118" s="238" t="n"/>
      <c r="AZ118" s="238" t="n"/>
      <c r="BA118" s="238" t="n"/>
      <c r="BB118" s="238" t="n"/>
      <c r="BC118" s="238" t="n"/>
      <c r="BD118" s="238" t="n"/>
      <c r="BE118" s="238" t="n"/>
      <c r="BF118" s="238" t="n"/>
      <c r="BG118" s="238" t="n"/>
      <c r="BH118" s="238" t="n"/>
      <c r="BI118" s="238" t="n"/>
      <c r="BJ118" s="238" t="n"/>
      <c r="BK118" s="238" t="n"/>
      <c r="BL118" s="238" t="n"/>
      <c r="BM118" s="238" t="n"/>
      <c r="BN118" s="238" t="n"/>
      <c r="BO118" s="238" t="n"/>
      <c r="BP118" s="238" t="n"/>
      <c r="BQ118" s="238" t="n"/>
      <c r="BR118" s="238" t="n"/>
      <c r="BS118" s="238" t="n"/>
      <c r="BT118" s="238" t="n"/>
      <c r="BU118" s="238" t="n"/>
      <c r="BV118" s="238" t="n"/>
      <c r="BW118" s="238" t="n"/>
      <c r="BX118" s="238" t="n"/>
      <c r="BY118" s="238" t="n"/>
      <c r="BZ118" s="238" t="n"/>
      <c r="CA118" s="238" t="n"/>
      <c r="CB118" s="238" t="n"/>
      <c r="CC118" s="238" t="n"/>
      <c r="CD118" s="238" t="n"/>
      <c r="CE118" s="238" t="n"/>
      <c r="CF118" s="238" t="n"/>
      <c r="CG118" s="238" t="n"/>
      <c r="CH118" s="238" t="n"/>
      <c r="CI118" s="238" t="n"/>
      <c r="CJ118" s="238" t="n"/>
      <c r="CK118" s="238" t="n"/>
      <c r="CL118" s="238" t="n"/>
      <c r="CM118" s="238" t="n"/>
      <c r="CN118" s="238" t="n"/>
      <c r="CO118" s="238" t="n"/>
      <c r="CP118" s="238" t="n"/>
      <c r="CQ118" s="238" t="n"/>
      <c r="CR118" s="238" t="n"/>
      <c r="CS118" s="238" t="n"/>
      <c r="CT118" s="238" t="n"/>
      <c r="CU118" s="238" t="n"/>
      <c r="CV118" s="238" t="n"/>
      <c r="CW118" s="238" t="n"/>
      <c r="CX118" s="238" t="n"/>
      <c r="CY118" s="238" t="n"/>
      <c r="CZ118" s="238" t="n"/>
      <c r="DA118" s="238" t="n"/>
      <c r="DB118" s="238" t="n"/>
      <c r="DC118" s="238" t="n"/>
      <c r="DD118" s="238" t="n"/>
      <c r="DE118" s="238" t="n"/>
      <c r="DF118" s="238" t="n"/>
      <c r="DG118" s="238" t="n"/>
      <c r="DH118" s="238" t="n"/>
      <c r="DI118" s="238" t="n"/>
      <c r="DJ118" s="238" t="n"/>
      <c r="DK118" s="238" t="n"/>
      <c r="DL118" s="238" t="n"/>
      <c r="DM118" s="238" t="n"/>
      <c r="DN118" s="238" t="n"/>
      <c r="DO118" s="238" t="n"/>
      <c r="DP118" s="238" t="n"/>
      <c r="DQ118" s="238" t="n"/>
      <c r="DR118" s="238" t="n"/>
      <c r="DS118" s="238" t="n"/>
      <c r="DT118" s="238" t="n"/>
      <c r="DU118" s="238" t="n"/>
      <c r="DV118" s="238" t="n"/>
      <c r="DW118" s="238" t="n"/>
      <c r="DX118" s="238" t="n"/>
      <c r="DY118" s="238" t="n"/>
      <c r="DZ118" s="23" t="n"/>
      <c r="FQ118" s="212" t="n"/>
      <c r="FR118" s="212" t="n"/>
      <c r="FS118" s="212" t="n"/>
      <c r="FT118" s="212" t="n"/>
      <c r="FU118" s="212" t="n"/>
      <c r="FV118" s="212" t="n"/>
      <c r="FW118" s="212" t="n"/>
      <c r="FX118" s="212" t="n"/>
      <c r="FY118" s="212" t="n"/>
      <c r="FZ118" s="212" t="n"/>
    </row>
    <row r="119" hidden="1" ht="36" customFormat="1" customHeight="1" s="5">
      <c r="A119" s="13" t="n"/>
      <c r="C119" s="238" t="n"/>
      <c r="D119" s="238" t="n"/>
      <c r="E119" s="238" t="n"/>
      <c r="F119" s="238" t="n"/>
      <c r="G119" s="238" t="n"/>
      <c r="H119" s="238" t="n"/>
      <c r="I119" s="238" t="n"/>
      <c r="J119" s="238" t="n"/>
      <c r="K119" s="238" t="n"/>
      <c r="L119" s="238" t="n"/>
      <c r="M119" s="238" t="n"/>
      <c r="N119" s="238" t="n"/>
      <c r="O119" s="238" t="n"/>
      <c r="P119" s="238" t="n"/>
      <c r="Q119" s="238" t="n"/>
      <c r="R119" s="238" t="n"/>
      <c r="S119" s="238" t="n"/>
      <c r="T119" s="238" t="n"/>
      <c r="U119" s="238" t="n"/>
      <c r="V119" s="238" t="n"/>
      <c r="W119" s="238" t="n"/>
      <c r="X119" s="238" t="n"/>
      <c r="Y119" s="238" t="n"/>
      <c r="Z119" s="238" t="n"/>
      <c r="AA119" s="238" t="n"/>
      <c r="AB119" s="238" t="n"/>
      <c r="AC119" s="238" t="n"/>
      <c r="AD119" s="238" t="n"/>
      <c r="AE119" s="238" t="n"/>
      <c r="AF119" s="238" t="n"/>
      <c r="AG119" s="238" t="n"/>
      <c r="AH119" s="238" t="n"/>
      <c r="AI119" s="238" t="n"/>
      <c r="AJ119" s="238" t="n"/>
      <c r="AK119" s="238" t="n"/>
      <c r="AL119" s="238" t="n"/>
      <c r="AM119" s="238" t="n"/>
      <c r="AN119" s="238" t="n"/>
      <c r="AO119" s="238" t="n"/>
      <c r="AP119" s="238" t="n"/>
      <c r="AQ119" s="238" t="n"/>
      <c r="AR119" s="238" t="n"/>
      <c r="AS119" s="238" t="n"/>
      <c r="AT119" s="238" t="n"/>
      <c r="AU119" s="238" t="n"/>
      <c r="AV119" s="238" t="n"/>
      <c r="AW119" s="238" t="n"/>
      <c r="AX119" s="238" t="n"/>
      <c r="AY119" s="238" t="n"/>
      <c r="AZ119" s="238" t="n"/>
      <c r="BA119" s="238" t="n"/>
      <c r="BB119" s="238" t="n"/>
      <c r="BC119" s="238" t="n"/>
      <c r="BD119" s="238" t="n"/>
      <c r="BE119" s="238" t="n"/>
      <c r="BF119" s="238" t="n"/>
      <c r="BG119" s="238" t="n"/>
      <c r="BH119" s="238" t="n"/>
      <c r="BI119" s="238" t="n"/>
      <c r="BJ119" s="238" t="n"/>
      <c r="BK119" s="238" t="n"/>
      <c r="BL119" s="238" t="n"/>
      <c r="BM119" s="238" t="n"/>
      <c r="BN119" s="238" t="n"/>
      <c r="BO119" s="238" t="n"/>
      <c r="BP119" s="238" t="n"/>
      <c r="BQ119" s="238" t="n"/>
      <c r="BR119" s="238" t="n"/>
      <c r="BS119" s="238" t="n"/>
      <c r="BT119" s="238" t="n"/>
      <c r="BU119" s="238" t="n"/>
      <c r="BV119" s="238" t="n"/>
      <c r="BW119" s="238" t="n"/>
      <c r="BX119" s="238" t="n"/>
      <c r="BY119" s="238" t="n"/>
      <c r="BZ119" s="238" t="n"/>
      <c r="CA119" s="238" t="n"/>
      <c r="CB119" s="238" t="n"/>
      <c r="CC119" s="238" t="n"/>
      <c r="CD119" s="238" t="n"/>
      <c r="CE119" s="238" t="n"/>
      <c r="CF119" s="238" t="n"/>
      <c r="CG119" s="238" t="n"/>
      <c r="CH119" s="238" t="n"/>
      <c r="CI119" s="238" t="n"/>
      <c r="CJ119" s="238" t="n"/>
      <c r="CK119" s="238" t="n"/>
      <c r="CL119" s="238" t="n"/>
      <c r="CM119" s="238" t="n"/>
      <c r="CN119" s="238" t="n"/>
      <c r="CO119" s="238" t="n"/>
      <c r="CP119" s="238" t="n"/>
      <c r="CQ119" s="238" t="n"/>
      <c r="CR119" s="238" t="n"/>
      <c r="CS119" s="238" t="n"/>
      <c r="CT119" s="238" t="n"/>
      <c r="CU119" s="238" t="n"/>
      <c r="CV119" s="238" t="n"/>
      <c r="CW119" s="238" t="n"/>
      <c r="CX119" s="238" t="n"/>
      <c r="CY119" s="238" t="n"/>
      <c r="CZ119" s="238" t="n"/>
      <c r="DA119" s="238" t="n"/>
      <c r="DB119" s="238" t="n"/>
      <c r="DC119" s="238" t="n"/>
      <c r="DD119" s="238" t="n"/>
      <c r="DE119" s="238" t="n"/>
      <c r="DF119" s="238" t="n"/>
      <c r="DG119" s="238" t="n"/>
      <c r="DH119" s="238" t="n"/>
      <c r="DI119" s="238" t="n"/>
      <c r="DJ119" s="238" t="n"/>
      <c r="DK119" s="238" t="n"/>
      <c r="DL119" s="238" t="n"/>
      <c r="DM119" s="238" t="n"/>
      <c r="DN119" s="238" t="n"/>
      <c r="DO119" s="238" t="n"/>
      <c r="DP119" s="238" t="n"/>
      <c r="DQ119" s="238" t="n"/>
      <c r="DR119" s="238" t="n"/>
      <c r="DS119" s="238" t="n"/>
      <c r="DT119" s="238" t="n"/>
      <c r="DU119" s="238" t="n"/>
      <c r="DV119" s="238" t="n"/>
      <c r="DW119" s="238" t="n"/>
      <c r="DX119" s="238" t="n"/>
      <c r="DY119" s="238" t="n"/>
      <c r="DZ119" s="23" t="n"/>
      <c r="FQ119" s="212" t="n"/>
      <c r="FR119" s="212" t="n"/>
      <c r="FS119" s="212" t="n"/>
      <c r="FT119" s="212" t="n"/>
      <c r="FU119" s="212" t="n"/>
      <c r="FV119" s="212" t="n"/>
      <c r="FW119" s="212" t="n"/>
      <c r="FX119" s="212" t="n"/>
      <c r="FY119" s="212" t="n"/>
      <c r="FZ119" s="212" t="n"/>
    </row>
    <row r="120" hidden="1" ht="36" customFormat="1" customHeight="1" s="5">
      <c r="A120" s="13" t="n"/>
      <c r="C120" s="238" t="n"/>
      <c r="D120" s="238" t="n"/>
      <c r="E120" s="238" t="n"/>
      <c r="F120" s="238" t="n"/>
      <c r="G120" s="238" t="n"/>
      <c r="H120" s="238" t="n"/>
      <c r="I120" s="238" t="n"/>
      <c r="J120" s="238" t="n"/>
      <c r="K120" s="238" t="n"/>
      <c r="L120" s="238" t="n"/>
      <c r="M120" s="238" t="n"/>
      <c r="N120" s="238" t="n"/>
      <c r="O120" s="238" t="n"/>
      <c r="P120" s="238" t="n"/>
      <c r="Q120" s="238" t="n"/>
      <c r="R120" s="238" t="n"/>
      <c r="S120" s="238" t="n"/>
      <c r="T120" s="238" t="n"/>
      <c r="U120" s="238" t="n"/>
      <c r="V120" s="238" t="n"/>
      <c r="W120" s="238" t="n"/>
      <c r="X120" s="238" t="n"/>
      <c r="Y120" s="238" t="n"/>
      <c r="Z120" s="238" t="n"/>
      <c r="AA120" s="238" t="n"/>
      <c r="AB120" s="238" t="n"/>
      <c r="AC120" s="238" t="n"/>
      <c r="AD120" s="238" t="n"/>
      <c r="AE120" s="238" t="n"/>
      <c r="AF120" s="238" t="n"/>
      <c r="AG120" s="238" t="n"/>
      <c r="AH120" s="238" t="n"/>
      <c r="AI120" s="238" t="n"/>
      <c r="AJ120" s="238" t="n"/>
      <c r="AK120" s="238" t="n"/>
      <c r="AL120" s="238" t="n"/>
      <c r="AM120" s="238" t="n"/>
      <c r="AN120" s="238" t="n"/>
      <c r="AO120" s="238" t="n"/>
      <c r="AP120" s="238" t="n"/>
      <c r="AQ120" s="238" t="n"/>
      <c r="AR120" s="238" t="n"/>
      <c r="AS120" s="238" t="n"/>
      <c r="AT120" s="238" t="n"/>
      <c r="AU120" s="238" t="n"/>
      <c r="AV120" s="238" t="n"/>
      <c r="AW120" s="238" t="n"/>
      <c r="AX120" s="238" t="n"/>
      <c r="AY120" s="238" t="n"/>
      <c r="AZ120" s="238" t="n"/>
      <c r="BA120" s="238" t="n"/>
      <c r="BB120" s="238" t="n"/>
      <c r="BC120" s="238" t="n"/>
      <c r="BD120" s="238" t="n"/>
      <c r="BE120" s="238" t="n"/>
      <c r="BF120" s="238" t="n"/>
      <c r="BG120" s="238" t="n"/>
      <c r="BH120" s="238" t="n"/>
      <c r="BI120" s="238" t="n"/>
      <c r="BJ120" s="238" t="n"/>
      <c r="BK120" s="238" t="n"/>
      <c r="BL120" s="238" t="n"/>
      <c r="BM120" s="238" t="n"/>
      <c r="BN120" s="238" t="n"/>
      <c r="BO120" s="238" t="n"/>
      <c r="BP120" s="238" t="n"/>
      <c r="BQ120" s="238" t="n"/>
      <c r="BR120" s="238" t="n"/>
      <c r="BS120" s="238" t="n"/>
      <c r="BT120" s="238" t="n"/>
      <c r="BU120" s="238" t="n"/>
      <c r="BV120" s="238" t="n"/>
      <c r="BW120" s="238" t="n"/>
      <c r="BX120" s="238" t="n"/>
      <c r="BY120" s="238" t="n"/>
      <c r="BZ120" s="238" t="n"/>
      <c r="CA120" s="238" t="n"/>
      <c r="CB120" s="238" t="n"/>
      <c r="CC120" s="238" t="n"/>
      <c r="CD120" s="238" t="n"/>
      <c r="CE120" s="238" t="n"/>
      <c r="CF120" s="238" t="n"/>
      <c r="CG120" s="238" t="n"/>
      <c r="CH120" s="238" t="n"/>
      <c r="CI120" s="238" t="n"/>
      <c r="CJ120" s="238" t="n"/>
      <c r="CK120" s="238" t="n"/>
      <c r="CL120" s="238" t="n"/>
      <c r="CM120" s="238" t="n"/>
      <c r="CN120" s="238" t="n"/>
      <c r="CO120" s="238" t="n"/>
      <c r="CP120" s="238" t="n"/>
      <c r="CQ120" s="238" t="n"/>
      <c r="CR120" s="238" t="n"/>
      <c r="CS120" s="238" t="n"/>
      <c r="CT120" s="238" t="n"/>
      <c r="CU120" s="238" t="n"/>
      <c r="CV120" s="238" t="n"/>
      <c r="CW120" s="238" t="n"/>
      <c r="CX120" s="238" t="n"/>
      <c r="CY120" s="238" t="n"/>
      <c r="CZ120" s="238" t="n"/>
      <c r="DA120" s="238" t="n"/>
      <c r="DB120" s="238" t="n"/>
      <c r="DC120" s="238" t="n"/>
      <c r="DD120" s="238" t="n"/>
      <c r="DE120" s="238" t="n"/>
      <c r="DF120" s="238" t="n"/>
      <c r="DG120" s="238" t="n"/>
      <c r="DH120" s="238" t="n"/>
      <c r="DI120" s="238" t="n"/>
      <c r="DJ120" s="238" t="n"/>
      <c r="DK120" s="238" t="n"/>
      <c r="DL120" s="238" t="n"/>
      <c r="DM120" s="238" t="n"/>
      <c r="DN120" s="238" t="n"/>
      <c r="DO120" s="238" t="n"/>
      <c r="DP120" s="238" t="n"/>
      <c r="DQ120" s="238" t="n"/>
      <c r="DR120" s="238" t="n"/>
      <c r="DS120" s="238" t="n"/>
      <c r="DT120" s="238" t="n"/>
      <c r="DU120" s="238" t="n"/>
      <c r="DV120" s="238" t="n"/>
      <c r="DW120" s="238" t="n"/>
      <c r="DX120" s="238" t="n"/>
      <c r="DY120" s="238" t="n"/>
      <c r="DZ120" s="23" t="n"/>
      <c r="FQ120" s="212" t="n"/>
      <c r="FR120" s="212" t="n"/>
      <c r="FS120" s="212" t="n"/>
      <c r="FT120" s="212" t="n"/>
      <c r="FU120" s="212" t="n"/>
      <c r="FV120" s="212" t="n"/>
      <c r="FW120" s="212" t="n"/>
      <c r="FX120" s="212" t="n"/>
      <c r="FY120" s="212" t="n"/>
      <c r="FZ120" s="212" t="n"/>
    </row>
    <row r="121" hidden="1" ht="36" customFormat="1" customHeight="1" s="5">
      <c r="A121" s="13" t="n"/>
      <c r="C121" s="238" t="n"/>
      <c r="D121" s="238" t="n"/>
      <c r="E121" s="238" t="n"/>
      <c r="F121" s="238" t="n"/>
      <c r="G121" s="238" t="n"/>
      <c r="H121" s="238" t="n"/>
      <c r="I121" s="238" t="n"/>
      <c r="J121" s="238" t="n"/>
      <c r="K121" s="238" t="n"/>
      <c r="L121" s="238" t="n"/>
      <c r="M121" s="238" t="n"/>
      <c r="N121" s="238" t="n"/>
      <c r="O121" s="238" t="n"/>
      <c r="P121" s="238" t="n"/>
      <c r="Q121" s="238" t="n"/>
      <c r="R121" s="238" t="n"/>
      <c r="S121" s="238" t="n"/>
      <c r="T121" s="238" t="n"/>
      <c r="U121" s="238" t="n"/>
      <c r="V121" s="238" t="n"/>
      <c r="W121" s="238" t="n"/>
      <c r="X121" s="238" t="n"/>
      <c r="Y121" s="238" t="n"/>
      <c r="Z121" s="238" t="n"/>
      <c r="AA121" s="238" t="n"/>
      <c r="AB121" s="238" t="n"/>
      <c r="AC121" s="238" t="n"/>
      <c r="AD121" s="238" t="n"/>
      <c r="AE121" s="238" t="n"/>
      <c r="AF121" s="238" t="n"/>
      <c r="AG121" s="238" t="n"/>
      <c r="AH121" s="238" t="n"/>
      <c r="AI121" s="238" t="n"/>
      <c r="AJ121" s="238" t="n"/>
      <c r="AK121" s="238" t="n"/>
      <c r="AL121" s="238" t="n"/>
      <c r="AM121" s="238" t="n"/>
      <c r="AN121" s="238" t="n"/>
      <c r="AO121" s="238" t="n"/>
      <c r="AP121" s="238" t="n"/>
      <c r="AQ121" s="238" t="n"/>
      <c r="AR121" s="238" t="n"/>
      <c r="AS121" s="238" t="n"/>
      <c r="AT121" s="238" t="n"/>
      <c r="AU121" s="238" t="n"/>
      <c r="AV121" s="238" t="n"/>
      <c r="AW121" s="238" t="n"/>
      <c r="AX121" s="238" t="n"/>
      <c r="AY121" s="238" t="n"/>
      <c r="AZ121" s="238" t="n"/>
      <c r="BA121" s="238" t="n"/>
      <c r="BB121" s="238" t="n"/>
      <c r="BC121" s="238" t="n"/>
      <c r="BD121" s="238" t="n"/>
      <c r="BE121" s="238" t="n"/>
      <c r="BF121" s="238" t="n"/>
      <c r="BG121" s="238" t="n"/>
      <c r="BH121" s="238" t="n"/>
      <c r="BI121" s="238" t="n"/>
      <c r="BJ121" s="238" t="n"/>
      <c r="BK121" s="238" t="n"/>
      <c r="BL121" s="238" t="n"/>
      <c r="BM121" s="238" t="n"/>
      <c r="BN121" s="238" t="n"/>
      <c r="BO121" s="238" t="n"/>
      <c r="BP121" s="238" t="n"/>
      <c r="BQ121" s="238" t="n"/>
      <c r="BR121" s="238" t="n"/>
      <c r="BS121" s="238" t="n"/>
      <c r="BT121" s="238" t="n"/>
      <c r="BU121" s="238" t="n"/>
      <c r="BV121" s="238" t="n"/>
      <c r="BW121" s="238" t="n"/>
      <c r="BX121" s="238" t="n"/>
      <c r="BY121" s="238" t="n"/>
      <c r="BZ121" s="238" t="n"/>
      <c r="CA121" s="238" t="n"/>
      <c r="CB121" s="238" t="n"/>
      <c r="CC121" s="238" t="n"/>
      <c r="CD121" s="238" t="n"/>
      <c r="CE121" s="238" t="n"/>
      <c r="CF121" s="238" t="n"/>
      <c r="CG121" s="238" t="n"/>
      <c r="CH121" s="238" t="n"/>
      <c r="CI121" s="238" t="n"/>
      <c r="CJ121" s="238" t="n"/>
      <c r="CK121" s="238" t="n"/>
      <c r="CL121" s="238" t="n"/>
      <c r="CM121" s="238" t="n"/>
      <c r="CN121" s="238" t="n"/>
      <c r="CO121" s="238" t="n"/>
      <c r="CP121" s="238" t="n"/>
      <c r="CQ121" s="238" t="n"/>
      <c r="CR121" s="238" t="n"/>
      <c r="CS121" s="238" t="n"/>
      <c r="CT121" s="238" t="n"/>
      <c r="CU121" s="238" t="n"/>
      <c r="CV121" s="238" t="n"/>
      <c r="CW121" s="238" t="n"/>
      <c r="CX121" s="238" t="n"/>
      <c r="CY121" s="238" t="n"/>
      <c r="CZ121" s="238" t="n"/>
      <c r="DA121" s="238" t="n"/>
      <c r="DB121" s="238" t="n"/>
      <c r="DC121" s="238" t="n"/>
      <c r="DD121" s="238" t="n"/>
      <c r="DE121" s="238" t="n"/>
      <c r="DF121" s="238" t="n"/>
      <c r="DG121" s="238" t="n"/>
      <c r="DH121" s="238" t="n"/>
      <c r="DI121" s="238" t="n"/>
      <c r="DJ121" s="238" t="n"/>
      <c r="DK121" s="238" t="n"/>
      <c r="DL121" s="238" t="n"/>
      <c r="DM121" s="238" t="n"/>
      <c r="DN121" s="238" t="n"/>
      <c r="DO121" s="238" t="n"/>
      <c r="DP121" s="238" t="n"/>
      <c r="DQ121" s="238" t="n"/>
      <c r="DR121" s="238" t="n"/>
      <c r="DS121" s="238" t="n"/>
      <c r="DT121" s="238" t="n"/>
      <c r="DU121" s="238" t="n"/>
      <c r="DV121" s="238" t="n"/>
      <c r="DW121" s="238" t="n"/>
      <c r="DX121" s="238" t="n"/>
      <c r="DY121" s="238" t="n"/>
      <c r="DZ121" s="23" t="n"/>
      <c r="FQ121" s="212" t="n"/>
      <c r="FR121" s="212" t="n"/>
      <c r="FS121" s="212" t="n"/>
      <c r="FT121" s="212" t="n"/>
      <c r="FU121" s="212" t="n"/>
      <c r="FV121" s="212" t="n"/>
      <c r="FW121" s="212" t="n"/>
      <c r="FX121" s="212" t="n"/>
      <c r="FY121" s="212" t="n"/>
      <c r="FZ121" s="212" t="n"/>
    </row>
    <row r="122" hidden="1" ht="36" customFormat="1" customHeight="1" s="5">
      <c r="A122" s="13" t="n"/>
      <c r="C122" s="238" t="n"/>
      <c r="D122" s="238" t="n"/>
      <c r="E122" s="238" t="n"/>
      <c r="F122" s="238" t="n"/>
      <c r="G122" s="238" t="n"/>
      <c r="H122" s="238" t="n"/>
      <c r="I122" s="238" t="n"/>
      <c r="J122" s="238" t="n"/>
      <c r="K122" s="238" t="n"/>
      <c r="L122" s="238" t="n"/>
      <c r="M122" s="238" t="n"/>
      <c r="N122" s="238" t="n"/>
      <c r="O122" s="238" t="n"/>
      <c r="P122" s="238" t="n"/>
      <c r="Q122" s="238" t="n"/>
      <c r="R122" s="238" t="n"/>
      <c r="S122" s="238" t="n"/>
      <c r="T122" s="238" t="n"/>
      <c r="U122" s="238" t="n"/>
      <c r="V122" s="238" t="n"/>
      <c r="W122" s="238" t="n"/>
      <c r="X122" s="238" t="n"/>
      <c r="Y122" s="238" t="n"/>
      <c r="Z122" s="238" t="n"/>
      <c r="AA122" s="238" t="n"/>
      <c r="AB122" s="238" t="n"/>
      <c r="AC122" s="238" t="n"/>
      <c r="AD122" s="238" t="n"/>
      <c r="AE122" s="238" t="n"/>
      <c r="AF122" s="238" t="n"/>
      <c r="AG122" s="238" t="n"/>
      <c r="AH122" s="238" t="n"/>
      <c r="AI122" s="238" t="n"/>
      <c r="AJ122" s="238" t="n"/>
      <c r="AK122" s="238" t="n"/>
      <c r="AL122" s="238" t="n"/>
      <c r="AM122" s="238" t="n"/>
      <c r="AN122" s="238" t="n"/>
      <c r="AO122" s="238" t="n"/>
      <c r="AP122" s="238" t="n"/>
      <c r="AQ122" s="238" t="n"/>
      <c r="AR122" s="238" t="n"/>
      <c r="AS122" s="238" t="n"/>
      <c r="AT122" s="238" t="n"/>
      <c r="AU122" s="238" t="n"/>
      <c r="AV122" s="238" t="n"/>
      <c r="AW122" s="238" t="n"/>
      <c r="AX122" s="238" t="n"/>
      <c r="AY122" s="238" t="n"/>
      <c r="AZ122" s="238" t="n"/>
      <c r="BA122" s="238" t="n"/>
      <c r="BB122" s="238" t="n"/>
      <c r="BC122" s="238" t="n"/>
      <c r="BD122" s="238" t="n"/>
      <c r="BE122" s="238" t="n"/>
      <c r="BF122" s="238" t="n"/>
      <c r="BG122" s="238" t="n"/>
      <c r="BH122" s="238" t="n"/>
      <c r="BI122" s="238" t="n"/>
      <c r="BJ122" s="238" t="n"/>
      <c r="BK122" s="238" t="n"/>
      <c r="BL122" s="238" t="n"/>
      <c r="BM122" s="238" t="n"/>
      <c r="BN122" s="238" t="n"/>
      <c r="BO122" s="238" t="n"/>
      <c r="BP122" s="238" t="n"/>
      <c r="BQ122" s="238" t="n"/>
      <c r="BR122" s="238" t="n"/>
      <c r="BS122" s="238" t="n"/>
      <c r="BT122" s="238" t="n"/>
      <c r="BU122" s="238" t="n"/>
      <c r="BV122" s="238" t="n"/>
      <c r="BW122" s="238" t="n"/>
      <c r="BX122" s="238" t="n"/>
      <c r="BY122" s="238" t="n"/>
      <c r="BZ122" s="238" t="n"/>
      <c r="CA122" s="238" t="n"/>
      <c r="CB122" s="238" t="n"/>
      <c r="CC122" s="238" t="n"/>
      <c r="CD122" s="238" t="n"/>
      <c r="CE122" s="238" t="n"/>
      <c r="CF122" s="238" t="n"/>
      <c r="CG122" s="238" t="n"/>
      <c r="CH122" s="238" t="n"/>
      <c r="CI122" s="238" t="n"/>
      <c r="CJ122" s="238" t="n"/>
      <c r="CK122" s="238" t="n"/>
      <c r="CL122" s="238" t="n"/>
      <c r="CM122" s="238" t="n"/>
      <c r="CN122" s="238" t="n"/>
      <c r="CO122" s="238" t="n"/>
      <c r="CP122" s="238" t="n"/>
      <c r="CQ122" s="238" t="n"/>
      <c r="CR122" s="238" t="n"/>
      <c r="CS122" s="238" t="n"/>
      <c r="CT122" s="238" t="n"/>
      <c r="CU122" s="238" t="n"/>
      <c r="CV122" s="238" t="n"/>
      <c r="CW122" s="238" t="n"/>
      <c r="CX122" s="238" t="n"/>
      <c r="CY122" s="238" t="n"/>
      <c r="CZ122" s="238" t="n"/>
      <c r="DA122" s="238" t="n"/>
      <c r="DB122" s="238" t="n"/>
      <c r="DC122" s="238" t="n"/>
      <c r="DD122" s="238" t="n"/>
      <c r="DE122" s="238" t="n"/>
      <c r="DF122" s="238" t="n"/>
      <c r="DG122" s="238" t="n"/>
      <c r="DH122" s="238" t="n"/>
      <c r="DI122" s="238" t="n"/>
      <c r="DJ122" s="238" t="n"/>
      <c r="DK122" s="238" t="n"/>
      <c r="DL122" s="238" t="n"/>
      <c r="DM122" s="238" t="n"/>
      <c r="DN122" s="238" t="n"/>
      <c r="DO122" s="238" t="n"/>
      <c r="DP122" s="238" t="n"/>
      <c r="DQ122" s="238" t="n"/>
      <c r="DR122" s="238" t="n"/>
      <c r="DS122" s="238" t="n"/>
      <c r="DT122" s="238" t="n"/>
      <c r="DU122" s="238" t="n"/>
      <c r="DV122" s="238" t="n"/>
      <c r="DW122" s="238" t="n"/>
      <c r="DX122" s="238" t="n"/>
      <c r="DY122" s="238" t="n"/>
      <c r="DZ122" s="23" t="n"/>
      <c r="FQ122" s="212" t="n"/>
      <c r="FR122" s="212" t="n"/>
      <c r="FS122" s="212" t="n"/>
      <c r="FT122" s="212" t="n"/>
      <c r="FU122" s="212" t="n"/>
      <c r="FV122" s="212" t="n"/>
      <c r="FW122" s="212" t="n"/>
      <c r="FX122" s="212" t="n"/>
      <c r="FY122" s="212" t="n"/>
      <c r="FZ122" s="212" t="n"/>
    </row>
    <row r="123" hidden="1" ht="36" customFormat="1" customHeight="1" s="5">
      <c r="A123" s="13" t="n"/>
      <c r="C123" s="238" t="n"/>
      <c r="D123" s="238" t="n"/>
      <c r="E123" s="238" t="n"/>
      <c r="F123" s="238" t="n"/>
      <c r="G123" s="238" t="n"/>
      <c r="H123" s="238" t="n"/>
      <c r="I123" s="238" t="n"/>
      <c r="J123" s="238" t="n"/>
      <c r="K123" s="238" t="n"/>
      <c r="L123" s="238" t="n"/>
      <c r="M123" s="238" t="n"/>
      <c r="N123" s="238" t="n"/>
      <c r="O123" s="238" t="n"/>
      <c r="P123" s="238" t="n"/>
      <c r="Q123" s="238" t="n"/>
      <c r="R123" s="238" t="n"/>
      <c r="S123" s="238" t="n"/>
      <c r="T123" s="238" t="n"/>
      <c r="U123" s="238" t="n"/>
      <c r="V123" s="238" t="n"/>
      <c r="W123" s="238" t="n"/>
      <c r="X123" s="238" t="n"/>
      <c r="Y123" s="238" t="n"/>
      <c r="Z123" s="238" t="n"/>
      <c r="AA123" s="238" t="n"/>
      <c r="AB123" s="238" t="n"/>
      <c r="AC123" s="238" t="n"/>
      <c r="AD123" s="238" t="n"/>
      <c r="AE123" s="238" t="n"/>
      <c r="AF123" s="238" t="n"/>
      <c r="AG123" s="238" t="n"/>
      <c r="AH123" s="238" t="n"/>
      <c r="AI123" s="238" t="n"/>
      <c r="AJ123" s="238" t="n"/>
      <c r="AK123" s="238" t="n"/>
      <c r="AL123" s="238" t="n"/>
      <c r="AM123" s="238" t="n"/>
      <c r="AN123" s="238" t="n"/>
      <c r="AO123" s="238" t="n"/>
      <c r="AP123" s="238" t="n"/>
      <c r="AQ123" s="238" t="n"/>
      <c r="AR123" s="238" t="n"/>
      <c r="AS123" s="238" t="n"/>
      <c r="AT123" s="238" t="n"/>
      <c r="AU123" s="238" t="n"/>
      <c r="AV123" s="238" t="n"/>
      <c r="AW123" s="238" t="n"/>
      <c r="AX123" s="238" t="n"/>
      <c r="AY123" s="238" t="n"/>
      <c r="AZ123" s="238" t="n"/>
      <c r="BA123" s="238" t="n"/>
      <c r="BB123" s="238" t="n"/>
      <c r="BC123" s="238" t="n"/>
      <c r="BD123" s="238" t="n"/>
      <c r="BE123" s="238" t="n"/>
      <c r="BF123" s="238" t="n"/>
      <c r="BG123" s="238" t="n"/>
      <c r="BH123" s="238" t="n"/>
      <c r="BI123" s="238" t="n"/>
      <c r="BJ123" s="238" t="n"/>
      <c r="BK123" s="238" t="n"/>
      <c r="BL123" s="238" t="n"/>
      <c r="BM123" s="238" t="n"/>
      <c r="BN123" s="238" t="n"/>
      <c r="BO123" s="238" t="n"/>
      <c r="BP123" s="238" t="n"/>
      <c r="BQ123" s="238" t="n"/>
      <c r="BR123" s="238" t="n"/>
      <c r="BS123" s="238" t="n"/>
      <c r="BT123" s="238" t="n"/>
      <c r="BU123" s="238" t="n"/>
      <c r="BV123" s="238" t="n"/>
      <c r="BW123" s="238" t="n"/>
      <c r="BX123" s="238" t="n"/>
      <c r="BY123" s="238" t="n"/>
      <c r="BZ123" s="238" t="n"/>
      <c r="CA123" s="238" t="n"/>
      <c r="CB123" s="238" t="n"/>
      <c r="CC123" s="238" t="n"/>
      <c r="CD123" s="238" t="n"/>
      <c r="CE123" s="238" t="n"/>
      <c r="CF123" s="238" t="n"/>
      <c r="CG123" s="238" t="n"/>
      <c r="CH123" s="238" t="n"/>
      <c r="CI123" s="238" t="n"/>
      <c r="CJ123" s="238" t="n"/>
      <c r="CK123" s="238" t="n"/>
      <c r="CL123" s="238" t="n"/>
      <c r="CM123" s="238" t="n"/>
      <c r="CN123" s="238" t="n"/>
      <c r="CO123" s="238" t="n"/>
      <c r="CP123" s="238" t="n"/>
      <c r="CQ123" s="238" t="n"/>
      <c r="CR123" s="238" t="n"/>
      <c r="CS123" s="238" t="n"/>
      <c r="CT123" s="238" t="n"/>
      <c r="CU123" s="238" t="n"/>
      <c r="CV123" s="238" t="n"/>
      <c r="CW123" s="238" t="n"/>
      <c r="CX123" s="238" t="n"/>
      <c r="CY123" s="238" t="n"/>
      <c r="CZ123" s="238" t="n"/>
      <c r="DA123" s="238" t="n"/>
      <c r="DB123" s="238" t="n"/>
      <c r="DC123" s="238" t="n"/>
      <c r="DD123" s="238" t="n"/>
      <c r="DE123" s="238" t="n"/>
      <c r="DF123" s="238" t="n"/>
      <c r="DG123" s="238" t="n"/>
      <c r="DH123" s="238" t="n"/>
      <c r="DI123" s="238" t="n"/>
      <c r="DJ123" s="238" t="n"/>
      <c r="DK123" s="238" t="n"/>
      <c r="DL123" s="238" t="n"/>
      <c r="DM123" s="238" t="n"/>
      <c r="DN123" s="238" t="n"/>
      <c r="DO123" s="238" t="n"/>
      <c r="DP123" s="238" t="n"/>
      <c r="DQ123" s="238" t="n"/>
      <c r="DR123" s="238" t="n"/>
      <c r="DS123" s="238" t="n"/>
      <c r="DT123" s="238" t="n"/>
      <c r="DU123" s="238" t="n"/>
      <c r="DV123" s="238" t="n"/>
      <c r="DW123" s="238" t="n"/>
      <c r="DX123" s="238" t="n"/>
      <c r="DY123" s="238" t="n"/>
      <c r="DZ123" s="23" t="n"/>
      <c r="FQ123" s="212" t="n"/>
      <c r="FR123" s="212" t="n"/>
      <c r="FS123" s="212" t="n"/>
      <c r="FT123" s="212" t="n"/>
      <c r="FU123" s="212" t="n"/>
      <c r="FV123" s="212" t="n"/>
      <c r="FW123" s="212" t="n"/>
      <c r="FX123" s="212" t="n"/>
      <c r="FY123" s="212" t="n"/>
      <c r="FZ123" s="212" t="n"/>
    </row>
    <row r="124" hidden="1" ht="36" customFormat="1" customHeight="1" s="5">
      <c r="A124" s="13" t="n"/>
      <c r="C124" s="238" t="n"/>
      <c r="D124" s="238" t="n"/>
      <c r="E124" s="238" t="n"/>
      <c r="F124" s="238" t="n"/>
      <c r="G124" s="238" t="n"/>
      <c r="H124" s="238" t="n"/>
      <c r="I124" s="238" t="n"/>
      <c r="J124" s="238" t="n"/>
      <c r="K124" s="238" t="n"/>
      <c r="L124" s="238" t="n"/>
      <c r="M124" s="238" t="n"/>
      <c r="N124" s="238" t="n"/>
      <c r="O124" s="238" t="n"/>
      <c r="P124" s="238" t="n"/>
      <c r="Q124" s="238" t="n"/>
      <c r="R124" s="238" t="n"/>
      <c r="S124" s="238" t="n"/>
      <c r="T124" s="238" t="n"/>
      <c r="U124" s="238" t="n"/>
      <c r="V124" s="238" t="n"/>
      <c r="W124" s="238" t="n"/>
      <c r="X124" s="238" t="n"/>
      <c r="Y124" s="238" t="n"/>
      <c r="Z124" s="238" t="n"/>
      <c r="AA124" s="238" t="n"/>
      <c r="AB124" s="238" t="n"/>
      <c r="AC124" s="238" t="n"/>
      <c r="AD124" s="238" t="n"/>
      <c r="AE124" s="238" t="n"/>
      <c r="AF124" s="238" t="n"/>
      <c r="AG124" s="238" t="n"/>
      <c r="AH124" s="238" t="n"/>
      <c r="AI124" s="238" t="n"/>
      <c r="AJ124" s="238" t="n"/>
      <c r="AK124" s="238" t="n"/>
      <c r="AL124" s="238" t="n"/>
      <c r="AM124" s="238" t="n"/>
      <c r="AN124" s="238" t="n"/>
      <c r="AO124" s="238" t="n"/>
      <c r="AP124" s="238" t="n"/>
      <c r="AQ124" s="238" t="n"/>
      <c r="AR124" s="238" t="n"/>
      <c r="AS124" s="238" t="n"/>
      <c r="AT124" s="238" t="n"/>
      <c r="AU124" s="238" t="n"/>
      <c r="AV124" s="238" t="n"/>
      <c r="AW124" s="238" t="n"/>
      <c r="AX124" s="238" t="n"/>
      <c r="AY124" s="238" t="n"/>
      <c r="AZ124" s="238" t="n"/>
      <c r="BA124" s="238" t="n"/>
      <c r="BB124" s="238" t="n"/>
      <c r="BC124" s="238" t="n"/>
      <c r="BD124" s="238" t="n"/>
      <c r="BE124" s="238" t="n"/>
      <c r="BF124" s="238" t="n"/>
      <c r="BG124" s="238" t="n"/>
      <c r="BH124" s="238" t="n"/>
      <c r="BI124" s="238" t="n"/>
      <c r="BJ124" s="238" t="n"/>
      <c r="BK124" s="238" t="n"/>
      <c r="BL124" s="238" t="n"/>
      <c r="BM124" s="238" t="n"/>
      <c r="BN124" s="238" t="n"/>
      <c r="BO124" s="238" t="n"/>
      <c r="BP124" s="238" t="n"/>
      <c r="BQ124" s="238" t="n"/>
      <c r="BR124" s="238" t="n"/>
      <c r="BS124" s="238" t="n"/>
      <c r="BT124" s="238" t="n"/>
      <c r="BU124" s="238" t="n"/>
      <c r="BV124" s="238" t="n"/>
      <c r="BW124" s="238" t="n"/>
      <c r="BX124" s="238" t="n"/>
      <c r="BY124" s="238" t="n"/>
      <c r="BZ124" s="238" t="n"/>
      <c r="CA124" s="238" t="n"/>
      <c r="CB124" s="238" t="n"/>
      <c r="CC124" s="238" t="n"/>
      <c r="CD124" s="238" t="n"/>
      <c r="CE124" s="238" t="n"/>
      <c r="CF124" s="238" t="n"/>
      <c r="CG124" s="238" t="n"/>
      <c r="CH124" s="238" t="n"/>
      <c r="CI124" s="238" t="n"/>
      <c r="CJ124" s="238" t="n"/>
      <c r="CK124" s="238" t="n"/>
      <c r="CL124" s="238" t="n"/>
      <c r="CM124" s="238" t="n"/>
      <c r="CN124" s="238" t="n"/>
      <c r="CO124" s="238" t="n"/>
      <c r="CP124" s="238" t="n"/>
      <c r="CQ124" s="238" t="n"/>
      <c r="CR124" s="238" t="n"/>
      <c r="CS124" s="238" t="n"/>
      <c r="CT124" s="238" t="n"/>
      <c r="CU124" s="238" t="n"/>
      <c r="CV124" s="238" t="n"/>
      <c r="CW124" s="238" t="n"/>
      <c r="CX124" s="238" t="n"/>
      <c r="CY124" s="238" t="n"/>
      <c r="CZ124" s="238" t="n"/>
      <c r="DA124" s="238" t="n"/>
      <c r="DB124" s="238" t="n"/>
      <c r="DC124" s="238" t="n"/>
      <c r="DD124" s="238" t="n"/>
      <c r="DE124" s="238" t="n"/>
      <c r="DF124" s="238" t="n"/>
      <c r="DG124" s="238" t="n"/>
      <c r="DH124" s="238" t="n"/>
      <c r="DI124" s="238" t="n"/>
      <c r="DJ124" s="238" t="n"/>
      <c r="DK124" s="238" t="n"/>
      <c r="DL124" s="238" t="n"/>
      <c r="DM124" s="238" t="n"/>
      <c r="DN124" s="238" t="n"/>
      <c r="DO124" s="238" t="n"/>
      <c r="DP124" s="238" t="n"/>
      <c r="DQ124" s="238" t="n"/>
      <c r="DR124" s="238" t="n"/>
      <c r="DS124" s="238" t="n"/>
      <c r="DT124" s="238" t="n"/>
      <c r="DU124" s="238" t="n"/>
      <c r="DV124" s="238" t="n"/>
      <c r="DW124" s="238" t="n"/>
      <c r="DX124" s="238" t="n"/>
      <c r="DY124" s="238" t="n"/>
      <c r="DZ124" s="23" t="n"/>
      <c r="FQ124" s="212" t="n"/>
      <c r="FR124" s="212" t="n"/>
      <c r="FS124" s="212" t="n"/>
      <c r="FT124" s="212" t="n"/>
      <c r="FU124" s="212" t="n"/>
      <c r="FV124" s="212" t="n"/>
      <c r="FW124" s="212" t="n"/>
      <c r="FX124" s="212" t="n"/>
      <c r="FY124" s="212" t="n"/>
      <c r="FZ124" s="212" t="n"/>
    </row>
    <row r="125" hidden="1" ht="36" customFormat="1" customHeight="1" s="5">
      <c r="A125" s="13" t="n"/>
      <c r="C125" s="238" t="n"/>
      <c r="D125" s="238" t="n"/>
      <c r="E125" s="238" t="n"/>
      <c r="F125" s="238" t="n"/>
      <c r="G125" s="238" t="n"/>
      <c r="H125" s="238" t="n"/>
      <c r="I125" s="238" t="n"/>
      <c r="J125" s="238" t="n"/>
      <c r="K125" s="238" t="n"/>
      <c r="L125" s="238" t="n"/>
      <c r="M125" s="238" t="n"/>
      <c r="N125" s="238" t="n"/>
      <c r="O125" s="238" t="n"/>
      <c r="P125" s="238" t="n"/>
      <c r="Q125" s="238" t="n"/>
      <c r="R125" s="238" t="n"/>
      <c r="S125" s="238" t="n"/>
      <c r="T125" s="238" t="n"/>
      <c r="U125" s="238" t="n"/>
      <c r="V125" s="238" t="n"/>
      <c r="W125" s="238" t="n"/>
      <c r="X125" s="238" t="n"/>
      <c r="Y125" s="238" t="n"/>
      <c r="Z125" s="238" t="n"/>
      <c r="AA125" s="238" t="n"/>
      <c r="AB125" s="238" t="n"/>
      <c r="AC125" s="238" t="n"/>
      <c r="AD125" s="238" t="n"/>
      <c r="AE125" s="238" t="n"/>
      <c r="AF125" s="238" t="n"/>
      <c r="AG125" s="238" t="n"/>
      <c r="AH125" s="238" t="n"/>
      <c r="AI125" s="238" t="n"/>
      <c r="AJ125" s="238" t="n"/>
      <c r="AK125" s="238" t="n"/>
      <c r="AL125" s="238" t="n"/>
      <c r="AM125" s="238" t="n"/>
      <c r="AN125" s="238" t="n"/>
      <c r="AO125" s="238" t="n"/>
      <c r="AP125" s="238" t="n"/>
      <c r="AQ125" s="238" t="n"/>
      <c r="AR125" s="238" t="n"/>
      <c r="AS125" s="238" t="n"/>
      <c r="AT125" s="238" t="n"/>
      <c r="AU125" s="238" t="n"/>
      <c r="AV125" s="238" t="n"/>
      <c r="AW125" s="238" t="n"/>
      <c r="AX125" s="238" t="n"/>
      <c r="AY125" s="238" t="n"/>
      <c r="AZ125" s="238" t="n"/>
      <c r="BA125" s="238" t="n"/>
      <c r="BB125" s="238" t="n"/>
      <c r="BC125" s="238" t="n"/>
      <c r="BD125" s="238" t="n"/>
      <c r="BE125" s="238" t="n"/>
      <c r="BF125" s="238" t="n"/>
      <c r="BG125" s="238" t="n"/>
      <c r="BH125" s="238" t="n"/>
      <c r="BI125" s="238" t="n"/>
      <c r="BJ125" s="238" t="n"/>
      <c r="BK125" s="238" t="n"/>
      <c r="BL125" s="238" t="n"/>
      <c r="BM125" s="238" t="n"/>
      <c r="BN125" s="238" t="n"/>
      <c r="BO125" s="238" t="n"/>
      <c r="BP125" s="238" t="n"/>
      <c r="BQ125" s="238" t="n"/>
      <c r="BR125" s="238" t="n"/>
      <c r="BS125" s="238" t="n"/>
      <c r="BT125" s="238" t="n"/>
      <c r="BU125" s="238" t="n"/>
      <c r="BV125" s="238" t="n"/>
      <c r="BW125" s="238" t="n"/>
      <c r="BX125" s="238" t="n"/>
      <c r="BY125" s="238" t="n"/>
      <c r="BZ125" s="238" t="n"/>
      <c r="CA125" s="238" t="n"/>
      <c r="CB125" s="238" t="n"/>
      <c r="CC125" s="238" t="n"/>
      <c r="CD125" s="238" t="n"/>
      <c r="CE125" s="238" t="n"/>
      <c r="CF125" s="238" t="n"/>
      <c r="CG125" s="238" t="n"/>
      <c r="CH125" s="238" t="n"/>
      <c r="CI125" s="238" t="n"/>
      <c r="CJ125" s="238" t="n"/>
      <c r="CK125" s="238" t="n"/>
      <c r="CL125" s="238" t="n"/>
      <c r="CM125" s="238" t="n"/>
      <c r="CN125" s="238" t="n"/>
      <c r="CO125" s="238" t="n"/>
      <c r="CP125" s="238" t="n"/>
      <c r="CQ125" s="238" t="n"/>
      <c r="CR125" s="238" t="n"/>
      <c r="CS125" s="238" t="n"/>
      <c r="CT125" s="238" t="n"/>
      <c r="CU125" s="238" t="n"/>
      <c r="CV125" s="238" t="n"/>
      <c r="CW125" s="238" t="n"/>
      <c r="CX125" s="238" t="n"/>
      <c r="CY125" s="238" t="n"/>
      <c r="CZ125" s="238" t="n"/>
      <c r="DA125" s="238" t="n"/>
      <c r="DB125" s="238" t="n"/>
      <c r="DC125" s="238" t="n"/>
      <c r="DD125" s="238" t="n"/>
      <c r="DE125" s="238" t="n"/>
      <c r="DF125" s="238" t="n"/>
      <c r="DG125" s="238" t="n"/>
      <c r="DH125" s="238" t="n"/>
      <c r="DI125" s="238" t="n"/>
      <c r="DJ125" s="238" t="n"/>
      <c r="DK125" s="238" t="n"/>
      <c r="DL125" s="238" t="n"/>
      <c r="DM125" s="238" t="n"/>
      <c r="DN125" s="238" t="n"/>
      <c r="DO125" s="238" t="n"/>
      <c r="DP125" s="238" t="n"/>
      <c r="DQ125" s="238" t="n"/>
      <c r="DR125" s="238" t="n"/>
      <c r="DS125" s="238" t="n"/>
      <c r="DT125" s="238" t="n"/>
      <c r="DU125" s="238" t="n"/>
      <c r="DV125" s="238" t="n"/>
      <c r="DW125" s="238" t="n"/>
      <c r="DX125" s="238" t="n"/>
      <c r="DY125" s="238" t="n"/>
      <c r="DZ125" s="23" t="n"/>
      <c r="FQ125" s="212" t="n"/>
      <c r="FR125" s="212" t="n"/>
      <c r="FS125" s="212" t="n"/>
      <c r="FT125" s="212" t="n"/>
      <c r="FU125" s="212" t="n"/>
      <c r="FV125" s="212" t="n"/>
      <c r="FW125" s="212" t="n"/>
      <c r="FX125" s="212" t="n"/>
      <c r="FY125" s="212" t="n"/>
      <c r="FZ125" s="212" t="n"/>
    </row>
    <row r="126" ht="36" customFormat="1" customHeight="1" s="5">
      <c r="A126" s="14" t="n"/>
      <c r="C126" s="238" t="n"/>
      <c r="D126" s="238" t="n"/>
      <c r="E126" s="238" t="n"/>
      <c r="F126" s="238" t="n"/>
      <c r="G126" s="238" t="n"/>
      <c r="H126" s="238" t="n"/>
      <c r="I126" s="238" t="n"/>
      <c r="J126" s="238" t="n"/>
      <c r="K126" s="238" t="n"/>
      <c r="L126" s="238" t="n"/>
      <c r="M126" s="238" t="n"/>
      <c r="N126" s="238" t="n"/>
      <c r="O126" s="238" t="n"/>
      <c r="P126" s="238" t="n"/>
      <c r="Q126" s="238" t="n"/>
      <c r="R126" s="238" t="n"/>
      <c r="S126" s="238" t="n"/>
      <c r="T126" s="238" t="n"/>
      <c r="U126" s="238" t="n"/>
      <c r="V126" s="238" t="n"/>
      <c r="W126" s="238" t="n"/>
      <c r="X126" s="238" t="n"/>
      <c r="Y126" s="238" t="n"/>
      <c r="Z126" s="238" t="n"/>
      <c r="AA126" s="238" t="n"/>
      <c r="AB126" s="238" t="n"/>
      <c r="AC126" s="238" t="n"/>
      <c r="AD126" s="238" t="n"/>
      <c r="AE126" s="238" t="n"/>
      <c r="AF126" s="238" t="n"/>
      <c r="AG126" s="238" t="n"/>
      <c r="AH126" s="238" t="n"/>
      <c r="AI126" s="238" t="n"/>
      <c r="AJ126" s="238" t="n"/>
      <c r="AK126" s="238" t="n"/>
      <c r="AL126" s="238" t="n"/>
      <c r="AM126" s="238" t="n"/>
      <c r="AN126" s="238" t="n"/>
      <c r="AO126" s="238" t="n"/>
      <c r="AP126" s="238" t="n"/>
      <c r="AQ126" s="238" t="n"/>
      <c r="AR126" s="238" t="n"/>
      <c r="AS126" s="238" t="n"/>
      <c r="AT126" s="238" t="n"/>
      <c r="AU126" s="238" t="n"/>
      <c r="AV126" s="238" t="n"/>
      <c r="AW126" s="238" t="n"/>
      <c r="AX126" s="238" t="n"/>
      <c r="AY126" s="238" t="n"/>
      <c r="AZ126" s="238" t="n"/>
      <c r="BA126" s="238" t="n"/>
      <c r="BB126" s="238" t="n"/>
      <c r="BC126" s="238" t="n"/>
      <c r="BD126" s="238" t="n"/>
      <c r="BE126" s="238" t="n"/>
      <c r="BF126" s="238" t="n"/>
      <c r="BG126" s="238" t="n"/>
      <c r="BH126" s="238" t="n"/>
      <c r="BI126" s="238" t="n"/>
      <c r="BJ126" s="238" t="n"/>
      <c r="BK126" s="238" t="n"/>
      <c r="BL126" s="238" t="n"/>
      <c r="BM126" s="238" t="n"/>
      <c r="BN126" s="238" t="n"/>
      <c r="BO126" s="238" t="n"/>
      <c r="BP126" s="238" t="n"/>
      <c r="BQ126" s="238" t="n"/>
      <c r="BR126" s="238" t="n"/>
      <c r="BS126" s="238" t="n"/>
      <c r="BT126" s="238" t="n"/>
      <c r="BU126" s="238" t="n"/>
      <c r="BV126" s="238" t="n"/>
      <c r="BW126" s="238" t="n"/>
      <c r="BX126" s="238" t="n"/>
      <c r="BY126" s="238" t="n"/>
      <c r="BZ126" s="238" t="n"/>
      <c r="CA126" s="238" t="n"/>
      <c r="CB126" s="238" t="n"/>
      <c r="CC126" s="238" t="n"/>
      <c r="CD126" s="238" t="n"/>
      <c r="CE126" s="238" t="n"/>
      <c r="CF126" s="238" t="n"/>
      <c r="CG126" s="238" t="n"/>
      <c r="CH126" s="238" t="n"/>
      <c r="CI126" s="238" t="n"/>
      <c r="CJ126" s="238" t="n"/>
      <c r="CK126" s="238" t="n"/>
      <c r="CL126" s="238" t="n"/>
      <c r="CM126" s="238" t="n"/>
      <c r="CN126" s="238" t="n"/>
      <c r="CO126" s="238" t="n"/>
      <c r="CP126" s="238" t="n"/>
      <c r="CQ126" s="238" t="n"/>
      <c r="CR126" s="238" t="n"/>
      <c r="CS126" s="238" t="n"/>
      <c r="CT126" s="238" t="n"/>
      <c r="CU126" s="238" t="n"/>
      <c r="CV126" s="238" t="n"/>
      <c r="CW126" s="238" t="n"/>
      <c r="CX126" s="238" t="n"/>
      <c r="CY126" s="238" t="n"/>
      <c r="CZ126" s="238" t="n"/>
      <c r="DA126" s="238" t="n"/>
      <c r="DB126" s="238" t="n"/>
      <c r="DC126" s="238" t="n"/>
      <c r="DD126" s="238" t="n"/>
      <c r="DE126" s="238" t="n"/>
      <c r="DF126" s="238" t="n"/>
      <c r="DG126" s="238" t="n"/>
      <c r="DH126" s="238" t="n"/>
      <c r="DI126" s="238" t="n"/>
      <c r="DJ126" s="238" t="n"/>
      <c r="DK126" s="238" t="n"/>
      <c r="DL126" s="238" t="n"/>
      <c r="DM126" s="238" t="n"/>
      <c r="DN126" s="238" t="n"/>
      <c r="DO126" s="238" t="n"/>
      <c r="DP126" s="238" t="n"/>
      <c r="DQ126" s="238" t="n"/>
      <c r="DR126" s="238" t="n"/>
      <c r="DS126" s="238" t="n"/>
      <c r="DT126" s="238" t="n"/>
      <c r="DU126" s="238" t="n"/>
      <c r="DV126" s="238" t="n"/>
      <c r="DW126" s="238" t="n"/>
      <c r="DX126" s="238" t="n"/>
      <c r="DY126" s="238" t="n"/>
      <c r="DZ126" s="24" t="n"/>
      <c r="FQ126" s="212" t="n"/>
      <c r="FR126" s="212" t="n"/>
      <c r="FS126" s="212" t="n"/>
      <c r="FT126" s="212" t="n"/>
      <c r="FU126" s="212" t="n"/>
      <c r="FV126" s="212" t="n"/>
      <c r="FW126" s="212" t="n"/>
      <c r="FX126" s="212" t="n"/>
      <c r="FY126" s="212" t="n"/>
      <c r="FZ126" s="212" t="n"/>
    </row>
    <row r="127" ht="36" customFormat="1" customHeight="1" s="5">
      <c r="A127" s="9" t="inlineStr">
        <is>
          <t>A</t>
        </is>
      </c>
      <c r="B127" s="89" t="inlineStr">
        <is>
          <t>0.001-0.083</t>
        </is>
      </c>
      <c r="C127" s="225" t="inlineStr">
        <is>
          <t>0.140-0.149</t>
        </is>
      </c>
      <c r="D127" s="448" t="n"/>
      <c r="E127" s="448" t="n"/>
      <c r="F127" s="448" t="n"/>
      <c r="G127" s="448" t="n"/>
      <c r="H127" s="448" t="n"/>
      <c r="I127" s="448" t="n"/>
      <c r="J127" s="448" t="n"/>
      <c r="K127" s="448" t="n"/>
      <c r="L127" s="449" t="n"/>
      <c r="M127" s="227" t="inlineStr">
        <is>
          <t>OUTSIDE DIAMETER:</t>
        </is>
      </c>
      <c r="N127" s="458" t="n"/>
      <c r="O127" s="458" t="n"/>
      <c r="P127" s="458" t="n"/>
      <c r="Q127" s="458" t="n"/>
      <c r="R127" s="458" t="n"/>
      <c r="S127" s="458" t="n"/>
      <c r="T127" s="458" t="n"/>
      <c r="U127" s="458" t="n"/>
      <c r="V127" s="458" t="n"/>
      <c r="W127" s="458" t="n"/>
      <c r="X127" s="458" t="n"/>
      <c r="Y127" s="458" t="n"/>
      <c r="Z127" s="230" t="n">
        <v>3</v>
      </c>
      <c r="AA127" s="458" t="n"/>
      <c r="AB127" s="458" t="n"/>
      <c r="AC127" s="458" t="n"/>
      <c r="AD127" s="458" t="n"/>
      <c r="AE127" s="458" t="n"/>
      <c r="AF127" s="446" t="n"/>
      <c r="AG127" s="459" t="inlineStr">
        <is>
          <t>FUTURE PROJECTION</t>
        </is>
      </c>
      <c r="AH127" s="458" t="n"/>
      <c r="AI127" s="458" t="n"/>
      <c r="AJ127" s="458" t="n"/>
      <c r="AK127" s="458" t="n"/>
      <c r="AL127" s="458" t="n"/>
      <c r="AM127" s="458" t="n"/>
      <c r="AN127" s="458" t="n"/>
      <c r="AO127" s="458" t="n"/>
      <c r="AP127" s="458" t="n"/>
      <c r="AQ127" s="458" t="n"/>
      <c r="AR127" s="458" t="n"/>
      <c r="AS127" s="458" t="n"/>
      <c r="AT127" s="458" t="n"/>
      <c r="AU127" s="458" t="n"/>
      <c r="AV127" s="446" t="n"/>
      <c r="AW127" s="460" t="n"/>
      <c r="AX127" s="458" t="n"/>
      <c r="AY127" s="458" t="n"/>
      <c r="AZ127" s="458" t="n"/>
      <c r="BA127" s="458" t="n"/>
      <c r="BB127" s="458" t="n"/>
      <c r="BC127" s="458" t="n"/>
      <c r="BD127" s="458" t="n"/>
      <c r="BE127" s="458" t="n"/>
      <c r="BF127" s="458" t="n"/>
      <c r="BG127" s="458" t="n"/>
      <c r="BH127" s="458" t="n"/>
      <c r="BI127" s="458" t="n"/>
      <c r="BJ127" s="458" t="n"/>
      <c r="BK127" s="458" t="n"/>
      <c r="BL127" s="458" t="n"/>
      <c r="BM127" s="458" t="n"/>
      <c r="BN127" s="458" t="n"/>
      <c r="BO127" s="458" t="n"/>
      <c r="BP127" s="458" t="n"/>
      <c r="BQ127" s="458" t="n"/>
      <c r="BR127" s="461" t="inlineStr">
        <is>
          <t>APPLIED TECHNICAL SERVICES 
1049 Triad Court
Marietta, Georgia 30062
Office # (770) 423-1400
Fax # (770) 514-3299
www.atslab.com</t>
        </is>
      </c>
      <c r="BS127" s="458" t="n"/>
      <c r="BT127" s="458" t="n"/>
      <c r="BU127" s="458" t="n"/>
      <c r="BV127" s="458" t="n"/>
      <c r="BW127" s="458" t="n"/>
      <c r="BX127" s="458" t="n"/>
      <c r="BY127" s="458" t="n"/>
      <c r="BZ127" s="458" t="n"/>
      <c r="CA127" s="458" t="n"/>
      <c r="CB127" s="458" t="n"/>
      <c r="CC127" s="458" t="n"/>
      <c r="CD127" s="458" t="n"/>
      <c r="CE127" s="458" t="n"/>
      <c r="CF127" s="458" t="n"/>
      <c r="CG127" s="458" t="n"/>
      <c r="CH127" s="458" t="n"/>
      <c r="CI127" s="458" t="n"/>
      <c r="CJ127" s="458" t="n"/>
      <c r="CK127" s="446" t="n"/>
      <c r="CL127" s="582">
        <f>Thickness!CL127</f>
        <v/>
      </c>
      <c r="CM127" s="458" t="n"/>
      <c r="CN127" s="458" t="n"/>
      <c r="CO127" s="458" t="n"/>
      <c r="CP127" s="458" t="n"/>
      <c r="CQ127" s="458" t="n"/>
      <c r="CR127" s="458" t="n"/>
      <c r="CS127" s="458" t="n"/>
      <c r="CT127" s="458" t="n"/>
      <c r="CU127" s="458" t="n"/>
      <c r="CV127" s="458" t="n"/>
      <c r="CW127" s="458" t="n"/>
      <c r="CX127" s="458" t="n"/>
      <c r="CY127" s="458" t="n"/>
      <c r="CZ127" s="458" t="n"/>
      <c r="DA127" s="458" t="n"/>
      <c r="DB127" s="458" t="n"/>
      <c r="DC127" s="458" t="n"/>
      <c r="DD127" s="458" t="n"/>
      <c r="DE127" s="458" t="n"/>
      <c r="DF127" s="458" t="n"/>
      <c r="DG127" s="458" t="n"/>
      <c r="DH127" s="458" t="n"/>
      <c r="DI127" s="458" t="n"/>
      <c r="DJ127" s="458" t="n"/>
      <c r="DK127" s="458" t="n"/>
      <c r="DL127" s="458" t="n"/>
      <c r="DM127" s="458" t="n"/>
      <c r="DN127" s="458" t="n"/>
      <c r="DO127" s="458" t="n"/>
      <c r="DP127" s="458" t="n"/>
      <c r="DQ127" s="458" t="n"/>
      <c r="DR127" s="458" t="n"/>
      <c r="DS127" s="458" t="n"/>
      <c r="DT127" s="458" t="n"/>
      <c r="DU127" s="458" t="n"/>
      <c r="DV127" s="458" t="n"/>
      <c r="DW127" s="458" t="n"/>
      <c r="DX127" s="458" t="n"/>
      <c r="DY127" s="458" t="n"/>
      <c r="DZ127" s="446" t="n"/>
      <c r="FQ127" s="212" t="n"/>
      <c r="FR127" s="212" t="n"/>
      <c r="FS127" s="212" t="n"/>
      <c r="FT127" s="212" t="n"/>
      <c r="FU127" s="212" t="n"/>
      <c r="FV127" s="212" t="n"/>
      <c r="FW127" s="212" t="n"/>
      <c r="FX127" s="212" t="n"/>
      <c r="FY127" s="212" t="n"/>
      <c r="FZ127" s="212" t="n"/>
    </row>
    <row r="128" ht="36" customFormat="1" customHeight="1" s="5">
      <c r="A128" s="234" t="inlineStr">
        <is>
          <t>LEGEND</t>
        </is>
      </c>
      <c r="B128" s="90" t="inlineStr">
        <is>
          <t>0.100-0.109</t>
        </is>
      </c>
      <c r="C128" s="235" t="inlineStr">
        <is>
          <t>0.150-0.159</t>
        </is>
      </c>
      <c r="D128" s="448" t="n"/>
      <c r="E128" s="448" t="n"/>
      <c r="F128" s="448" t="n"/>
      <c r="G128" s="448" t="n"/>
      <c r="H128" s="448" t="n"/>
      <c r="I128" s="448" t="n"/>
      <c r="J128" s="448" t="n"/>
      <c r="K128" s="448" t="n"/>
      <c r="L128" s="449" t="n"/>
      <c r="M128" s="237" t="inlineStr">
        <is>
          <t>TUBE MATERIAL:</t>
        </is>
      </c>
      <c r="Z128" s="239" t="inlineStr">
        <is>
          <t>SA-210A1</t>
        </is>
      </c>
      <c r="AG128" s="240">
        <f>TRUNC(MAX(D4:BT6,D7:BT9,D10:BT12,D13:BT15,D16:BT18,D19:BT21,D22:BT24,D25:BT27,D28:BT30,D31:BT33,D34:BT36,D37:BT39,D40:BT42,D43:BT45,D46:BT48,D49:BT51,D52:BT54,D55:BT57,D58:BT60,D61:BT63,D64:BT66,D67:BT69,D70:BT72,D73:BT75,D76:BT78,D79:BT81,D82:BT84,D85:BT87,D88:BT90,D91:BT93,D94:BT96,D97:BT99,D100:BT102,D103:BT105,D106:BT108,D109:BT111),3)</f>
        <v/>
      </c>
      <c r="AH128" s="458" t="n"/>
      <c r="AI128" s="458" t="n"/>
      <c r="AJ128" s="458" t="n"/>
      <c r="AK128" s="458" t="n"/>
      <c r="AL128" s="463" t="inlineStr">
        <is>
          <t>MAX. THICKNESS</t>
        </is>
      </c>
      <c r="AM128" s="458" t="n"/>
      <c r="AN128" s="458" t="n"/>
      <c r="AO128" s="458" t="n"/>
      <c r="AP128" s="458" t="n"/>
      <c r="AQ128" s="458" t="n"/>
      <c r="AR128" s="458" t="n"/>
      <c r="AS128" s="458" t="n"/>
      <c r="AT128" s="458" t="n"/>
      <c r="AU128" s="458" t="n"/>
      <c r="AV128" s="446" t="n"/>
      <c r="AW128" s="13" t="n"/>
      <c r="CK128" s="464" t="n"/>
      <c r="CL128" s="583">
        <f>Thickness!CL128</f>
        <v/>
      </c>
      <c r="DZ128" s="464" t="n"/>
      <c r="FQ128" s="212" t="n"/>
      <c r="FR128" s="212" t="n"/>
      <c r="FS128" s="212" t="n"/>
      <c r="FT128" s="212" t="n"/>
      <c r="FU128" s="212" t="n"/>
      <c r="FV128" s="212" t="n"/>
      <c r="FW128" s="212" t="n"/>
      <c r="FX128" s="212" t="n"/>
      <c r="FY128" s="212" t="n"/>
      <c r="FZ128" s="212" t="n"/>
    </row>
    <row r="129" ht="36" customHeight="1">
      <c r="A129" s="456" t="n"/>
      <c r="B129" s="91" t="inlineStr">
        <is>
          <t>0.110-0.119</t>
        </is>
      </c>
      <c r="C129" s="245" t="inlineStr">
        <is>
          <t>0.160-0.169</t>
        </is>
      </c>
      <c r="D129" s="448" t="n"/>
      <c r="E129" s="448" t="n"/>
      <c r="F129" s="448" t="n"/>
      <c r="G129" s="448" t="n"/>
      <c r="H129" s="448" t="n"/>
      <c r="I129" s="448" t="n"/>
      <c r="J129" s="448" t="n"/>
      <c r="K129" s="448" t="n"/>
      <c r="L129" s="449" t="n"/>
      <c r="M129" s="237" t="inlineStr">
        <is>
          <t>NOMINAL WALL:</t>
        </is>
      </c>
      <c r="Z129" s="247" t="n">
        <v>0.203</v>
      </c>
      <c r="AG129" s="248">
        <f>TRUNC(AVERAGE(D4:BT6,D7:BT9,D10:BT12,D13:BT15,D16:BT18,D19:BT21,D22:BT24,D25:BT27,D28:BT30,D31:BT33,D34:BT36,D37:BT39,D40:BT42,D43:BT45,D46:BT48,D49:BT51,D52:BT54,D55:BT57,D58:BT60,D61:BT63,D64:BT66,D67:BT69,D70:BT72,D73:BT75,D76:BT78,D79:BT81,D82:BT84,D85:BT87,D88:BT90,D91:BT93,D94:BT96,D97:BT99,D100:BT102,D103:BT105,D106:BT108,D109:BT111),3)</f>
        <v/>
      </c>
      <c r="AL129" s="466" t="inlineStr">
        <is>
          <t>AVG. THICKNESS</t>
        </is>
      </c>
      <c r="AV129" s="464" t="n"/>
      <c r="AW129" s="13" t="n"/>
      <c r="CK129" s="464" t="n"/>
      <c r="CL129" s="584" t="inlineStr">
        <is>
          <t>PROJECTED TUBE WALL THICKNESS - 5 YEARS</t>
        </is>
      </c>
      <c r="DZ129" s="464" t="n"/>
    </row>
    <row r="130" ht="36" customHeight="1">
      <c r="A130" s="456" t="n"/>
      <c r="B130" s="92" t="inlineStr">
        <is>
          <t>0.120-0.129</t>
        </is>
      </c>
      <c r="C130" s="253" t="inlineStr">
        <is>
          <t>0.170-0.179</t>
        </is>
      </c>
      <c r="D130" s="448" t="n"/>
      <c r="E130" s="448" t="n"/>
      <c r="F130" s="448" t="n"/>
      <c r="G130" s="448" t="n"/>
      <c r="H130" s="448" t="n"/>
      <c r="I130" s="448" t="n"/>
      <c r="J130" s="448" t="n"/>
      <c r="K130" s="448" t="n"/>
      <c r="L130" s="449" t="n"/>
      <c r="M130" s="237" t="inlineStr">
        <is>
          <t>ASME MIN:</t>
        </is>
      </c>
      <c r="Z130" s="255" t="n">
        <v>0.083</v>
      </c>
      <c r="AG130" s="256">
        <f>TRUNC(MIN(D4:BT6,D7:BT9,D10:BT12,D13:BT15,D16:BT18,D19:BT21,D22:BT24,D25:BT27,D28:BT30,D31:BT33,D34:BT36,D37:BT39,D40:BT42,D43:BT45,D46:BT48,D49:BT51,D52:BT54,D55:BT57,D58:BT60,D61:BT63,D64:BT66,D67:BT69,D70:BT72,D73:BT75,D76:BT78,D79:BT81,D82:BT84,D85:BT87,D88:BT90,D91:BT93,D94:BT96,D97:BT99,D100:BT102,D103:BT105,D106:BT108,D109:BT111),3)</f>
        <v/>
      </c>
      <c r="AL130" s="466" t="inlineStr">
        <is>
          <t>MIN. THICKNESS</t>
        </is>
      </c>
      <c r="AV130" s="464" t="n"/>
      <c r="AW130" s="14" t="n"/>
      <c r="AX130" s="468" t="n"/>
      <c r="AY130" s="468" t="n"/>
      <c r="AZ130" s="468" t="n"/>
      <c r="BA130" s="468" t="n"/>
      <c r="BB130" s="468" t="n"/>
      <c r="BC130" s="468" t="n"/>
      <c r="BD130" s="468" t="n"/>
      <c r="BE130" s="468" t="n"/>
      <c r="BF130" s="468" t="n"/>
      <c r="BG130" s="468" t="n"/>
      <c r="BH130" s="468" t="n"/>
      <c r="BI130" s="468" t="n"/>
      <c r="BJ130" s="468" t="n"/>
      <c r="BK130" s="468" t="n"/>
      <c r="BL130" s="468" t="n"/>
      <c r="BM130" s="468" t="n"/>
      <c r="BN130" s="468" t="n"/>
      <c r="BO130" s="468" t="n"/>
      <c r="BP130" s="468" t="n"/>
      <c r="BQ130" s="468" t="n"/>
      <c r="BR130" s="468" t="n"/>
      <c r="BS130" s="468" t="n"/>
      <c r="BT130" s="468" t="n"/>
      <c r="BU130" s="468" t="n"/>
      <c r="BV130" s="468" t="n"/>
      <c r="BW130" s="468" t="n"/>
      <c r="BX130" s="468" t="n"/>
      <c r="BY130" s="468" t="n"/>
      <c r="BZ130" s="468" t="n"/>
      <c r="CA130" s="468" t="n"/>
      <c r="CB130" s="468" t="n"/>
      <c r="CC130" s="468" t="n"/>
      <c r="CD130" s="468" t="n"/>
      <c r="CE130" s="468" t="n"/>
      <c r="CF130" s="468" t="n"/>
      <c r="CG130" s="468" t="n"/>
      <c r="CH130" s="468" t="n"/>
      <c r="CI130" s="468" t="n"/>
      <c r="CJ130" s="468" t="n"/>
      <c r="CK130" s="451" t="n"/>
      <c r="CL130" s="585">
        <f>Thickness!CL130</f>
        <v/>
      </c>
      <c r="DZ130" s="464" t="n"/>
    </row>
    <row r="131" ht="36" customHeight="1">
      <c r="A131" s="469" t="n"/>
      <c r="B131" s="93" t="inlineStr">
        <is>
          <t>0.130-0.139</t>
        </is>
      </c>
      <c r="C131" s="257" t="inlineStr">
        <is>
          <t>0.180-0.999</t>
        </is>
      </c>
      <c r="D131" s="448" t="n"/>
      <c r="E131" s="448" t="n"/>
      <c r="F131" s="448" t="n"/>
      <c r="G131" s="448" t="n"/>
      <c r="H131" s="448" t="n"/>
      <c r="I131" s="448" t="n"/>
      <c r="J131" s="448" t="n"/>
      <c r="K131" s="448" t="n"/>
      <c r="L131" s="449" t="n"/>
      <c r="M131" s="258" t="inlineStr">
        <is>
          <t>MILL FLAG:</t>
        </is>
      </c>
      <c r="N131" s="468" t="n"/>
      <c r="O131" s="468" t="n"/>
      <c r="P131" s="468" t="n"/>
      <c r="Q131" s="468" t="n"/>
      <c r="R131" s="468" t="n"/>
      <c r="S131" s="468" t="n"/>
      <c r="T131" s="468" t="n"/>
      <c r="U131" s="468" t="n"/>
      <c r="V131" s="468" t="n"/>
      <c r="W131" s="468" t="n"/>
      <c r="X131" s="468" t="n"/>
      <c r="Y131" s="468" t="n"/>
      <c r="Z131" s="260" t="n">
        <v>0.1</v>
      </c>
      <c r="AA131" s="468" t="n"/>
      <c r="AB131" s="468" t="n"/>
      <c r="AC131" s="468" t="n"/>
      <c r="AD131" s="468" t="n"/>
      <c r="AE131" s="468" t="n"/>
      <c r="AF131" s="468" t="n"/>
      <c r="AG131" s="261">
        <f>STDEV(D4:BT6,D7:BT9,D10:BT12,D13:BT15,D16:BT18,D19:BT21,D22:BT24,D25:BT27,D28:BT30,D31:BT33,D34:BT36,D37:BT39,D40:BT42,D43:BT45,D46:BT48,D49:BT51,D52:BT54,D55:BT57,D58:BT60,D61:BT63,D64:BT66,D67:BT69,D70:BT72,D73:BT75,D76:BT78,D79:BT81,D82:BT84,D85:BT87,D88:BT90,D91:BT93,D94:BT96,D97:BT99,D100:BT102,D103:BT105,D106:BT108,D109:BT111)</f>
        <v/>
      </c>
      <c r="AH131" s="468" t="n"/>
      <c r="AI131" s="468" t="n"/>
      <c r="AJ131" s="468" t="n"/>
      <c r="AK131" s="468" t="n"/>
      <c r="AL131" s="470" t="inlineStr">
        <is>
          <t>STD DEV.</t>
        </is>
      </c>
      <c r="AM131" s="468" t="n"/>
      <c r="AN131" s="468" t="n"/>
      <c r="AO131" s="468" t="n"/>
      <c r="AP131" s="468" t="n"/>
      <c r="AQ131" s="468" t="n"/>
      <c r="AR131" s="468" t="n"/>
      <c r="AS131" s="468" t="n"/>
      <c r="AT131" s="468" t="n"/>
      <c r="AU131" s="468" t="n"/>
      <c r="AV131" s="451" t="n"/>
      <c r="AW131" s="208">
        <f>Thickness!AW131</f>
        <v/>
      </c>
      <c r="AX131" s="448" t="n"/>
      <c r="AY131" s="448" t="n"/>
      <c r="AZ131" s="448" t="n"/>
      <c r="BA131" s="448" t="n"/>
      <c r="BB131" s="448" t="n"/>
      <c r="BC131" s="448" t="n"/>
      <c r="BD131" s="448" t="n"/>
      <c r="BE131" s="448" t="n"/>
      <c r="BF131" s="448" t="n"/>
      <c r="BG131" s="448" t="n"/>
      <c r="BH131" s="448" t="n"/>
      <c r="BI131" s="448" t="n"/>
      <c r="BJ131" s="448" t="n"/>
      <c r="BK131" s="448" t="n"/>
      <c r="BL131" s="448" t="n"/>
      <c r="BM131" s="448" t="n"/>
      <c r="BN131" s="448" t="n"/>
      <c r="BO131" s="448" t="n"/>
      <c r="BP131" s="448" t="n"/>
      <c r="BQ131" s="448" t="n"/>
      <c r="BR131" s="448" t="n"/>
      <c r="BS131" s="448" t="n"/>
      <c r="BT131" s="448" t="n"/>
      <c r="BU131" s="448" t="n"/>
      <c r="BV131" s="448" t="n"/>
      <c r="BW131" s="448" t="n"/>
      <c r="BX131" s="448" t="n"/>
      <c r="BY131" s="448" t="n"/>
      <c r="BZ131" s="448" t="n"/>
      <c r="CA131" s="448" t="n"/>
      <c r="CB131" s="448" t="n"/>
      <c r="CC131" s="448" t="n"/>
      <c r="CD131" s="448" t="n"/>
      <c r="CE131" s="448" t="n"/>
      <c r="CF131" s="448" t="n"/>
      <c r="CG131" s="448" t="n"/>
      <c r="CH131" s="448" t="n"/>
      <c r="CI131" s="448" t="n"/>
      <c r="CJ131" s="448" t="n"/>
      <c r="CK131" s="449" t="n"/>
      <c r="CL131" s="586">
        <f>Thickness!CL131</f>
        <v/>
      </c>
      <c r="CM131" s="468" t="n"/>
      <c r="CN131" s="468" t="n"/>
      <c r="CO131" s="468" t="n"/>
      <c r="CP131" s="468" t="n"/>
      <c r="CQ131" s="468" t="n"/>
      <c r="CR131" s="468" t="n"/>
      <c r="CS131" s="468" t="n"/>
      <c r="CT131" s="468" t="n"/>
      <c r="CU131" s="468" t="n"/>
      <c r="CV131" s="468" t="n"/>
      <c r="CW131" s="468" t="n"/>
      <c r="CX131" s="468" t="n"/>
      <c r="CY131" s="468" t="n"/>
      <c r="CZ131" s="468" t="n"/>
      <c r="DA131" s="468" t="n"/>
      <c r="DB131" s="468" t="n"/>
      <c r="DC131" s="468" t="n"/>
      <c r="DD131" s="468" t="n"/>
      <c r="DE131" s="468" t="n"/>
      <c r="DF131" s="468" t="n"/>
      <c r="DG131" s="468" t="n"/>
      <c r="DH131" s="468" t="n"/>
      <c r="DI131" s="468" t="n"/>
      <c r="DJ131" s="468" t="n"/>
      <c r="DK131" s="468" t="n"/>
      <c r="DL131" s="468" t="n"/>
      <c r="DM131" s="468" t="n"/>
      <c r="DN131" s="468" t="n"/>
      <c r="DO131" s="468" t="n"/>
      <c r="DP131" s="468" t="n"/>
      <c r="DQ131" s="468" t="n"/>
      <c r="DR131" s="468" t="n"/>
      <c r="DS131" s="468" t="n"/>
      <c r="DT131" s="468" t="n"/>
      <c r="DU131" s="468" t="n"/>
      <c r="DV131" s="468" t="n"/>
      <c r="DW131" s="468" t="n"/>
      <c r="DX131" s="468" t="n"/>
      <c r="DY131" s="468" t="n"/>
      <c r="DZ131" s="451" t="n"/>
    </row>
    <row r="132" ht="36" customHeight="1">
      <c r="B132" s="16" t="inlineStr">
        <is>
          <t>PROJECTION</t>
        </is>
      </c>
    </row>
    <row r="133" ht="36" customHeight="1">
      <c r="M133" s="15" t="n"/>
      <c r="N133" s="15" t="n"/>
      <c r="O133" s="15" t="n"/>
      <c r="P133" s="15" t="n"/>
      <c r="Q133" s="15" t="n"/>
      <c r="R133" s="15" t="n"/>
      <c r="S133" s="15" t="n"/>
      <c r="T133" s="15" t="n"/>
      <c r="U133" s="15" t="n"/>
      <c r="V133" s="15" t="n"/>
      <c r="W133" s="15" t="n"/>
      <c r="X133" s="15" t="n"/>
      <c r="Y133" s="15" t="n"/>
      <c r="Z133" s="15" t="n"/>
      <c r="AA133" s="15" t="n"/>
      <c r="AB133" s="15" t="n"/>
      <c r="AC133" s="15" t="n"/>
      <c r="AD133" s="15" t="n"/>
      <c r="AE133" s="15" t="n"/>
      <c r="AF133" s="15" t="n"/>
      <c r="AG133" s="15" t="n"/>
      <c r="AH133" s="15" t="n"/>
      <c r="AI133" s="15" t="n"/>
      <c r="AJ133" s="15" t="n"/>
      <c r="AK133" s="15" t="n"/>
      <c r="AL133" s="15" t="n"/>
      <c r="AM133" s="15" t="n"/>
      <c r="AN133" s="15" t="n"/>
      <c r="AO133" s="15" t="n"/>
      <c r="AP133" s="15" t="n"/>
      <c r="AQ133" s="15" t="n"/>
      <c r="AR133" s="15" t="n"/>
      <c r="AS133" s="15" t="n"/>
      <c r="AT133" s="15" t="n"/>
      <c r="AU133" s="15" t="n"/>
      <c r="AV133" s="15" t="n"/>
    </row>
    <row r="134" ht="36" customHeight="1">
      <c r="V134" s="212" t="n"/>
      <c r="W134" s="212" t="n"/>
      <c r="X134" s="212" t="n"/>
      <c r="Y134" s="212" t="n"/>
      <c r="Z134" s="212" t="n"/>
      <c r="AA134" s="212" t="n"/>
      <c r="AB134" s="212" t="n"/>
      <c r="AC134" s="212" t="n"/>
      <c r="AD134" s="212" t="n"/>
      <c r="AE134" s="212" t="n"/>
      <c r="AF134" s="212" t="n"/>
      <c r="AG134" s="212" t="n"/>
      <c r="AH134" s="212" t="n"/>
      <c r="AI134" s="212" t="n"/>
      <c r="AJ134" s="212" t="n"/>
      <c r="AK134" s="212" t="n"/>
      <c r="AL134" s="212" t="n"/>
      <c r="AM134" s="212" t="n"/>
      <c r="AN134" s="212" t="n"/>
      <c r="AO134" s="212" t="n"/>
      <c r="AP134" s="212" t="n"/>
      <c r="AQ134" s="212" t="n"/>
      <c r="AR134" s="212" t="n"/>
      <c r="AS134" s="212" t="n"/>
      <c r="AT134" s="212" t="n"/>
      <c r="AU134" s="212" t="n"/>
      <c r="BJ134" s="212" t="n"/>
      <c r="BK134" s="212" t="n"/>
      <c r="BL134" s="212" t="n"/>
      <c r="BM134" s="212" t="n"/>
      <c r="BN134" s="212" t="n"/>
      <c r="BO134" s="212" t="n"/>
      <c r="BP134" s="212" t="n"/>
      <c r="BQ134" s="212" t="n"/>
      <c r="BR134" s="212" t="n"/>
      <c r="BS134" s="212" t="n"/>
      <c r="BT134" s="212" t="n"/>
      <c r="BU134" s="212" t="n"/>
      <c r="BV134" s="212" t="n"/>
      <c r="BW134" s="212" t="n"/>
      <c r="BX134" s="212" t="n"/>
      <c r="BY134" s="212" t="n"/>
      <c r="BZ134" s="212" t="n"/>
      <c r="CA134" s="212" t="n"/>
      <c r="CB134" s="212" t="n"/>
      <c r="CC134" s="212" t="n"/>
      <c r="CD134" s="212" t="n"/>
      <c r="CE134" s="212" t="n"/>
      <c r="CF134" s="212" t="n"/>
      <c r="CG134" s="212" t="n"/>
      <c r="CH134" s="212" t="n"/>
      <c r="CI134" s="212" t="n"/>
      <c r="CJ134" s="212" t="n"/>
      <c r="CK134" s="212" t="n"/>
      <c r="CL134" s="212" t="n"/>
      <c r="CM134" s="212" t="n"/>
      <c r="CN134" s="212" t="n"/>
      <c r="CO134" s="212" t="n"/>
      <c r="CP134" s="212" t="n"/>
      <c r="CQ134" s="212" t="n"/>
      <c r="CR134" s="212" t="n"/>
      <c r="CS134" s="212" t="n"/>
      <c r="CT134" s="212" t="n"/>
      <c r="CU134" s="212" t="n"/>
      <c r="CV134" s="212" t="n"/>
      <c r="CW134" s="212" t="n"/>
      <c r="CZ134" s="212" t="n"/>
      <c r="DA134" s="212" t="n"/>
      <c r="DB134" s="212" t="n"/>
      <c r="DC134" s="212" t="n"/>
      <c r="DD134" s="212" t="n"/>
      <c r="DE134" s="212" t="n"/>
      <c r="DF134" s="212" t="n"/>
      <c r="DG134" s="212" t="n"/>
      <c r="DH134" s="212" t="n"/>
      <c r="DI134" s="212" t="n"/>
      <c r="DJ134" s="212" t="n"/>
      <c r="DK134" s="212" t="n"/>
      <c r="DL134" s="212" t="n"/>
      <c r="DM134" s="212" t="n"/>
      <c r="DN134" s="212" t="n"/>
      <c r="DO134" s="212" t="n"/>
      <c r="DP134" s="212" t="n"/>
      <c r="DQ134" s="212" t="n"/>
      <c r="DR134" s="212" t="n"/>
      <c r="DS134" s="212" t="n"/>
      <c r="DT134" s="212" t="n"/>
      <c r="DU134" s="212" t="n"/>
      <c r="DV134" s="212" t="n"/>
    </row>
    <row r="135">
      <c r="V135" s="212" t="n"/>
      <c r="W135" s="212" t="n"/>
      <c r="X135" s="212" t="n"/>
      <c r="Y135" s="212" t="n"/>
      <c r="Z135" s="212" t="n"/>
      <c r="AA135" s="212" t="n"/>
      <c r="AB135" s="212" t="n"/>
      <c r="AC135" s="212" t="n"/>
      <c r="AD135" s="212" t="n"/>
      <c r="AE135" s="212" t="n"/>
      <c r="AF135" s="212" t="n"/>
      <c r="AG135" s="212" t="n"/>
      <c r="AH135" s="212" t="n"/>
      <c r="AI135" s="212" t="n"/>
      <c r="AJ135" s="212" t="n"/>
      <c r="AK135" s="212" t="n"/>
      <c r="AL135" s="212" t="n"/>
      <c r="AM135" s="212" t="n"/>
      <c r="AN135" s="212" t="n"/>
      <c r="AO135" s="212" t="n"/>
      <c r="AP135" s="212" t="n"/>
      <c r="AQ135" s="212" t="n"/>
      <c r="AR135" s="212" t="n"/>
      <c r="AS135" s="212" t="n"/>
      <c r="AT135" s="212" t="n"/>
      <c r="AU135" s="212" t="n"/>
      <c r="BJ135" s="212" t="n"/>
      <c r="BK135" s="212" t="n"/>
      <c r="BL135" s="212" t="n"/>
      <c r="BM135" s="212" t="n"/>
      <c r="BN135" s="212" t="n"/>
      <c r="BO135" s="212" t="n"/>
      <c r="BP135" s="212" t="n"/>
      <c r="BQ135" s="212" t="n"/>
      <c r="BR135" s="461" t="inlineStr">
        <is>
          <t>APPLIED TECHNICAL SERVICES 
1049 Triad Court
Marietta, Georgia 30062
Office # (770) 423-1400
Fax # (770) 514-3299
www.atslab.com</t>
        </is>
      </c>
      <c r="BS135" s="458" t="n"/>
      <c r="BT135" s="458" t="n"/>
      <c r="BU135" s="458" t="n"/>
      <c r="BV135" s="458" t="n"/>
      <c r="BW135" s="458" t="n"/>
      <c r="BX135" s="458" t="n"/>
      <c r="BY135" s="458" t="n"/>
      <c r="BZ135" s="458" t="n"/>
      <c r="CA135" s="458" t="n"/>
      <c r="CB135" s="458" t="n"/>
      <c r="CC135" s="458" t="n"/>
      <c r="CD135" s="458" t="n"/>
      <c r="CE135" s="458" t="n"/>
      <c r="CF135" s="458" t="n"/>
      <c r="CG135" s="458" t="n"/>
      <c r="CH135" s="458" t="n"/>
      <c r="CI135" s="458" t="n"/>
      <c r="CJ135" s="458" t="n"/>
      <c r="CK135" s="446" t="n"/>
      <c r="CL135" s="212" t="n"/>
      <c r="CM135" s="212" t="n"/>
      <c r="CN135" s="212" t="n"/>
      <c r="CO135" s="212" t="n"/>
      <c r="CP135" s="212" t="n"/>
      <c r="CQ135" s="212" t="n"/>
      <c r="CR135" s="212" t="n"/>
      <c r="CS135" s="212" t="n"/>
      <c r="CT135" s="212" t="n"/>
      <c r="CU135" s="212" t="n"/>
      <c r="CV135" s="212" t="n"/>
      <c r="CW135" s="212" t="n"/>
      <c r="CZ135" s="212" t="n"/>
      <c r="DA135" s="212" t="n"/>
      <c r="DB135" s="212" t="n"/>
      <c r="DC135" s="212" t="n"/>
      <c r="DD135" s="212" t="n"/>
      <c r="DE135" s="212" t="n"/>
      <c r="DF135" s="212" t="n"/>
      <c r="DG135" s="212" t="n"/>
      <c r="DH135" s="212" t="n"/>
      <c r="DI135" s="212" t="n"/>
      <c r="DJ135" s="212" t="n"/>
      <c r="DK135" s="212" t="n"/>
      <c r="DL135" s="212" t="n"/>
      <c r="DM135" s="212" t="n"/>
      <c r="DN135" s="212" t="n"/>
      <c r="DO135" s="212" t="n"/>
      <c r="DP135" s="212" t="n"/>
      <c r="DQ135" s="212" t="n"/>
      <c r="DR135" s="212" t="n"/>
      <c r="DS135" s="212" t="n"/>
      <c r="DT135" s="212" t="n"/>
      <c r="DU135" s="212" t="n"/>
      <c r="DV135" s="212" t="n"/>
    </row>
    <row r="136">
      <c r="BJ136" s="212" t="n"/>
      <c r="BK136" s="212" t="n"/>
      <c r="BL136" s="212" t="n"/>
      <c r="BM136" s="212" t="n"/>
      <c r="BN136" s="212" t="n"/>
      <c r="BO136" s="212" t="n"/>
      <c r="BP136" s="212" t="n"/>
      <c r="BQ136" s="212" t="n"/>
      <c r="CK136" s="464" t="n"/>
      <c r="CL136" s="212" t="n"/>
      <c r="CM136" s="212" t="n"/>
      <c r="CN136" s="212" t="n"/>
      <c r="CO136" s="212" t="n"/>
      <c r="CP136" s="212" t="n"/>
      <c r="CQ136" s="212" t="n"/>
      <c r="CR136" s="212" t="n"/>
      <c r="CS136" s="212" t="n"/>
      <c r="CT136" s="212" t="n"/>
      <c r="CU136" s="212" t="n"/>
      <c r="CV136" s="212" t="n"/>
      <c r="CW136" s="212" t="n"/>
      <c r="CZ136" s="212" t="n"/>
      <c r="DA136" s="212" t="n"/>
      <c r="DB136" s="212" t="n"/>
      <c r="DC136" s="212" t="n"/>
      <c r="DD136" s="212" t="n"/>
      <c r="DE136" s="212" t="n"/>
      <c r="DF136" s="212" t="n"/>
      <c r="DG136" s="212" t="n"/>
      <c r="DH136" s="212" t="n"/>
      <c r="DI136" s="212" t="n"/>
      <c r="DJ136" s="212" t="n"/>
      <c r="DK136" s="212" t="n"/>
      <c r="DL136" s="212" t="n"/>
      <c r="DM136" s="212" t="n"/>
      <c r="DN136" s="212" t="n"/>
      <c r="DO136" s="212" t="n"/>
      <c r="DP136" s="212" t="n"/>
      <c r="DQ136" s="212" t="n"/>
      <c r="DR136" s="212" t="n"/>
      <c r="DS136" s="212" t="n"/>
      <c r="DT136" s="212" t="n"/>
      <c r="DU136" s="212" t="n"/>
      <c r="DV136" s="212" t="n"/>
    </row>
    <row r="137">
      <c r="CK137" s="464" t="n"/>
    </row>
    <row r="138">
      <c r="BR138" s="468" t="n"/>
      <c r="BS138" s="468" t="n"/>
      <c r="BT138" s="468" t="n"/>
      <c r="BU138" s="468" t="n"/>
      <c r="BV138" s="468" t="n"/>
      <c r="BW138" s="468" t="n"/>
      <c r="BX138" s="468" t="n"/>
      <c r="BY138" s="468" t="n"/>
      <c r="BZ138" s="468" t="n"/>
      <c r="CA138" s="468" t="n"/>
      <c r="CB138" s="468" t="n"/>
      <c r="CC138" s="468" t="n"/>
      <c r="CD138" s="468" t="n"/>
      <c r="CE138" s="468" t="n"/>
      <c r="CF138" s="468" t="n"/>
      <c r="CG138" s="468" t="n"/>
      <c r="CH138" s="468" t="n"/>
      <c r="CI138" s="468" t="n"/>
      <c r="CJ138" s="468" t="n"/>
      <c r="CK138" s="451" t="n"/>
    </row>
    <row r="139"/>
    <row r="140">
      <c r="BR140" s="461" t="inlineStr">
        <is>
          <t>APPLIED TECHNICAL SERVICES 
1325-B Cavalier Boulevard               Chesapeake, Virginia 23323                (757) 558-0016 Fax (757) 558-0063
www.atslab.com</t>
        </is>
      </c>
      <c r="BS140" s="458" t="n"/>
      <c r="BT140" s="458" t="n"/>
      <c r="BU140" s="458" t="n"/>
      <c r="BV140" s="458" t="n"/>
      <c r="BW140" s="458" t="n"/>
      <c r="BX140" s="458" t="n"/>
      <c r="BY140" s="458" t="n"/>
      <c r="BZ140" s="458" t="n"/>
      <c r="CA140" s="458" t="n"/>
      <c r="CB140" s="458" t="n"/>
      <c r="CC140" s="458" t="n"/>
      <c r="CD140" s="458" t="n"/>
      <c r="CE140" s="458" t="n"/>
      <c r="CF140" s="458" t="n"/>
      <c r="CG140" s="458" t="n"/>
      <c r="CH140" s="458" t="n"/>
      <c r="CI140" s="458" t="n"/>
      <c r="CJ140" s="458" t="n"/>
      <c r="CK140" s="446" t="n"/>
    </row>
    <row r="141">
      <c r="CK141" s="464" t="n"/>
    </row>
    <row r="142">
      <c r="CK142" s="464" t="n"/>
    </row>
    <row r="143">
      <c r="BR143" s="468" t="n"/>
      <c r="BS143" s="468" t="n"/>
      <c r="BT143" s="468" t="n"/>
      <c r="BU143" s="468" t="n"/>
      <c r="BV143" s="468" t="n"/>
      <c r="BW143" s="468" t="n"/>
      <c r="BX143" s="468" t="n"/>
      <c r="BY143" s="468" t="n"/>
      <c r="BZ143" s="468" t="n"/>
      <c r="CA143" s="468" t="n"/>
      <c r="CB143" s="468" t="n"/>
      <c r="CC143" s="468" t="n"/>
      <c r="CD143" s="468" t="n"/>
      <c r="CE143" s="468" t="n"/>
      <c r="CF143" s="468" t="n"/>
      <c r="CG143" s="468" t="n"/>
      <c r="CH143" s="468" t="n"/>
      <c r="CI143" s="468" t="n"/>
      <c r="CJ143" s="468" t="n"/>
      <c r="CK143" s="451" t="n"/>
    </row>
    <row r="144"/>
    <row r="145">
      <c r="BR145" s="461" t="inlineStr">
        <is>
          <t>APPLIED TECHNICAL SERVICES 
2312 Commerce Ctr. Dr., Suite A                           Rockville, Virginia 23146                          (804) 550-7610 Fax (804) 550-7611                           www.atslab.com</t>
        </is>
      </c>
      <c r="BS145" s="458" t="n"/>
      <c r="BT145" s="458" t="n"/>
      <c r="BU145" s="458" t="n"/>
      <c r="BV145" s="458" t="n"/>
      <c r="BW145" s="458" t="n"/>
      <c r="BX145" s="458" t="n"/>
      <c r="BY145" s="458" t="n"/>
      <c r="BZ145" s="458" t="n"/>
      <c r="CA145" s="458" t="n"/>
      <c r="CB145" s="458" t="n"/>
      <c r="CC145" s="458" t="n"/>
      <c r="CD145" s="458" t="n"/>
      <c r="CE145" s="458" t="n"/>
      <c r="CF145" s="458" t="n"/>
      <c r="CG145" s="458" t="n"/>
      <c r="CH145" s="458" t="n"/>
      <c r="CI145" s="458" t="n"/>
      <c r="CJ145" s="458" t="n"/>
      <c r="CK145" s="446" t="n"/>
    </row>
    <row r="146">
      <c r="CK146" s="464" t="n"/>
    </row>
    <row r="147">
      <c r="CK147" s="464" t="n"/>
    </row>
    <row r="148">
      <c r="BR148" s="468" t="n"/>
      <c r="BS148" s="468" t="n"/>
      <c r="BT148" s="468" t="n"/>
      <c r="BU148" s="468" t="n"/>
      <c r="BV148" s="468" t="n"/>
      <c r="BW148" s="468" t="n"/>
      <c r="BX148" s="468" t="n"/>
      <c r="BY148" s="468" t="n"/>
      <c r="BZ148" s="468" t="n"/>
      <c r="CA148" s="468" t="n"/>
      <c r="CB148" s="468" t="n"/>
      <c r="CC148" s="468" t="n"/>
      <c r="CD148" s="468" t="n"/>
      <c r="CE148" s="468" t="n"/>
      <c r="CF148" s="468" t="n"/>
      <c r="CG148" s="468" t="n"/>
      <c r="CH148" s="468" t="n"/>
      <c r="CI148" s="468" t="n"/>
      <c r="CJ148" s="468" t="n"/>
      <c r="CK148" s="451" t="n"/>
    </row>
  </sheetData>
  <mergeCells count="151">
    <mergeCell ref="BV40:BV42"/>
    <mergeCell ref="BV76:BV78"/>
    <mergeCell ref="BV91:BV93"/>
    <mergeCell ref="BV82:BV84"/>
    <mergeCell ref="BU55:BU57"/>
    <mergeCell ref="Z128:AF128"/>
    <mergeCell ref="A71:A72"/>
    <mergeCell ref="BU79:BU81"/>
    <mergeCell ref="M127:Y127"/>
    <mergeCell ref="DQ1:DZ1"/>
    <mergeCell ref="BV34:BV36"/>
    <mergeCell ref="BU97:BU99"/>
    <mergeCell ref="BU7:BU9"/>
    <mergeCell ref="BU16:BU18"/>
    <mergeCell ref="BV49:BV51"/>
    <mergeCell ref="BV58:BV60"/>
    <mergeCell ref="C2:DP2"/>
    <mergeCell ref="BV97:BV99"/>
    <mergeCell ref="C128:L128"/>
    <mergeCell ref="BU43:BU45"/>
    <mergeCell ref="BU58:BU60"/>
    <mergeCell ref="A20:A21"/>
    <mergeCell ref="BR127:CK130"/>
    <mergeCell ref="A77:A78"/>
    <mergeCell ref="BV100:BV102"/>
    <mergeCell ref="BV94:BV96"/>
    <mergeCell ref="A53:A54"/>
    <mergeCell ref="A35:A36"/>
    <mergeCell ref="BV22:BV24"/>
    <mergeCell ref="C127:L127"/>
    <mergeCell ref="BV31:BV33"/>
    <mergeCell ref="Z130:AF130"/>
    <mergeCell ref="A59:A60"/>
    <mergeCell ref="C130:L130"/>
    <mergeCell ref="BU19:BU21"/>
    <mergeCell ref="BU34:BU36"/>
    <mergeCell ref="AL128:AV128"/>
    <mergeCell ref="BU28:BU30"/>
    <mergeCell ref="A110:A111"/>
    <mergeCell ref="AW131:CK131"/>
    <mergeCell ref="BU37:BU39"/>
    <mergeCell ref="AG129:AK129"/>
    <mergeCell ref="BV70:BV72"/>
    <mergeCell ref="BV106:BV108"/>
    <mergeCell ref="BR145:CK148"/>
    <mergeCell ref="BV7:BV9"/>
    <mergeCell ref="AG131:AK131"/>
    <mergeCell ref="A128:A131"/>
    <mergeCell ref="A65:A66"/>
    <mergeCell ref="BU85:BU87"/>
    <mergeCell ref="C1:DP1"/>
    <mergeCell ref="C131:L131"/>
    <mergeCell ref="A74:A75"/>
    <mergeCell ref="A56:A57"/>
    <mergeCell ref="BU94:BU96"/>
    <mergeCell ref="A26:A27"/>
    <mergeCell ref="BU4:BU6"/>
    <mergeCell ref="A89:A90"/>
    <mergeCell ref="BU46:BU48"/>
    <mergeCell ref="A8:A9"/>
    <mergeCell ref="A17:A18"/>
    <mergeCell ref="M129:Y129"/>
    <mergeCell ref="AL130:AV130"/>
    <mergeCell ref="BU61:BU63"/>
    <mergeCell ref="A23:A24"/>
    <mergeCell ref="BU70:BU72"/>
    <mergeCell ref="CL128:DZ128"/>
    <mergeCell ref="A68:A69"/>
    <mergeCell ref="BV25:BV27"/>
    <mergeCell ref="BV103:BV105"/>
    <mergeCell ref="BV85:BV87"/>
    <mergeCell ref="AW127:BQ130"/>
    <mergeCell ref="M128:Y128"/>
    <mergeCell ref="Z131:AF131"/>
    <mergeCell ref="A92:A93"/>
    <mergeCell ref="BU73:BU75"/>
    <mergeCell ref="BU88:BU90"/>
    <mergeCell ref="BR135:CK138"/>
    <mergeCell ref="A107:A108"/>
    <mergeCell ref="A11:A12"/>
    <mergeCell ref="BV46:BV48"/>
    <mergeCell ref="BU10:BU12"/>
    <mergeCell ref="BV52:BV54"/>
    <mergeCell ref="BV61:BV63"/>
    <mergeCell ref="AG128:AK128"/>
    <mergeCell ref="A41:A42"/>
    <mergeCell ref="AG127:AV127"/>
    <mergeCell ref="A50:A51"/>
    <mergeCell ref="BU49:BU51"/>
    <mergeCell ref="A80:A81"/>
    <mergeCell ref="BU76:BU78"/>
    <mergeCell ref="BV13:BV15"/>
    <mergeCell ref="BU91:BU93"/>
    <mergeCell ref="BU100:BU102"/>
    <mergeCell ref="BU109:BU111"/>
    <mergeCell ref="A3:B3"/>
    <mergeCell ref="A14:A15"/>
    <mergeCell ref="BU22:BU24"/>
    <mergeCell ref="BU31:BU33"/>
    <mergeCell ref="A104:A105"/>
    <mergeCell ref="BV79:BV81"/>
    <mergeCell ref="BV73:BV75"/>
    <mergeCell ref="BV88:BV90"/>
    <mergeCell ref="A1:B2"/>
    <mergeCell ref="BV10:BV12"/>
    <mergeCell ref="BV16:BV18"/>
    <mergeCell ref="CL127:DZ127"/>
    <mergeCell ref="A38:A39"/>
    <mergeCell ref="Z127:AF127"/>
    <mergeCell ref="A83:A84"/>
    <mergeCell ref="BU13:BU15"/>
    <mergeCell ref="BV43:BV45"/>
    <mergeCell ref="A98:A99"/>
    <mergeCell ref="BR140:CK143"/>
    <mergeCell ref="BU40:BU42"/>
    <mergeCell ref="CL129:DZ129"/>
    <mergeCell ref="BU64:BU66"/>
    <mergeCell ref="BV67:BV69"/>
    <mergeCell ref="CL131:DZ131"/>
    <mergeCell ref="BV19:BV21"/>
    <mergeCell ref="BV28:BV30"/>
    <mergeCell ref="BV37:BV39"/>
    <mergeCell ref="M131:Y131"/>
    <mergeCell ref="A86:A87"/>
    <mergeCell ref="BU106:BU108"/>
    <mergeCell ref="CL130:DZ130"/>
    <mergeCell ref="A95:A96"/>
    <mergeCell ref="Z129:AF129"/>
    <mergeCell ref="M130:Y130"/>
    <mergeCell ref="BU25:BU27"/>
    <mergeCell ref="A101:A102"/>
    <mergeCell ref="A5:A6"/>
    <mergeCell ref="A32:A33"/>
    <mergeCell ref="BV55:BV57"/>
    <mergeCell ref="DQ2:DZ2"/>
    <mergeCell ref="BV4:BV6"/>
    <mergeCell ref="A29:A30"/>
    <mergeCell ref="A47:A48"/>
    <mergeCell ref="BV64:BV66"/>
    <mergeCell ref="A62:A63"/>
    <mergeCell ref="BU82:BU84"/>
    <mergeCell ref="A44:A45"/>
    <mergeCell ref="BU52:BU54"/>
    <mergeCell ref="BU67:BU69"/>
    <mergeCell ref="A112:B112"/>
    <mergeCell ref="AL131:AV131"/>
    <mergeCell ref="AG130:AK130"/>
    <mergeCell ref="C129:L129"/>
    <mergeCell ref="BV109:BV111"/>
    <mergeCell ref="AL129:AV129"/>
    <mergeCell ref="BU103:BU105"/>
  </mergeCells>
  <conditionalFormatting sqref="D4:BT111 AG128:AG130">
    <cfRule type="cellIs" priority="1" operator="between" dxfId="10">
      <formula>0.001</formula>
      <formula>0.083</formula>
    </cfRule>
    <cfRule type="cellIs" priority="2" operator="between" dxfId="9">
      <formula>0.1</formula>
      <formula>0.109</formula>
    </cfRule>
    <cfRule type="cellIs" priority="3" operator="between" dxfId="8">
      <formula>0.11</formula>
      <formula>0.119</formula>
    </cfRule>
    <cfRule type="cellIs" priority="4" operator="between" dxfId="7">
      <formula>0.12</formula>
      <formula>0.129</formula>
    </cfRule>
    <cfRule type="cellIs" priority="5" operator="between" dxfId="6">
      <formula>0.13</formula>
      <formula>0.139</formula>
    </cfRule>
    <cfRule type="cellIs" priority="6" operator="between" dxfId="5">
      <formula>0.14</formula>
      <formula>0.149</formula>
    </cfRule>
    <cfRule type="cellIs" priority="7" operator="between" dxfId="4">
      <formula>0.15</formula>
      <formula>0.159</formula>
    </cfRule>
    <cfRule type="cellIs" priority="8" operator="between" dxfId="3">
      <formula>0.16</formula>
      <formula>0.169</formula>
    </cfRule>
    <cfRule type="cellIs" priority="9" operator="between" dxfId="2">
      <formula>0.17</formula>
      <formula>0.179</formula>
    </cfRule>
    <cfRule type="cellIs" priority="10" operator="between" dxfId="1">
      <formula>0.18</formula>
      <formula>0.999</formula>
    </cfRule>
    <cfRule type="containsText" priority="50" operator="containsText" dxfId="0" text="">
      <formula>NOT(ISERROR(SEARCH("",D4)))</formula>
    </cfRule>
  </conditionalFormatting>
  <printOptions horizontalCentered="1"/>
  <pageMargins left="0.25" right="0.25" top="0.75" bottom="0.25" header="0" footer="0"/>
  <pageSetup orientation="portrait" paperSize="3" scale="35" pageOrder="overThenDown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Z148"/>
  <sheetViews>
    <sheetView zoomScale="40" zoomScaleNormal="40" workbookViewId="0">
      <selection activeCell="CH8" sqref="CH8"/>
    </sheetView>
  </sheetViews>
  <sheetFormatPr baseColWidth="8" defaultColWidth="11.7109375" defaultRowHeight="12.75"/>
  <cols>
    <col width="5.7109375" customWidth="1" style="212" min="1" max="1"/>
    <col width="30.7109375" customWidth="1" style="1" min="2" max="2"/>
    <col width="7.28515625" bestFit="1" customWidth="1" style="2" min="3" max="3"/>
    <col width="2.5703125" customWidth="1" style="1" min="4" max="128"/>
    <col width="2.7109375" customWidth="1" style="1" min="129" max="130"/>
    <col hidden="1" width="2.42578125" customWidth="1" style="1" min="131" max="131"/>
    <col hidden="1" width="8.7109375" customWidth="1" style="2" min="132" max="132"/>
    <col hidden="1" style="2" min="133" max="172"/>
    <col hidden="1" width="11.5703125" customWidth="1" style="212" min="173" max="173"/>
    <col hidden="1" width="10.5703125" customWidth="1" style="212" min="174" max="174"/>
    <col hidden="1" width="10.85546875" customWidth="1" style="212" min="175" max="175"/>
    <col hidden="1" width="10.5703125" customWidth="1" style="212" min="176" max="177"/>
    <col hidden="1" width="10.85546875" customWidth="1" style="212" min="178" max="178"/>
    <col hidden="1" width="9.5703125" customWidth="1" style="212" min="179" max="179"/>
    <col hidden="1" width="11.7109375" customWidth="1" style="212" min="180" max="245"/>
    <col width="11.7109375" customWidth="1" style="212" min="246" max="247"/>
    <col width="11.7109375" customWidth="1" style="212" min="248" max="16384"/>
  </cols>
  <sheetData>
    <row r="1" ht="36" customHeight="1">
      <c r="A1" s="587">
        <f>Thickness!A1</f>
        <v/>
      </c>
      <c r="B1" s="446" t="n"/>
      <c r="C1" s="473">
        <f>IF(ISBLANK(Thickness!C1),"",(Thickness!C1))</f>
        <v/>
      </c>
      <c r="D1" s="448" t="n"/>
      <c r="E1" s="448" t="n"/>
      <c r="F1" s="448" t="n"/>
      <c r="G1" s="448" t="n"/>
      <c r="H1" s="448" t="n"/>
      <c r="I1" s="448" t="n"/>
      <c r="J1" s="448" t="n"/>
      <c r="K1" s="448" t="n"/>
      <c r="L1" s="448" t="n"/>
      <c r="M1" s="448" t="n"/>
      <c r="N1" s="448" t="n"/>
      <c r="O1" s="448" t="n"/>
      <c r="P1" s="448" t="n"/>
      <c r="Q1" s="448" t="n"/>
      <c r="R1" s="448" t="n"/>
      <c r="S1" s="448" t="n"/>
      <c r="T1" s="448" t="n"/>
      <c r="U1" s="448" t="n"/>
      <c r="V1" s="448" t="n"/>
      <c r="W1" s="448" t="n"/>
      <c r="X1" s="448" t="n"/>
      <c r="Y1" s="448" t="n"/>
      <c r="Z1" s="448" t="n"/>
      <c r="AA1" s="448" t="n"/>
      <c r="AB1" s="448" t="n"/>
      <c r="AC1" s="448" t="n"/>
      <c r="AD1" s="448" t="n"/>
      <c r="AE1" s="448" t="n"/>
      <c r="AF1" s="448" t="n"/>
      <c r="AG1" s="448" t="n"/>
      <c r="AH1" s="448" t="n"/>
      <c r="AI1" s="448" t="n"/>
      <c r="AJ1" s="448" t="n"/>
      <c r="AK1" s="448" t="n"/>
      <c r="AL1" s="448" t="n"/>
      <c r="AM1" s="448" t="n"/>
      <c r="AN1" s="448" t="n"/>
      <c r="AO1" s="448" t="n"/>
      <c r="AP1" s="448" t="n"/>
      <c r="AQ1" s="448" t="n"/>
      <c r="AR1" s="448" t="n"/>
      <c r="AS1" s="448" t="n"/>
      <c r="AT1" s="448" t="n"/>
      <c r="AU1" s="448" t="n"/>
      <c r="AV1" s="448" t="n"/>
      <c r="AW1" s="448" t="n"/>
      <c r="AX1" s="448" t="n"/>
      <c r="AY1" s="448" t="n"/>
      <c r="AZ1" s="448" t="n"/>
      <c r="BA1" s="448" t="n"/>
      <c r="BB1" s="448" t="n"/>
      <c r="BC1" s="448" t="n"/>
      <c r="BD1" s="448" t="n"/>
      <c r="BE1" s="448" t="n"/>
      <c r="BF1" s="448" t="n"/>
      <c r="BG1" s="448" t="n"/>
      <c r="BH1" s="448" t="n"/>
      <c r="BI1" s="448" t="n"/>
      <c r="BJ1" s="448" t="n"/>
      <c r="BK1" s="448" t="n"/>
      <c r="BL1" s="448" t="n"/>
      <c r="BM1" s="448" t="n"/>
      <c r="BN1" s="448" t="n"/>
      <c r="BO1" s="448" t="n"/>
      <c r="BP1" s="448" t="n"/>
      <c r="BQ1" s="448" t="n"/>
      <c r="BR1" s="448" t="n"/>
      <c r="BS1" s="448" t="n"/>
      <c r="BT1" s="448" t="n"/>
      <c r="BU1" s="448" t="n"/>
      <c r="BV1" s="448" t="n"/>
      <c r="BW1" s="448" t="n"/>
      <c r="BX1" s="448" t="n"/>
      <c r="BY1" s="448" t="n"/>
      <c r="BZ1" s="448" t="n"/>
      <c r="CA1" s="448" t="n"/>
      <c r="CB1" s="448" t="n"/>
      <c r="CC1" s="448" t="n"/>
      <c r="CD1" s="448" t="n"/>
      <c r="CE1" s="448" t="n"/>
      <c r="CF1" s="448" t="n"/>
      <c r="CG1" s="448" t="n"/>
      <c r="CH1" s="448" t="n"/>
      <c r="CI1" s="448" t="n"/>
      <c r="CJ1" s="448" t="n"/>
      <c r="CK1" s="448" t="n"/>
      <c r="CL1" s="448" t="n"/>
      <c r="CM1" s="448" t="n"/>
      <c r="CN1" s="448" t="n"/>
      <c r="CO1" s="448" t="n"/>
      <c r="CP1" s="448" t="n"/>
      <c r="CQ1" s="448" t="n"/>
      <c r="CR1" s="448" t="n"/>
      <c r="CS1" s="448" t="n"/>
      <c r="CT1" s="448" t="n"/>
      <c r="CU1" s="448" t="n"/>
      <c r="CV1" s="448" t="n"/>
      <c r="CW1" s="448" t="n"/>
      <c r="CX1" s="448" t="n"/>
      <c r="CY1" s="448" t="n"/>
      <c r="CZ1" s="448" t="n"/>
      <c r="DA1" s="448" t="n"/>
      <c r="DB1" s="448" t="n"/>
      <c r="DC1" s="448" t="n"/>
      <c r="DD1" s="448" t="n"/>
      <c r="DE1" s="448" t="n"/>
      <c r="DF1" s="448" t="n"/>
      <c r="DG1" s="448" t="n"/>
      <c r="DH1" s="448" t="n"/>
      <c r="DI1" s="448" t="n"/>
      <c r="DJ1" s="448" t="n"/>
      <c r="DK1" s="448" t="n"/>
      <c r="DL1" s="448" t="n"/>
      <c r="DM1" s="448" t="n"/>
      <c r="DN1" s="448" t="n"/>
      <c r="DO1" s="448" t="n"/>
      <c r="DP1" s="449" t="n"/>
      <c r="DQ1" s="450" t="inlineStr">
        <is>
          <t>OBSTRUCTION</t>
        </is>
      </c>
      <c r="DR1" s="448" t="n"/>
      <c r="DS1" s="448" t="n"/>
      <c r="DT1" s="448" t="n"/>
      <c r="DU1" s="448" t="n"/>
      <c r="DV1" s="448" t="n"/>
      <c r="DW1" s="448" t="n"/>
      <c r="DX1" s="448" t="n"/>
      <c r="DY1" s="448" t="n"/>
      <c r="DZ1" s="449" t="n"/>
    </row>
    <row r="2" ht="36" customFormat="1" customHeight="1" s="5">
      <c r="A2" s="14" t="n"/>
      <c r="B2" s="451" t="n"/>
      <c r="C2" s="452" t="inlineStr">
        <is>
          <t xml:space="preserve">TUBES NUMBERED LEFT TO RIGHT FACING WALL. </t>
        </is>
      </c>
      <c r="D2" s="448" t="n"/>
      <c r="E2" s="448" t="n"/>
      <c r="F2" s="448" t="n"/>
      <c r="G2" s="448" t="n"/>
      <c r="H2" s="448" t="n"/>
      <c r="I2" s="448" t="n"/>
      <c r="J2" s="448" t="n"/>
      <c r="K2" s="448" t="n"/>
      <c r="L2" s="448" t="n"/>
      <c r="M2" s="448" t="n"/>
      <c r="N2" s="448" t="n"/>
      <c r="O2" s="448" t="n"/>
      <c r="P2" s="448" t="n"/>
      <c r="Q2" s="448" t="n"/>
      <c r="R2" s="448" t="n"/>
      <c r="S2" s="448" t="n"/>
      <c r="T2" s="448" t="n"/>
      <c r="U2" s="448" t="n"/>
      <c r="V2" s="448" t="n"/>
      <c r="W2" s="448" t="n"/>
      <c r="X2" s="448" t="n"/>
      <c r="Y2" s="448" t="n"/>
      <c r="Z2" s="448" t="n"/>
      <c r="AA2" s="448" t="n"/>
      <c r="AB2" s="448" t="n"/>
      <c r="AC2" s="448" t="n"/>
      <c r="AD2" s="448" t="n"/>
      <c r="AE2" s="448" t="n"/>
      <c r="AF2" s="448" t="n"/>
      <c r="AG2" s="448" t="n"/>
      <c r="AH2" s="448" t="n"/>
      <c r="AI2" s="448" t="n"/>
      <c r="AJ2" s="448" t="n"/>
      <c r="AK2" s="448" t="n"/>
      <c r="AL2" s="448" t="n"/>
      <c r="AM2" s="448" t="n"/>
      <c r="AN2" s="448" t="n"/>
      <c r="AO2" s="448" t="n"/>
      <c r="AP2" s="448" t="n"/>
      <c r="AQ2" s="448" t="n"/>
      <c r="AR2" s="448" t="n"/>
      <c r="AS2" s="448" t="n"/>
      <c r="AT2" s="448" t="n"/>
      <c r="AU2" s="448" t="n"/>
      <c r="AV2" s="448" t="n"/>
      <c r="AW2" s="448" t="n"/>
      <c r="AX2" s="448" t="n"/>
      <c r="AY2" s="448" t="n"/>
      <c r="AZ2" s="448" t="n"/>
      <c r="BA2" s="448" t="n"/>
      <c r="BB2" s="448" t="n"/>
      <c r="BC2" s="448" t="n"/>
      <c r="BD2" s="448" t="n"/>
      <c r="BE2" s="448" t="n"/>
      <c r="BF2" s="448" t="n"/>
      <c r="BG2" s="448" t="n"/>
      <c r="BH2" s="448" t="n"/>
      <c r="BI2" s="448" t="n"/>
      <c r="BJ2" s="448" t="n"/>
      <c r="BK2" s="448" t="n"/>
      <c r="BL2" s="448" t="n"/>
      <c r="BM2" s="448" t="n"/>
      <c r="BN2" s="448" t="n"/>
      <c r="BO2" s="448" t="n"/>
      <c r="BP2" s="448" t="n"/>
      <c r="BQ2" s="448" t="n"/>
      <c r="BR2" s="448" t="n"/>
      <c r="BS2" s="448" t="n"/>
      <c r="BT2" s="448" t="n"/>
      <c r="BU2" s="448" t="n"/>
      <c r="BV2" s="448" t="n"/>
      <c r="BW2" s="448" t="n"/>
      <c r="BX2" s="448" t="n"/>
      <c r="BY2" s="448" t="n"/>
      <c r="BZ2" s="448" t="n"/>
      <c r="CA2" s="448" t="n"/>
      <c r="CB2" s="448" t="n"/>
      <c r="CC2" s="448" t="n"/>
      <c r="CD2" s="448" t="n"/>
      <c r="CE2" s="448" t="n"/>
      <c r="CF2" s="448" t="n"/>
      <c r="CG2" s="448" t="n"/>
      <c r="CH2" s="448" t="n"/>
      <c r="CI2" s="448" t="n"/>
      <c r="CJ2" s="448" t="n"/>
      <c r="CK2" s="448" t="n"/>
      <c r="CL2" s="448" t="n"/>
      <c r="CM2" s="448" t="n"/>
      <c r="CN2" s="448" t="n"/>
      <c r="CO2" s="448" t="n"/>
      <c r="CP2" s="448" t="n"/>
      <c r="CQ2" s="448" t="n"/>
      <c r="CR2" s="448" t="n"/>
      <c r="CS2" s="448" t="n"/>
      <c r="CT2" s="448" t="n"/>
      <c r="CU2" s="448" t="n"/>
      <c r="CV2" s="448" t="n"/>
      <c r="CW2" s="448" t="n"/>
      <c r="CX2" s="448" t="n"/>
      <c r="CY2" s="448" t="n"/>
      <c r="CZ2" s="448" t="n"/>
      <c r="DA2" s="448" t="n"/>
      <c r="DB2" s="448" t="n"/>
      <c r="DC2" s="448" t="n"/>
      <c r="DD2" s="448" t="n"/>
      <c r="DE2" s="448" t="n"/>
      <c r="DF2" s="448" t="n"/>
      <c r="DG2" s="448" t="n"/>
      <c r="DH2" s="448" t="n"/>
      <c r="DI2" s="448" t="n"/>
      <c r="DJ2" s="448" t="n"/>
      <c r="DK2" s="448" t="n"/>
      <c r="DL2" s="448" t="n"/>
      <c r="DM2" s="448" t="n"/>
      <c r="DN2" s="448" t="n"/>
      <c r="DO2" s="448" t="n"/>
      <c r="DP2" s="449" t="n"/>
      <c r="DQ2" s="450" t="inlineStr">
        <is>
          <t>ORIENTATION</t>
        </is>
      </c>
      <c r="DR2" s="448" t="n"/>
      <c r="DS2" s="448" t="n"/>
      <c r="DT2" s="448" t="n"/>
      <c r="DU2" s="448" t="n"/>
      <c r="DV2" s="448" t="n"/>
      <c r="DW2" s="448" t="n"/>
      <c r="DX2" s="448" t="n"/>
      <c r="DY2" s="448" t="n"/>
      <c r="DZ2" s="449" t="n"/>
      <c r="EA2" s="4" t="n"/>
    </row>
    <row r="3" ht="36" customFormat="1" customHeight="1" s="5">
      <c r="A3" s="453" t="inlineStr">
        <is>
          <t>ELEVATION</t>
        </is>
      </c>
      <c r="B3" s="449" t="n"/>
      <c r="C3" s="18" t="inlineStr">
        <is>
          <t>LOC</t>
        </is>
      </c>
      <c r="D3" s="25" t="n">
        <v>1</v>
      </c>
      <c r="E3" s="19" t="n">
        <v>2</v>
      </c>
      <c r="F3" s="19" t="n">
        <v>3</v>
      </c>
      <c r="G3" s="19" t="n">
        <v>4</v>
      </c>
      <c r="H3" s="19" t="n">
        <v>5</v>
      </c>
      <c r="I3" s="19" t="n">
        <v>6</v>
      </c>
      <c r="J3" s="19" t="n">
        <v>7</v>
      </c>
      <c r="K3" s="19" t="n">
        <v>8</v>
      </c>
      <c r="L3" s="19" t="n">
        <v>9</v>
      </c>
      <c r="M3" s="19" t="n">
        <v>10</v>
      </c>
      <c r="N3" s="19" t="n">
        <v>11</v>
      </c>
      <c r="O3" s="19" t="n">
        <v>12</v>
      </c>
      <c r="P3" s="19" t="n">
        <v>13</v>
      </c>
      <c r="Q3" s="19" t="n">
        <v>14</v>
      </c>
      <c r="R3" s="19" t="n">
        <v>15</v>
      </c>
      <c r="S3" s="19" t="n">
        <v>16</v>
      </c>
      <c r="T3" s="19" t="n">
        <v>17</v>
      </c>
      <c r="U3" s="19" t="n">
        <v>18</v>
      </c>
      <c r="V3" s="19" t="n">
        <v>19</v>
      </c>
      <c r="W3" s="19" t="n">
        <v>20</v>
      </c>
      <c r="X3" s="19" t="n">
        <v>21</v>
      </c>
      <c r="Y3" s="19" t="n">
        <v>22</v>
      </c>
      <c r="Z3" s="19" t="n">
        <v>23</v>
      </c>
      <c r="AA3" s="19" t="n">
        <v>24</v>
      </c>
      <c r="AB3" s="19" t="n">
        <v>25</v>
      </c>
      <c r="AC3" s="19" t="n">
        <v>26</v>
      </c>
      <c r="AD3" s="19" t="n">
        <v>27</v>
      </c>
      <c r="AE3" s="19" t="n">
        <v>28</v>
      </c>
      <c r="AF3" s="19" t="n">
        <v>29</v>
      </c>
      <c r="AG3" s="19" t="n">
        <v>30</v>
      </c>
      <c r="AH3" s="19" t="n">
        <v>31</v>
      </c>
      <c r="AI3" s="19" t="n">
        <v>32</v>
      </c>
      <c r="AJ3" s="19" t="n">
        <v>33</v>
      </c>
      <c r="AK3" s="19" t="n">
        <v>34</v>
      </c>
      <c r="AL3" s="19" t="n">
        <v>35</v>
      </c>
      <c r="AM3" s="19" t="n">
        <v>36</v>
      </c>
      <c r="AN3" s="19" t="n">
        <v>37</v>
      </c>
      <c r="AO3" s="19" t="n">
        <v>38</v>
      </c>
      <c r="AP3" s="19" t="n">
        <v>39</v>
      </c>
      <c r="AQ3" s="19" t="n">
        <v>40</v>
      </c>
      <c r="AR3" s="19" t="n">
        <v>41</v>
      </c>
      <c r="AS3" s="19" t="n">
        <v>42</v>
      </c>
      <c r="AT3" s="19" t="n">
        <v>43</v>
      </c>
      <c r="AU3" s="19" t="n">
        <v>44</v>
      </c>
      <c r="AV3" s="19" t="n">
        <v>45</v>
      </c>
      <c r="AW3" s="19" t="n">
        <v>46</v>
      </c>
      <c r="AX3" s="19" t="n">
        <v>47</v>
      </c>
      <c r="AY3" s="19" t="n">
        <v>48</v>
      </c>
      <c r="AZ3" s="19" t="n">
        <v>49</v>
      </c>
      <c r="BA3" s="19" t="n">
        <v>50</v>
      </c>
      <c r="BB3" s="19" t="n">
        <v>51</v>
      </c>
      <c r="BC3" s="19" t="n">
        <v>52</v>
      </c>
      <c r="BD3" s="19" t="n">
        <v>53</v>
      </c>
      <c r="BE3" s="19" t="n">
        <v>54</v>
      </c>
      <c r="BF3" s="19" t="n">
        <v>55</v>
      </c>
      <c r="BG3" s="19" t="n">
        <v>56</v>
      </c>
      <c r="BH3" s="19" t="n">
        <v>57</v>
      </c>
      <c r="BI3" s="19" t="n">
        <v>58</v>
      </c>
      <c r="BJ3" s="19" t="n">
        <v>59</v>
      </c>
      <c r="BK3" s="19" t="n">
        <v>60</v>
      </c>
      <c r="BL3" s="19" t="n">
        <v>61</v>
      </c>
      <c r="BM3" s="19" t="n">
        <v>62</v>
      </c>
      <c r="BN3" s="19" t="n">
        <v>63</v>
      </c>
      <c r="BO3" s="19" t="n">
        <v>64</v>
      </c>
      <c r="BP3" s="19" t="n">
        <v>65</v>
      </c>
      <c r="BQ3" s="19" t="n">
        <v>66</v>
      </c>
      <c r="BR3" s="19" t="n">
        <v>67</v>
      </c>
      <c r="BS3" s="19" t="n">
        <v>68</v>
      </c>
      <c r="BT3" s="94" t="n">
        <v>69</v>
      </c>
      <c r="BU3" s="19" t="n"/>
      <c r="BV3" s="19" t="n"/>
      <c r="BW3" s="19" t="n"/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19" t="n"/>
      <c r="CL3" s="19" t="n"/>
      <c r="CM3" s="19" t="n"/>
      <c r="CN3" s="19" t="n"/>
      <c r="CO3" s="19" t="n"/>
      <c r="CP3" s="19" t="n"/>
      <c r="CQ3" s="19" t="n"/>
      <c r="CR3" s="19" t="n"/>
      <c r="CS3" s="19" t="n"/>
      <c r="CT3" s="19" t="n"/>
      <c r="CU3" s="19" t="n"/>
      <c r="CV3" s="19" t="n"/>
      <c r="CW3" s="19" t="n"/>
      <c r="CX3" s="19" t="n"/>
      <c r="CY3" s="19" t="n"/>
      <c r="CZ3" s="19" t="n"/>
      <c r="DA3" s="19" t="n"/>
      <c r="DB3" s="19" t="n"/>
      <c r="DC3" s="19" t="n"/>
      <c r="DD3" s="19" t="n"/>
      <c r="DE3" s="19" t="n"/>
      <c r="DF3" s="19" t="n"/>
      <c r="DG3" s="19" t="n"/>
      <c r="DH3" s="19" t="n"/>
      <c r="DI3" s="19" t="n"/>
      <c r="DJ3" s="19" t="n"/>
      <c r="DK3" s="19" t="n"/>
      <c r="DL3" s="19" t="n"/>
      <c r="DM3" s="19" t="n"/>
      <c r="DN3" s="19" t="n"/>
      <c r="DO3" s="20" t="n"/>
      <c r="DP3" s="20" t="n"/>
      <c r="DQ3" s="20" t="n"/>
      <c r="DR3" s="20" t="n"/>
      <c r="DS3" s="20" t="n"/>
      <c r="DT3" s="20" t="n"/>
      <c r="DU3" s="20" t="n"/>
      <c r="DV3" s="20" t="n"/>
      <c r="DW3" s="20" t="n"/>
      <c r="DX3" s="20" t="n"/>
      <c r="DY3" s="20" t="n"/>
      <c r="DZ3" s="21" t="n"/>
    </row>
    <row r="4" ht="36" customFormat="1" customHeight="1" s="5">
      <c r="A4" s="10" t="inlineStr">
        <is>
          <t>A</t>
        </is>
      </c>
      <c r="B4" s="6" t="n"/>
      <c r="C4" s="351" t="inlineStr">
        <is>
          <t>Year</t>
        </is>
      </c>
      <c r="D4" s="588" t="inlineStr">
        <is>
          <t>Oct 2038</t>
        </is>
      </c>
      <c r="E4" s="589" t="inlineStr">
        <is>
          <t>May 2055</t>
        </is>
      </c>
      <c r="F4" s="589" t="inlineStr">
        <is>
          <t>May 2055</t>
        </is>
      </c>
      <c r="G4" s="589" t="inlineStr">
        <is>
          <t>May 2055</t>
        </is>
      </c>
      <c r="H4" s="590" t="inlineStr">
        <is>
          <t>May 2055</t>
        </is>
      </c>
      <c r="I4" s="591" t="inlineStr">
        <is>
          <t>May 2055</t>
        </is>
      </c>
      <c r="J4" s="589" t="inlineStr">
        <is>
          <t>Oct 2035</t>
        </is>
      </c>
      <c r="K4" s="589" t="inlineStr">
        <is>
          <t>Jan 2044</t>
        </is>
      </c>
      <c r="L4" s="589" t="inlineStr">
        <is>
          <t>Dec 2042</t>
        </is>
      </c>
      <c r="M4" s="590" t="inlineStr">
        <is>
          <t>May 2055</t>
        </is>
      </c>
      <c r="N4" s="591" t="inlineStr">
        <is>
          <t>Nov 2051</t>
        </is>
      </c>
      <c r="O4" s="589" t="inlineStr">
        <is>
          <t>May 2055</t>
        </is>
      </c>
      <c r="P4" s="589" t="inlineStr">
        <is>
          <t>May 2055</t>
        </is>
      </c>
      <c r="Q4" s="589" t="inlineStr">
        <is>
          <t>Jul 2044</t>
        </is>
      </c>
      <c r="R4" s="590" t="inlineStr">
        <is>
          <t>May 2055</t>
        </is>
      </c>
      <c r="S4" s="591" t="inlineStr">
        <is>
          <t>May 2055</t>
        </is>
      </c>
      <c r="T4" s="589" t="inlineStr">
        <is>
          <t>May 2055</t>
        </is>
      </c>
      <c r="U4" s="589" t="inlineStr">
        <is>
          <t>May 2055</t>
        </is>
      </c>
      <c r="V4" s="589" t="inlineStr">
        <is>
          <t>May 2055</t>
        </is>
      </c>
      <c r="W4" s="590" t="inlineStr">
        <is>
          <t>Dec 2040</t>
        </is>
      </c>
      <c r="X4" s="591" t="inlineStr">
        <is>
          <t>Jul 2053</t>
        </is>
      </c>
      <c r="Y4" s="589" t="inlineStr">
        <is>
          <t>May 2055</t>
        </is>
      </c>
      <c r="Z4" s="589" t="inlineStr">
        <is>
          <t>May 2055</t>
        </is>
      </c>
      <c r="AA4" s="589" t="inlineStr">
        <is>
          <t>ND</t>
        </is>
      </c>
      <c r="AB4" s="590" t="inlineStr">
        <is>
          <t>May 2055</t>
        </is>
      </c>
      <c r="AC4" s="591" t="inlineStr">
        <is>
          <t>May 2055</t>
        </is>
      </c>
      <c r="AD4" s="589" t="inlineStr">
        <is>
          <t>May 2055</t>
        </is>
      </c>
      <c r="AE4" s="589" t="inlineStr">
        <is>
          <t>May 2055</t>
        </is>
      </c>
      <c r="AF4" s="589" t="inlineStr">
        <is>
          <t>Apr 2043</t>
        </is>
      </c>
      <c r="AG4" s="590" t="inlineStr">
        <is>
          <t>May 2055</t>
        </is>
      </c>
      <c r="AH4" s="591" t="inlineStr">
        <is>
          <t>May 2049</t>
        </is>
      </c>
      <c r="AI4" s="589" t="inlineStr">
        <is>
          <t>May 2055</t>
        </is>
      </c>
      <c r="AJ4" s="589" t="inlineStr">
        <is>
          <t>ND</t>
        </is>
      </c>
      <c r="AK4" s="589" t="inlineStr">
        <is>
          <t>ND</t>
        </is>
      </c>
      <c r="AL4" s="590" t="inlineStr">
        <is>
          <t>ND</t>
        </is>
      </c>
      <c r="AM4" s="591" t="inlineStr">
        <is>
          <t>May 2055</t>
        </is>
      </c>
      <c r="AN4" s="589" t="inlineStr">
        <is>
          <t>Mar 2052</t>
        </is>
      </c>
      <c r="AO4" s="589" t="inlineStr">
        <is>
          <t>Jun 2050</t>
        </is>
      </c>
      <c r="AP4" s="589" t="inlineStr">
        <is>
          <t>May 2039</t>
        </is>
      </c>
      <c r="AQ4" s="590" t="inlineStr">
        <is>
          <t>May 2055</t>
        </is>
      </c>
      <c r="AR4" s="591" t="inlineStr">
        <is>
          <t>ND</t>
        </is>
      </c>
      <c r="AS4" s="589" t="inlineStr">
        <is>
          <t>ND</t>
        </is>
      </c>
      <c r="AT4" s="589" t="inlineStr">
        <is>
          <t>Dec 2049</t>
        </is>
      </c>
      <c r="AU4" s="589" t="inlineStr">
        <is>
          <t>May 2055</t>
        </is>
      </c>
      <c r="AV4" s="590" t="inlineStr">
        <is>
          <t>ND</t>
        </is>
      </c>
      <c r="AW4" s="591" t="inlineStr">
        <is>
          <t>ND</t>
        </is>
      </c>
      <c r="AX4" s="589" t="inlineStr">
        <is>
          <t>ND</t>
        </is>
      </c>
      <c r="AY4" s="589" t="inlineStr">
        <is>
          <t>Jan 2046</t>
        </is>
      </c>
      <c r="AZ4" s="589" t="inlineStr">
        <is>
          <t>May 2055</t>
        </is>
      </c>
      <c r="BA4" s="590" t="inlineStr">
        <is>
          <t>May 2055</t>
        </is>
      </c>
      <c r="BB4" s="591" t="inlineStr">
        <is>
          <t>May 2055</t>
        </is>
      </c>
      <c r="BC4" s="589" t="inlineStr">
        <is>
          <t>May 2055</t>
        </is>
      </c>
      <c r="BD4" s="589" t="inlineStr">
        <is>
          <t>ND</t>
        </is>
      </c>
      <c r="BE4" s="589" t="inlineStr">
        <is>
          <t>May 2055</t>
        </is>
      </c>
      <c r="BF4" s="590" t="inlineStr">
        <is>
          <t>Jul 2054</t>
        </is>
      </c>
      <c r="BG4" s="591" t="inlineStr">
        <is>
          <t>May 2055</t>
        </is>
      </c>
      <c r="BH4" s="589" t="inlineStr">
        <is>
          <t>ND</t>
        </is>
      </c>
      <c r="BI4" s="589" t="inlineStr">
        <is>
          <t>ND</t>
        </is>
      </c>
      <c r="BJ4" s="589" t="inlineStr">
        <is>
          <t>May 2055</t>
        </is>
      </c>
      <c r="BK4" s="590" t="inlineStr">
        <is>
          <t>May 2055</t>
        </is>
      </c>
      <c r="BL4" s="591" t="inlineStr">
        <is>
          <t>May 2055</t>
        </is>
      </c>
      <c r="BM4" s="589" t="inlineStr">
        <is>
          <t>May 2055</t>
        </is>
      </c>
      <c r="BN4" s="589" t="inlineStr">
        <is>
          <t>May 2055</t>
        </is>
      </c>
      <c r="BO4" s="589" t="inlineStr">
        <is>
          <t>ND</t>
        </is>
      </c>
      <c r="BP4" s="590" t="inlineStr">
        <is>
          <t>ND</t>
        </is>
      </c>
      <c r="BQ4" s="591" t="inlineStr">
        <is>
          <t>May 2055</t>
        </is>
      </c>
      <c r="BR4" s="589" t="inlineStr">
        <is>
          <t>May 2055</t>
        </is>
      </c>
      <c r="BS4" s="589" t="inlineStr">
        <is>
          <t>ND</t>
        </is>
      </c>
      <c r="BT4" s="590" t="inlineStr">
        <is>
          <t>May 2055</t>
        </is>
      </c>
      <c r="BU4" s="437" t="n"/>
      <c r="BV4" s="437" t="n"/>
      <c r="BW4" s="437" t="n"/>
      <c r="BX4" s="437" t="n"/>
      <c r="BY4" s="437" t="n"/>
      <c r="BZ4" s="437" t="n"/>
      <c r="CA4" s="437" t="n"/>
      <c r="CB4" s="437" t="n"/>
      <c r="CC4" s="437" t="n"/>
      <c r="CD4" s="437" t="n"/>
      <c r="CE4" s="437" t="n"/>
      <c r="CF4" s="437" t="n"/>
      <c r="CG4" s="437" t="n"/>
      <c r="CH4" s="437" t="n"/>
      <c r="CI4" s="437" t="n"/>
      <c r="CJ4" s="437" t="n"/>
      <c r="CK4" s="437" t="n"/>
      <c r="CL4" s="437" t="n"/>
      <c r="CM4" s="437" t="n"/>
      <c r="CN4" s="437" t="n"/>
      <c r="CO4" s="437" t="n"/>
      <c r="CP4" s="437" t="n"/>
      <c r="CQ4" s="437" t="n"/>
      <c r="CR4" s="437" t="n"/>
      <c r="CS4" s="437" t="n"/>
      <c r="CT4" s="437" t="n"/>
      <c r="CU4" s="437" t="n"/>
      <c r="CV4" s="437" t="n"/>
      <c r="CW4" s="437" t="n"/>
      <c r="CX4" s="437" t="n"/>
      <c r="CY4" s="437" t="n"/>
      <c r="CZ4" s="437" t="n"/>
      <c r="DA4" s="437" t="n"/>
      <c r="DB4" s="437" t="n"/>
      <c r="DC4" s="437" t="n"/>
      <c r="DD4" s="437" t="n"/>
      <c r="DE4" s="437" t="n"/>
      <c r="DF4" s="437" t="n"/>
      <c r="DG4" s="437" t="n"/>
      <c r="DH4" s="437" t="n"/>
      <c r="DI4" s="437" t="n"/>
      <c r="DJ4" s="437" t="n"/>
      <c r="DK4" s="437" t="n"/>
      <c r="DL4" s="437" t="n"/>
      <c r="DM4" s="437" t="n"/>
      <c r="DN4" s="437" t="n"/>
      <c r="DO4" s="437" t="n"/>
      <c r="DP4" s="437" t="n"/>
      <c r="DQ4" s="437" t="n"/>
      <c r="DR4" s="437" t="n"/>
      <c r="DS4" s="437" t="n"/>
      <c r="DT4" s="437" t="n"/>
      <c r="DU4" s="437" t="n"/>
      <c r="DV4" s="437" t="n"/>
      <c r="DW4" s="437" t="n"/>
      <c r="DX4" s="437" t="n"/>
      <c r="DY4" s="238" t="n"/>
      <c r="DZ4" s="23" t="n"/>
      <c r="FQ4" s="212" t="n"/>
      <c r="FR4" s="212" t="n"/>
      <c r="FS4" s="212" t="n"/>
      <c r="FT4" s="212" t="n"/>
      <c r="FU4" s="212" t="n"/>
      <c r="FV4" s="212" t="n"/>
      <c r="FW4" s="212" t="n"/>
      <c r="FX4" s="212" t="n"/>
      <c r="FY4" s="212" t="n"/>
      <c r="FZ4" s="212" t="n"/>
    </row>
    <row r="5" ht="36" customFormat="1" customHeight="1" s="5">
      <c r="A5" s="182" t="inlineStr"/>
      <c r="B5" s="7" t="inlineStr">
        <is>
          <t>+16 FT 6 IN</t>
        </is>
      </c>
      <c r="C5" s="456" t="n"/>
      <c r="D5" s="13" t="n"/>
      <c r="H5" s="592" t="n"/>
      <c r="I5" s="593" t="n"/>
      <c r="M5" s="592" t="n"/>
      <c r="N5" s="593" t="n"/>
      <c r="R5" s="592" t="n"/>
      <c r="S5" s="593" t="n"/>
      <c r="W5" s="592" t="n"/>
      <c r="X5" s="593" t="n"/>
      <c r="AB5" s="592" t="n"/>
      <c r="AC5" s="593" t="n"/>
      <c r="AG5" s="592" t="n"/>
      <c r="AH5" s="593" t="n"/>
      <c r="AL5" s="592" t="n"/>
      <c r="AM5" s="593" t="n"/>
      <c r="AQ5" s="592" t="n"/>
      <c r="AR5" s="593" t="n"/>
      <c r="AV5" s="592" t="n"/>
      <c r="AW5" s="593" t="n"/>
      <c r="BA5" s="592" t="n"/>
      <c r="BB5" s="593" t="n"/>
      <c r="BF5" s="592" t="n"/>
      <c r="BG5" s="593" t="n"/>
      <c r="BK5" s="592" t="n"/>
      <c r="BL5" s="593" t="n"/>
      <c r="BP5" s="592" t="n"/>
      <c r="BQ5" s="593" t="n"/>
      <c r="BT5" s="592" t="n"/>
      <c r="BU5" s="437" t="n"/>
      <c r="BV5" s="437" t="n"/>
      <c r="BW5" s="437" t="n"/>
      <c r="BX5" s="437" t="n"/>
      <c r="BY5" s="437" t="n"/>
      <c r="BZ5" s="437" t="n"/>
      <c r="CA5" s="437" t="n"/>
      <c r="CB5" s="437" t="n"/>
      <c r="CC5" s="437" t="n"/>
      <c r="CD5" s="437" t="n"/>
      <c r="CE5" s="437" t="n"/>
      <c r="CF5" s="437" t="n"/>
      <c r="CG5" s="437" t="n"/>
      <c r="CH5" s="437" t="n"/>
      <c r="CI5" s="437" t="n"/>
      <c r="CJ5" s="437" t="n"/>
      <c r="CK5" s="437" t="n"/>
      <c r="CL5" s="437" t="n"/>
      <c r="CM5" s="437" t="n"/>
      <c r="CN5" s="437" t="n"/>
      <c r="CO5" s="437" t="n"/>
      <c r="CP5" s="437" t="n"/>
      <c r="CQ5" s="437" t="n"/>
      <c r="CR5" s="437" t="n"/>
      <c r="CS5" s="437" t="n"/>
      <c r="CT5" s="437" t="n"/>
      <c r="CU5" s="437" t="n"/>
      <c r="CV5" s="437" t="n"/>
      <c r="CW5" s="437" t="n"/>
      <c r="CX5" s="437" t="n"/>
      <c r="CY5" s="437" t="n"/>
      <c r="CZ5" s="437" t="n"/>
      <c r="DA5" s="437" t="n"/>
      <c r="DB5" s="437" t="n"/>
      <c r="DC5" s="437" t="n"/>
      <c r="DD5" s="437" t="n"/>
      <c r="DE5" s="437" t="n"/>
      <c r="DF5" s="437" t="n"/>
      <c r="DG5" s="437" t="n"/>
      <c r="DH5" s="437" t="n"/>
      <c r="DI5" s="437" t="n"/>
      <c r="DJ5" s="437" t="n"/>
      <c r="DK5" s="437" t="n"/>
      <c r="DL5" s="437" t="n"/>
      <c r="DM5" s="437" t="n"/>
      <c r="DN5" s="437" t="n"/>
      <c r="DO5" s="437" t="n"/>
      <c r="DP5" s="437" t="n"/>
      <c r="DQ5" s="437" t="n"/>
      <c r="DR5" s="437" t="n"/>
      <c r="DS5" s="437" t="n"/>
      <c r="DT5" s="437" t="n"/>
      <c r="DU5" s="437" t="n"/>
      <c r="DV5" s="437" t="n"/>
      <c r="DW5" s="437" t="n"/>
      <c r="DX5" s="437" t="n"/>
      <c r="DY5" s="238" t="n"/>
      <c r="DZ5" s="23" t="n"/>
      <c r="FQ5" s="212" t="n"/>
      <c r="FR5" s="212" t="n"/>
      <c r="FS5" s="212" t="n"/>
      <c r="FT5" s="212" t="n"/>
      <c r="FU5" s="212" t="n"/>
      <c r="FV5" s="212" t="n"/>
      <c r="FW5" s="212" t="n"/>
      <c r="FX5" s="212" t="n"/>
      <c r="FY5" s="212" t="n"/>
      <c r="FZ5" s="212" t="n"/>
    </row>
    <row r="6" ht="36" customFormat="1" customHeight="1" s="5">
      <c r="A6" s="456" t="n"/>
      <c r="B6" s="8" t="n"/>
      <c r="C6" s="456" t="n"/>
      <c r="D6" s="594" t="n"/>
      <c r="E6" s="595" t="n"/>
      <c r="F6" s="595" t="n"/>
      <c r="G6" s="595" t="n"/>
      <c r="H6" s="596" t="n"/>
      <c r="I6" s="597" t="n"/>
      <c r="J6" s="595" t="n"/>
      <c r="K6" s="595" t="n"/>
      <c r="L6" s="595" t="n"/>
      <c r="M6" s="596" t="n"/>
      <c r="N6" s="597" t="n"/>
      <c r="O6" s="595" t="n"/>
      <c r="P6" s="595" t="n"/>
      <c r="Q6" s="595" t="n"/>
      <c r="R6" s="596" t="n"/>
      <c r="S6" s="597" t="n"/>
      <c r="T6" s="595" t="n"/>
      <c r="U6" s="595" t="n"/>
      <c r="V6" s="595" t="n"/>
      <c r="W6" s="596" t="n"/>
      <c r="X6" s="597" t="n"/>
      <c r="Y6" s="595" t="n"/>
      <c r="Z6" s="595" t="n"/>
      <c r="AA6" s="595" t="n"/>
      <c r="AB6" s="596" t="n"/>
      <c r="AC6" s="597" t="n"/>
      <c r="AD6" s="595" t="n"/>
      <c r="AE6" s="595" t="n"/>
      <c r="AF6" s="595" t="n"/>
      <c r="AG6" s="596" t="n"/>
      <c r="AH6" s="597" t="n"/>
      <c r="AI6" s="595" t="n"/>
      <c r="AJ6" s="595" t="n"/>
      <c r="AK6" s="595" t="n"/>
      <c r="AL6" s="596" t="n"/>
      <c r="AM6" s="597" t="n"/>
      <c r="AN6" s="595" t="n"/>
      <c r="AO6" s="595" t="n"/>
      <c r="AP6" s="595" t="n"/>
      <c r="AQ6" s="596" t="n"/>
      <c r="AR6" s="597" t="n"/>
      <c r="AS6" s="595" t="n"/>
      <c r="AT6" s="595" t="n"/>
      <c r="AU6" s="595" t="n"/>
      <c r="AV6" s="596" t="n"/>
      <c r="AW6" s="597" t="n"/>
      <c r="AX6" s="595" t="n"/>
      <c r="AY6" s="595" t="n"/>
      <c r="AZ6" s="595" t="n"/>
      <c r="BA6" s="596" t="n"/>
      <c r="BB6" s="597" t="n"/>
      <c r="BC6" s="595" t="n"/>
      <c r="BD6" s="595" t="n"/>
      <c r="BE6" s="595" t="n"/>
      <c r="BF6" s="596" t="n"/>
      <c r="BG6" s="597" t="n"/>
      <c r="BH6" s="595" t="n"/>
      <c r="BI6" s="595" t="n"/>
      <c r="BJ6" s="595" t="n"/>
      <c r="BK6" s="596" t="n"/>
      <c r="BL6" s="597" t="n"/>
      <c r="BM6" s="595" t="n"/>
      <c r="BN6" s="595" t="n"/>
      <c r="BO6" s="595" t="n"/>
      <c r="BP6" s="596" t="n"/>
      <c r="BQ6" s="597" t="n"/>
      <c r="BR6" s="595" t="n"/>
      <c r="BS6" s="595" t="n"/>
      <c r="BT6" s="596" t="n"/>
      <c r="BU6" s="437" t="n"/>
      <c r="BV6" s="437" t="n"/>
      <c r="BW6" s="437" t="n"/>
      <c r="BX6" s="437" t="n"/>
      <c r="BY6" s="437" t="n"/>
      <c r="BZ6" s="437" t="n"/>
      <c r="CA6" s="437" t="n"/>
      <c r="CB6" s="437" t="n"/>
      <c r="CC6" s="437" t="n"/>
      <c r="CD6" s="437" t="n"/>
      <c r="CE6" s="437" t="n"/>
      <c r="CF6" s="437" t="n"/>
      <c r="CG6" s="437" t="n"/>
      <c r="CH6" s="437" t="n"/>
      <c r="CI6" s="437" t="n"/>
      <c r="CJ6" s="437" t="n"/>
      <c r="CK6" s="437" t="n"/>
      <c r="CL6" s="437" t="n"/>
      <c r="CM6" s="437" t="n"/>
      <c r="CN6" s="437" t="n"/>
      <c r="CO6" s="437" t="n"/>
      <c r="CP6" s="437" t="n"/>
      <c r="CQ6" s="437" t="n"/>
      <c r="CR6" s="437" t="n"/>
      <c r="CS6" s="437" t="n"/>
      <c r="CT6" s="437" t="n"/>
      <c r="CU6" s="437" t="n"/>
      <c r="CV6" s="437" t="n"/>
      <c r="CW6" s="437" t="n"/>
      <c r="CX6" s="437" t="n"/>
      <c r="CY6" s="437" t="n"/>
      <c r="CZ6" s="437" t="n"/>
      <c r="DA6" s="437" t="n"/>
      <c r="DB6" s="437" t="n"/>
      <c r="DC6" s="437" t="n"/>
      <c r="DD6" s="437" t="n"/>
      <c r="DE6" s="437" t="n"/>
      <c r="DF6" s="437" t="n"/>
      <c r="DG6" s="437" t="n"/>
      <c r="DH6" s="437" t="n"/>
      <c r="DI6" s="437" t="n"/>
      <c r="DJ6" s="437" t="n"/>
      <c r="DK6" s="437" t="n"/>
      <c r="DL6" s="437" t="n"/>
      <c r="DM6" s="437" t="n"/>
      <c r="DN6" s="437" t="n"/>
      <c r="DO6" s="437" t="n"/>
      <c r="DP6" s="437" t="n"/>
      <c r="DQ6" s="437" t="n"/>
      <c r="DR6" s="437" t="n"/>
      <c r="DS6" s="437" t="n"/>
      <c r="DT6" s="437" t="n"/>
      <c r="DU6" s="437" t="n"/>
      <c r="DV6" s="437" t="n"/>
      <c r="DW6" s="437" t="n"/>
      <c r="DX6" s="437" t="n"/>
      <c r="DY6" s="238" t="n"/>
      <c r="DZ6" s="23" t="n"/>
      <c r="FQ6" s="212" t="n"/>
      <c r="FR6" s="212" t="n"/>
      <c r="FS6" s="212" t="n"/>
      <c r="FT6" s="212" t="n"/>
      <c r="FU6" s="212" t="n"/>
      <c r="FV6" s="212" t="n"/>
      <c r="FW6" s="212" t="n"/>
      <c r="FX6" s="212" t="n"/>
      <c r="FY6" s="212" t="n"/>
      <c r="FZ6" s="212" t="n"/>
    </row>
    <row r="7" ht="39.95" customFormat="1" customHeight="1" s="5">
      <c r="A7" s="10" t="inlineStr">
        <is>
          <t>A</t>
        </is>
      </c>
      <c r="B7" s="6" t="n"/>
      <c r="C7" s="351" t="inlineStr">
        <is>
          <t>Year</t>
        </is>
      </c>
      <c r="D7" s="588" t="inlineStr">
        <is>
          <t>ND</t>
        </is>
      </c>
      <c r="E7" s="589" t="inlineStr">
        <is>
          <t>May 2055</t>
        </is>
      </c>
      <c r="F7" s="589" t="inlineStr">
        <is>
          <t>May 2055</t>
        </is>
      </c>
      <c r="G7" s="589" t="inlineStr">
        <is>
          <t>May 2055</t>
        </is>
      </c>
      <c r="H7" s="590" t="inlineStr">
        <is>
          <t>May 2049</t>
        </is>
      </c>
      <c r="I7" s="591" t="inlineStr">
        <is>
          <t>ND</t>
        </is>
      </c>
      <c r="J7" s="589" t="inlineStr">
        <is>
          <t>May 2055</t>
        </is>
      </c>
      <c r="K7" s="589" t="inlineStr">
        <is>
          <t>May 2055</t>
        </is>
      </c>
      <c r="L7" s="589" t="inlineStr">
        <is>
          <t>May 2055</t>
        </is>
      </c>
      <c r="M7" s="590" t="inlineStr">
        <is>
          <t>May 2055</t>
        </is>
      </c>
      <c r="N7" s="591" t="inlineStr">
        <is>
          <t>May 2055</t>
        </is>
      </c>
      <c r="O7" s="589" t="inlineStr">
        <is>
          <t>May 2055</t>
        </is>
      </c>
      <c r="P7" s="589" t="inlineStr">
        <is>
          <t>May 2055</t>
        </is>
      </c>
      <c r="Q7" s="589" t="inlineStr">
        <is>
          <t>May 2055</t>
        </is>
      </c>
      <c r="R7" s="590" t="inlineStr">
        <is>
          <t>May 2055</t>
        </is>
      </c>
      <c r="S7" s="591" t="inlineStr">
        <is>
          <t>May 2055</t>
        </is>
      </c>
      <c r="T7" s="589" t="inlineStr">
        <is>
          <t>May 2055</t>
        </is>
      </c>
      <c r="U7" s="589" t="inlineStr">
        <is>
          <t>May 2055</t>
        </is>
      </c>
      <c r="V7" s="589" t="inlineStr">
        <is>
          <t>May 2055</t>
        </is>
      </c>
      <c r="W7" s="590" t="inlineStr">
        <is>
          <t>May 2055</t>
        </is>
      </c>
      <c r="X7" s="591" t="inlineStr">
        <is>
          <t>May 2055</t>
        </is>
      </c>
      <c r="Y7" s="589" t="inlineStr">
        <is>
          <t>Jul 2034</t>
        </is>
      </c>
      <c r="Z7" s="589" t="inlineStr">
        <is>
          <t>Jun 2041</t>
        </is>
      </c>
      <c r="AA7" s="589" t="inlineStr">
        <is>
          <t>May 2055</t>
        </is>
      </c>
      <c r="AB7" s="590" t="inlineStr">
        <is>
          <t>Jun 2044</t>
        </is>
      </c>
      <c r="AC7" s="591" t="inlineStr">
        <is>
          <t>May 2055</t>
        </is>
      </c>
      <c r="AD7" s="589" t="inlineStr">
        <is>
          <t>May 2055</t>
        </is>
      </c>
      <c r="AE7" s="589" t="inlineStr">
        <is>
          <t>May 2055</t>
        </is>
      </c>
      <c r="AF7" s="589" t="inlineStr">
        <is>
          <t>May 2055</t>
        </is>
      </c>
      <c r="AG7" s="590" t="inlineStr">
        <is>
          <t>May 2055</t>
        </is>
      </c>
      <c r="AH7" s="591" t="inlineStr">
        <is>
          <t>May 2055</t>
        </is>
      </c>
      <c r="AI7" s="589" t="inlineStr">
        <is>
          <t>Nov 2054</t>
        </is>
      </c>
      <c r="AJ7" s="589" t="inlineStr">
        <is>
          <t>Dec 2043</t>
        </is>
      </c>
      <c r="AK7" s="589" t="inlineStr">
        <is>
          <t>May 2055</t>
        </is>
      </c>
      <c r="AL7" s="590" t="inlineStr">
        <is>
          <t>Jan 2052</t>
        </is>
      </c>
      <c r="AM7" s="591" t="inlineStr">
        <is>
          <t>May 2055</t>
        </is>
      </c>
      <c r="AN7" s="589" t="inlineStr">
        <is>
          <t>May 2055</t>
        </is>
      </c>
      <c r="AO7" s="589" t="inlineStr">
        <is>
          <t>Apr 2050</t>
        </is>
      </c>
      <c r="AP7" s="589" t="inlineStr">
        <is>
          <t>May 2055</t>
        </is>
      </c>
      <c r="AQ7" s="590" t="inlineStr">
        <is>
          <t>May 2055</t>
        </is>
      </c>
      <c r="AR7" s="591" t="inlineStr">
        <is>
          <t>May 2055</t>
        </is>
      </c>
      <c r="AS7" s="589" t="inlineStr">
        <is>
          <t>Jun 2054</t>
        </is>
      </c>
      <c r="AT7" s="589" t="inlineStr">
        <is>
          <t>May 2055</t>
        </is>
      </c>
      <c r="AU7" s="589" t="inlineStr">
        <is>
          <t>May 2055</t>
        </is>
      </c>
      <c r="AV7" s="590" t="inlineStr">
        <is>
          <t>Oct 2052</t>
        </is>
      </c>
      <c r="AW7" s="591" t="inlineStr">
        <is>
          <t>May 2055</t>
        </is>
      </c>
      <c r="AX7" s="589" t="inlineStr">
        <is>
          <t>May 2055</t>
        </is>
      </c>
      <c r="AY7" s="589" t="inlineStr">
        <is>
          <t>May 2055</t>
        </is>
      </c>
      <c r="AZ7" s="589" t="inlineStr">
        <is>
          <t>May 2055</t>
        </is>
      </c>
      <c r="BA7" s="590" t="inlineStr">
        <is>
          <t>Apr 2049</t>
        </is>
      </c>
      <c r="BB7" s="591" t="inlineStr">
        <is>
          <t>May 2055</t>
        </is>
      </c>
      <c r="BC7" s="589" t="inlineStr">
        <is>
          <t>Jul 2046</t>
        </is>
      </c>
      <c r="BD7" s="589" t="inlineStr">
        <is>
          <t>May 2055</t>
        </is>
      </c>
      <c r="BE7" s="589" t="inlineStr">
        <is>
          <t>May 2043</t>
        </is>
      </c>
      <c r="BF7" s="590" t="inlineStr">
        <is>
          <t>Sep 2042</t>
        </is>
      </c>
      <c r="BG7" s="591" t="inlineStr">
        <is>
          <t>Nov 2048</t>
        </is>
      </c>
      <c r="BH7" s="589" t="inlineStr">
        <is>
          <t>May 2055</t>
        </is>
      </c>
      <c r="BI7" s="589" t="inlineStr">
        <is>
          <t>May 2055</t>
        </is>
      </c>
      <c r="BJ7" s="589" t="inlineStr">
        <is>
          <t>May 2055</t>
        </is>
      </c>
      <c r="BK7" s="590" t="inlineStr">
        <is>
          <t>May 2055</t>
        </is>
      </c>
      <c r="BL7" s="591" t="inlineStr">
        <is>
          <t>May 2055</t>
        </is>
      </c>
      <c r="BM7" s="589" t="inlineStr">
        <is>
          <t>May 2055</t>
        </is>
      </c>
      <c r="BN7" s="589" t="inlineStr">
        <is>
          <t>May 2055</t>
        </is>
      </c>
      <c r="BO7" s="589" t="inlineStr">
        <is>
          <t>May 2055</t>
        </is>
      </c>
      <c r="BP7" s="590" t="inlineStr">
        <is>
          <t>ND</t>
        </is>
      </c>
      <c r="BQ7" s="591" t="inlineStr">
        <is>
          <t>ND</t>
        </is>
      </c>
      <c r="BR7" s="589" t="inlineStr">
        <is>
          <t>May 2055</t>
        </is>
      </c>
      <c r="BS7" s="589" t="inlineStr">
        <is>
          <t>May 2055</t>
        </is>
      </c>
      <c r="BT7" s="590" t="inlineStr">
        <is>
          <t>ND</t>
        </is>
      </c>
      <c r="BU7" s="437" t="n"/>
      <c r="BV7" s="437" t="n"/>
      <c r="BW7" s="238" t="n"/>
      <c r="BX7" s="238" t="n"/>
      <c r="BY7" s="238" t="n"/>
      <c r="BZ7" s="238" t="n"/>
      <c r="CA7" s="238" t="n"/>
      <c r="CB7" s="238" t="n"/>
      <c r="CC7" s="238" t="n"/>
      <c r="CD7" s="238" t="n"/>
      <c r="CE7" s="238" t="n"/>
      <c r="CF7" s="238" t="n"/>
      <c r="CG7" s="238" t="n"/>
      <c r="CH7" s="238" t="n"/>
      <c r="CI7" s="238" t="n"/>
      <c r="CJ7" s="238" t="n"/>
      <c r="CK7" s="238" t="n"/>
      <c r="CL7" s="238" t="n"/>
      <c r="CM7" s="238" t="n"/>
      <c r="CN7" s="238" t="n"/>
      <c r="CO7" s="238" t="n"/>
      <c r="CP7" s="238" t="n"/>
      <c r="CQ7" s="238" t="n"/>
      <c r="CR7" s="238" t="n"/>
      <c r="CS7" s="238" t="n"/>
      <c r="CT7" s="238" t="n"/>
      <c r="CU7" s="238" t="n"/>
      <c r="CV7" s="238" t="n"/>
      <c r="CW7" s="238" t="n"/>
      <c r="CX7" s="238" t="n"/>
      <c r="CY7" s="238" t="n"/>
      <c r="CZ7" s="238" t="n"/>
      <c r="DA7" s="238" t="n"/>
      <c r="DB7" s="238" t="n"/>
      <c r="DC7" s="238" t="n"/>
      <c r="DD7" s="238" t="n"/>
      <c r="DE7" s="238" t="n"/>
      <c r="DF7" s="238" t="n"/>
      <c r="DG7" s="238" t="n"/>
      <c r="DH7" s="238" t="n"/>
      <c r="DI7" s="238" t="n"/>
      <c r="DJ7" s="238" t="n"/>
      <c r="DK7" s="238" t="n"/>
      <c r="DL7" s="238" t="n"/>
      <c r="DM7" s="238" t="n"/>
      <c r="DN7" s="238" t="n"/>
      <c r="DO7" s="238" t="n"/>
      <c r="DP7" s="238" t="n"/>
      <c r="DQ7" s="238" t="n"/>
      <c r="DR7" s="238" t="n"/>
      <c r="DS7" s="238" t="n"/>
      <c r="DT7" s="238" t="n"/>
      <c r="DU7" s="238" t="n"/>
      <c r="DV7" s="238" t="n"/>
      <c r="DW7" s="238" t="n"/>
      <c r="DX7" s="238" t="n"/>
      <c r="DY7" s="238" t="n"/>
      <c r="DZ7" s="23" t="n"/>
      <c r="FQ7" s="212" t="n"/>
      <c r="FR7" s="212" t="n"/>
      <c r="FS7" s="212" t="n"/>
      <c r="FT7" s="212" t="n"/>
      <c r="FU7" s="212" t="n"/>
      <c r="FV7" s="212" t="n"/>
      <c r="FW7" s="212" t="n"/>
      <c r="FX7" s="212" t="n"/>
      <c r="FY7" s="212" t="n"/>
      <c r="FZ7" s="212" t="n"/>
    </row>
    <row r="8" ht="39.95" customFormat="1" customHeight="1" s="5">
      <c r="A8" s="182" t="inlineStr"/>
      <c r="B8" s="7" t="inlineStr">
        <is>
          <t>+15 FT</t>
        </is>
      </c>
      <c r="C8" s="456" t="n"/>
      <c r="D8" s="13" t="n"/>
      <c r="H8" s="592" t="n"/>
      <c r="I8" s="593" t="n"/>
      <c r="M8" s="592" t="n"/>
      <c r="N8" s="593" t="n"/>
      <c r="R8" s="592" t="n"/>
      <c r="S8" s="593" t="n"/>
      <c r="W8" s="592" t="n"/>
      <c r="X8" s="593" t="n"/>
      <c r="AB8" s="592" t="n"/>
      <c r="AC8" s="593" t="n"/>
      <c r="AG8" s="592" t="n"/>
      <c r="AH8" s="593" t="n"/>
      <c r="AL8" s="592" t="n"/>
      <c r="AM8" s="593" t="n"/>
      <c r="AQ8" s="592" t="n"/>
      <c r="AR8" s="593" t="n"/>
      <c r="AV8" s="592" t="n"/>
      <c r="AW8" s="593" t="n"/>
      <c r="BA8" s="592" t="n"/>
      <c r="BB8" s="593" t="n"/>
      <c r="BF8" s="592" t="n"/>
      <c r="BG8" s="593" t="n"/>
      <c r="BK8" s="592" t="n"/>
      <c r="BL8" s="593" t="n"/>
      <c r="BP8" s="592" t="n"/>
      <c r="BQ8" s="593" t="n"/>
      <c r="BT8" s="592" t="n"/>
      <c r="BU8" s="437" t="n"/>
      <c r="BV8" s="437" t="n"/>
      <c r="BW8" s="238" t="n"/>
      <c r="BX8" s="238" t="n"/>
      <c r="BY8" s="238" t="n"/>
      <c r="BZ8" s="238" t="n"/>
      <c r="CA8" s="238" t="n"/>
      <c r="CB8" s="238" t="n"/>
      <c r="CC8" s="238" t="n"/>
      <c r="CD8" s="238" t="n"/>
      <c r="CE8" s="238" t="n"/>
      <c r="CF8" s="238" t="n"/>
      <c r="CG8" s="238" t="n"/>
      <c r="CH8" s="238" t="n"/>
      <c r="CI8" s="238" t="n"/>
      <c r="CJ8" s="238" t="n"/>
      <c r="CK8" s="238" t="n"/>
      <c r="CL8" s="238" t="n"/>
      <c r="CM8" s="238" t="n"/>
      <c r="CN8" s="238" t="n"/>
      <c r="CO8" s="238" t="n"/>
      <c r="CP8" s="238" t="n"/>
      <c r="CQ8" s="238" t="n"/>
      <c r="CR8" s="238" t="n"/>
      <c r="CS8" s="238" t="n"/>
      <c r="CT8" s="238" t="n"/>
      <c r="CU8" s="238" t="n"/>
      <c r="CV8" s="238" t="n"/>
      <c r="CW8" s="238" t="n"/>
      <c r="CX8" s="238" t="n"/>
      <c r="CY8" s="238" t="n"/>
      <c r="CZ8" s="238" t="n"/>
      <c r="DA8" s="238" t="n"/>
      <c r="DB8" s="238" t="n"/>
      <c r="DC8" s="238" t="n"/>
      <c r="DD8" s="238" t="n"/>
      <c r="DE8" s="238" t="n"/>
      <c r="DF8" s="238" t="n"/>
      <c r="DG8" s="238" t="n"/>
      <c r="DH8" s="238" t="n"/>
      <c r="DI8" s="238" t="n"/>
      <c r="DJ8" s="238" t="n"/>
      <c r="DK8" s="238" t="n"/>
      <c r="DL8" s="238" t="n"/>
      <c r="DM8" s="238" t="n"/>
      <c r="DN8" s="238" t="n"/>
      <c r="DO8" s="238" t="n"/>
      <c r="DP8" s="238" t="n"/>
      <c r="DQ8" s="238" t="n"/>
      <c r="DR8" s="238" t="n"/>
      <c r="DS8" s="238" t="n"/>
      <c r="DT8" s="238" t="n"/>
      <c r="DU8" s="238" t="n"/>
      <c r="DV8" s="238" t="n"/>
      <c r="DW8" s="238" t="n"/>
      <c r="DX8" s="238" t="n"/>
      <c r="DY8" s="238" t="n"/>
      <c r="DZ8" s="23" t="n"/>
      <c r="FQ8" s="212" t="n"/>
      <c r="FR8" s="212" t="n"/>
      <c r="FS8" s="212" t="n"/>
      <c r="FT8" s="212" t="n"/>
      <c r="FU8" s="212" t="n"/>
      <c r="FV8" s="212" t="n"/>
      <c r="FW8" s="212" t="n"/>
      <c r="FX8" s="212" t="n"/>
      <c r="FY8" s="212" t="n"/>
      <c r="FZ8" s="212" t="n"/>
    </row>
    <row r="9" ht="39.95" customFormat="1" customHeight="1" s="5">
      <c r="A9" s="456" t="n"/>
      <c r="B9" s="8" t="n"/>
      <c r="C9" s="456" t="n"/>
      <c r="D9" s="594" t="n"/>
      <c r="E9" s="595" t="n"/>
      <c r="F9" s="595" t="n"/>
      <c r="G9" s="595" t="n"/>
      <c r="H9" s="596" t="n"/>
      <c r="I9" s="597" t="n"/>
      <c r="J9" s="595" t="n"/>
      <c r="K9" s="595" t="n"/>
      <c r="L9" s="595" t="n"/>
      <c r="M9" s="596" t="n"/>
      <c r="N9" s="597" t="n"/>
      <c r="O9" s="595" t="n"/>
      <c r="P9" s="595" t="n"/>
      <c r="Q9" s="595" t="n"/>
      <c r="R9" s="596" t="n"/>
      <c r="S9" s="597" t="n"/>
      <c r="T9" s="595" t="n"/>
      <c r="U9" s="595" t="n"/>
      <c r="V9" s="595" t="n"/>
      <c r="W9" s="596" t="n"/>
      <c r="X9" s="597" t="n"/>
      <c r="Y9" s="595" t="n"/>
      <c r="Z9" s="595" t="n"/>
      <c r="AA9" s="595" t="n"/>
      <c r="AB9" s="596" t="n"/>
      <c r="AC9" s="597" t="n"/>
      <c r="AD9" s="595" t="n"/>
      <c r="AE9" s="595" t="n"/>
      <c r="AF9" s="595" t="n"/>
      <c r="AG9" s="596" t="n"/>
      <c r="AH9" s="597" t="n"/>
      <c r="AI9" s="595" t="n"/>
      <c r="AJ9" s="595" t="n"/>
      <c r="AK9" s="595" t="n"/>
      <c r="AL9" s="596" t="n"/>
      <c r="AM9" s="597" t="n"/>
      <c r="AN9" s="595" t="n"/>
      <c r="AO9" s="595" t="n"/>
      <c r="AP9" s="595" t="n"/>
      <c r="AQ9" s="596" t="n"/>
      <c r="AR9" s="597" t="n"/>
      <c r="AS9" s="595" t="n"/>
      <c r="AT9" s="595" t="n"/>
      <c r="AU9" s="595" t="n"/>
      <c r="AV9" s="596" t="n"/>
      <c r="AW9" s="597" t="n"/>
      <c r="AX9" s="595" t="n"/>
      <c r="AY9" s="595" t="n"/>
      <c r="AZ9" s="595" t="n"/>
      <c r="BA9" s="596" t="n"/>
      <c r="BB9" s="597" t="n"/>
      <c r="BC9" s="595" t="n"/>
      <c r="BD9" s="595" t="n"/>
      <c r="BE9" s="595" t="n"/>
      <c r="BF9" s="596" t="n"/>
      <c r="BG9" s="597" t="n"/>
      <c r="BH9" s="595" t="n"/>
      <c r="BI9" s="595" t="n"/>
      <c r="BJ9" s="595" t="n"/>
      <c r="BK9" s="596" t="n"/>
      <c r="BL9" s="597" t="n"/>
      <c r="BM9" s="595" t="n"/>
      <c r="BN9" s="595" t="n"/>
      <c r="BO9" s="595" t="n"/>
      <c r="BP9" s="596" t="n"/>
      <c r="BQ9" s="597" t="n"/>
      <c r="BR9" s="595" t="n"/>
      <c r="BS9" s="595" t="n"/>
      <c r="BT9" s="596" t="n"/>
      <c r="BU9" s="437" t="n"/>
      <c r="BV9" s="437" t="n"/>
      <c r="BW9" s="238" t="n"/>
      <c r="BX9" s="238" t="n"/>
      <c r="BY9" s="238" t="n"/>
      <c r="BZ9" s="238" t="n"/>
      <c r="CA9" s="238" t="n"/>
      <c r="CB9" s="238" t="n"/>
      <c r="CC9" s="238" t="n"/>
      <c r="CD9" s="238" t="n"/>
      <c r="CE9" s="238" t="n"/>
      <c r="CF9" s="238" t="n"/>
      <c r="CG9" s="238" t="n"/>
      <c r="CH9" s="238" t="n"/>
      <c r="CI9" s="238" t="n"/>
      <c r="CJ9" s="238" t="n"/>
      <c r="CK9" s="238" t="n"/>
      <c r="CL9" s="238" t="n"/>
      <c r="CM9" s="238" t="n"/>
      <c r="CN9" s="238" t="n"/>
      <c r="CO9" s="238" t="n"/>
      <c r="CP9" s="238" t="n"/>
      <c r="CQ9" s="238" t="n"/>
      <c r="CR9" s="238" t="n"/>
      <c r="CS9" s="238" t="n"/>
      <c r="CT9" s="238" t="n"/>
      <c r="CU9" s="238" t="n"/>
      <c r="CV9" s="238" t="n"/>
      <c r="CW9" s="238" t="n"/>
      <c r="CX9" s="238" t="n"/>
      <c r="CY9" s="238" t="n"/>
      <c r="CZ9" s="238" t="n"/>
      <c r="DA9" s="238" t="n"/>
      <c r="DB9" s="238" t="n"/>
      <c r="DC9" s="238" t="n"/>
      <c r="DD9" s="238" t="n"/>
      <c r="DE9" s="238" t="n"/>
      <c r="DF9" s="238" t="n"/>
      <c r="DG9" s="238" t="n"/>
      <c r="DH9" s="238" t="n"/>
      <c r="DI9" s="238" t="n"/>
      <c r="DJ9" s="238" t="n"/>
      <c r="DK9" s="238" t="n"/>
      <c r="DL9" s="238" t="n"/>
      <c r="DM9" s="238" t="n"/>
      <c r="DN9" s="238" t="n"/>
      <c r="DO9" s="238" t="n"/>
      <c r="DP9" s="238" t="n"/>
      <c r="DQ9" s="238" t="n"/>
      <c r="DR9" s="238" t="n"/>
      <c r="DS9" s="238" t="n"/>
      <c r="DT9" s="238" t="n"/>
      <c r="DU9" s="238" t="n"/>
      <c r="DV9" s="238" t="n"/>
      <c r="DW9" s="238" t="n"/>
      <c r="DX9" s="238" t="n"/>
      <c r="DY9" s="238" t="n"/>
      <c r="DZ9" s="23" t="n"/>
      <c r="FQ9" s="212" t="n"/>
      <c r="FR9" s="212" t="n"/>
      <c r="FS9" s="212" t="n"/>
      <c r="FT9" s="212" t="n"/>
      <c r="FU9" s="212" t="n"/>
      <c r="FV9" s="212" t="n"/>
      <c r="FW9" s="212" t="n"/>
      <c r="FX9" s="212" t="n"/>
      <c r="FY9" s="212" t="n"/>
      <c r="FZ9" s="212" t="n"/>
    </row>
    <row r="10" ht="39.95" customFormat="1" customHeight="1" s="5">
      <c r="A10" s="10" t="inlineStr">
        <is>
          <t>A</t>
        </is>
      </c>
      <c r="B10" s="6" t="n"/>
      <c r="C10" s="351" t="inlineStr">
        <is>
          <t>Year</t>
        </is>
      </c>
      <c r="D10" s="588" t="inlineStr">
        <is>
          <t>Jun 2032</t>
        </is>
      </c>
      <c r="E10" s="589" t="inlineStr">
        <is>
          <t>May 2055</t>
        </is>
      </c>
      <c r="F10" s="589" t="inlineStr">
        <is>
          <t>May 2055</t>
        </is>
      </c>
      <c r="G10" s="589" t="inlineStr">
        <is>
          <t>May 2055</t>
        </is>
      </c>
      <c r="H10" s="590" t="inlineStr">
        <is>
          <t>May 2055</t>
        </is>
      </c>
      <c r="I10" s="591" t="inlineStr">
        <is>
          <t>ND</t>
        </is>
      </c>
      <c r="J10" s="589" t="inlineStr">
        <is>
          <t>ND</t>
        </is>
      </c>
      <c r="K10" s="589" t="inlineStr">
        <is>
          <t>May 2055</t>
        </is>
      </c>
      <c r="L10" s="589" t="inlineStr">
        <is>
          <t>May 2055</t>
        </is>
      </c>
      <c r="M10" s="590" t="inlineStr">
        <is>
          <t>May 2055</t>
        </is>
      </c>
      <c r="N10" s="591" t="inlineStr">
        <is>
          <t>Jan 2051</t>
        </is>
      </c>
      <c r="O10" s="589" t="inlineStr">
        <is>
          <t>May 2055</t>
        </is>
      </c>
      <c r="P10" s="589" t="inlineStr">
        <is>
          <t>May 2055</t>
        </is>
      </c>
      <c r="Q10" s="589" t="inlineStr">
        <is>
          <t>Jul 2035</t>
        </is>
      </c>
      <c r="R10" s="590" t="inlineStr">
        <is>
          <t>May 2055</t>
        </is>
      </c>
      <c r="S10" s="591" t="inlineStr">
        <is>
          <t>May 2055</t>
        </is>
      </c>
      <c r="T10" s="589" t="inlineStr">
        <is>
          <t>May 2055</t>
        </is>
      </c>
      <c r="U10" s="589" t="inlineStr">
        <is>
          <t>Sep 2052</t>
        </is>
      </c>
      <c r="V10" s="589" t="inlineStr">
        <is>
          <t>May 2055</t>
        </is>
      </c>
      <c r="W10" s="590" t="inlineStr">
        <is>
          <t>May 2052</t>
        </is>
      </c>
      <c r="X10" s="591" t="inlineStr">
        <is>
          <t>May 2055</t>
        </is>
      </c>
      <c r="Y10" s="589" t="inlineStr">
        <is>
          <t>May 2055</t>
        </is>
      </c>
      <c r="Z10" s="589" t="inlineStr">
        <is>
          <t>Jan 2055</t>
        </is>
      </c>
      <c r="AA10" s="589" t="inlineStr">
        <is>
          <t>Apr 2046</t>
        </is>
      </c>
      <c r="AB10" s="590" t="inlineStr">
        <is>
          <t>Aug 2052</t>
        </is>
      </c>
      <c r="AC10" s="591" t="inlineStr">
        <is>
          <t>Nov 2039</t>
        </is>
      </c>
      <c r="AD10" s="589" t="inlineStr">
        <is>
          <t>Jun 2046</t>
        </is>
      </c>
      <c r="AE10" s="589" t="inlineStr">
        <is>
          <t>May 2055</t>
        </is>
      </c>
      <c r="AF10" s="589" t="inlineStr">
        <is>
          <t>Apr 2033</t>
        </is>
      </c>
      <c r="AG10" s="590" t="inlineStr">
        <is>
          <t>Jan 2035</t>
        </is>
      </c>
      <c r="AH10" s="591" t="inlineStr">
        <is>
          <t>Jan 2032</t>
        </is>
      </c>
      <c r="AI10" s="589" t="inlineStr">
        <is>
          <t>May 2055</t>
        </is>
      </c>
      <c r="AJ10" s="589" t="inlineStr">
        <is>
          <t>Oct 2044</t>
        </is>
      </c>
      <c r="AK10" s="589" t="inlineStr">
        <is>
          <t>May 2055</t>
        </is>
      </c>
      <c r="AL10" s="590" t="inlineStr">
        <is>
          <t>May 2055</t>
        </is>
      </c>
      <c r="AM10" s="591" t="inlineStr">
        <is>
          <t>Nov 2049</t>
        </is>
      </c>
      <c r="AN10" s="589" t="inlineStr">
        <is>
          <t>Dec 2032</t>
        </is>
      </c>
      <c r="AO10" s="589" t="inlineStr">
        <is>
          <t>May 2055</t>
        </is>
      </c>
      <c r="AP10" s="589" t="inlineStr">
        <is>
          <t>Apr 2031</t>
        </is>
      </c>
      <c r="AQ10" s="590" t="inlineStr">
        <is>
          <t>Dec 2043</t>
        </is>
      </c>
      <c r="AR10" s="591" t="inlineStr">
        <is>
          <t>Jan 2041</t>
        </is>
      </c>
      <c r="AS10" s="589" t="inlineStr">
        <is>
          <t>Apr 2036</t>
        </is>
      </c>
      <c r="AT10" s="589" t="inlineStr">
        <is>
          <t>Dec 2030</t>
        </is>
      </c>
      <c r="AU10" s="589" t="inlineStr">
        <is>
          <t>Jul 2043</t>
        </is>
      </c>
      <c r="AV10" s="590" t="inlineStr">
        <is>
          <t>Sep 2033</t>
        </is>
      </c>
      <c r="AW10" s="591" t="inlineStr">
        <is>
          <t>Apr 2039</t>
        </is>
      </c>
      <c r="AX10" s="589" t="inlineStr">
        <is>
          <t>Dec 2039</t>
        </is>
      </c>
      <c r="AY10" s="589" t="inlineStr">
        <is>
          <t>Aug 2037</t>
        </is>
      </c>
      <c r="AZ10" s="589" t="inlineStr">
        <is>
          <t>Jun 2042</t>
        </is>
      </c>
      <c r="BA10" s="590" t="inlineStr">
        <is>
          <t>May 2055</t>
        </is>
      </c>
      <c r="BB10" s="591" t="inlineStr">
        <is>
          <t>Oct 2032</t>
        </is>
      </c>
      <c r="BC10" s="589" t="inlineStr">
        <is>
          <t>May 2055</t>
        </is>
      </c>
      <c r="BD10" s="589" t="inlineStr">
        <is>
          <t>Jun 2044</t>
        </is>
      </c>
      <c r="BE10" s="589" t="inlineStr">
        <is>
          <t>Jan 2048</t>
        </is>
      </c>
      <c r="BF10" s="590" t="inlineStr">
        <is>
          <t>Jul 2042</t>
        </is>
      </c>
      <c r="BG10" s="591" t="inlineStr">
        <is>
          <t>May 2055</t>
        </is>
      </c>
      <c r="BH10" s="589" t="inlineStr">
        <is>
          <t>May 2055</t>
        </is>
      </c>
      <c r="BI10" s="589" t="inlineStr">
        <is>
          <t>Sep 2033</t>
        </is>
      </c>
      <c r="BJ10" s="589" t="inlineStr">
        <is>
          <t>Oct 2035</t>
        </is>
      </c>
      <c r="BK10" s="590" t="inlineStr">
        <is>
          <t>May 2055</t>
        </is>
      </c>
      <c r="BL10" s="591" t="inlineStr">
        <is>
          <t>May 2055</t>
        </is>
      </c>
      <c r="BM10" s="589" t="inlineStr">
        <is>
          <t>May 2055</t>
        </is>
      </c>
      <c r="BN10" s="589" t="inlineStr">
        <is>
          <t>May 2055</t>
        </is>
      </c>
      <c r="BO10" s="589" t="inlineStr">
        <is>
          <t>Oct 2046</t>
        </is>
      </c>
      <c r="BP10" s="590" t="inlineStr">
        <is>
          <t>May 2055</t>
        </is>
      </c>
      <c r="BQ10" s="591" t="inlineStr">
        <is>
          <t>May 2055</t>
        </is>
      </c>
      <c r="BR10" s="589" t="inlineStr">
        <is>
          <t>Dec 2050</t>
        </is>
      </c>
      <c r="BS10" s="589" t="inlineStr">
        <is>
          <t>Jan 2050</t>
        </is>
      </c>
      <c r="BT10" s="590" t="inlineStr">
        <is>
          <t>ND</t>
        </is>
      </c>
      <c r="BU10" s="437" t="n"/>
      <c r="BV10" s="437" t="n"/>
      <c r="BW10" s="238" t="n"/>
      <c r="BX10" s="238" t="n"/>
      <c r="BY10" s="238" t="n"/>
      <c r="BZ10" s="238" t="n"/>
      <c r="CA10" s="238" t="n"/>
      <c r="CB10" s="238" t="n"/>
      <c r="CC10" s="238" t="n"/>
      <c r="CD10" s="238" t="n"/>
      <c r="CE10" s="238" t="n"/>
      <c r="CF10" s="238" t="n"/>
      <c r="CG10" s="238" t="n"/>
      <c r="CH10" s="238" t="n"/>
      <c r="CI10" s="238" t="n"/>
      <c r="CJ10" s="238" t="n"/>
      <c r="CK10" s="238" t="n"/>
      <c r="CL10" s="238" t="n"/>
      <c r="CM10" s="238" t="n"/>
      <c r="CN10" s="238" t="n"/>
      <c r="CO10" s="238" t="n"/>
      <c r="CP10" s="238" t="n"/>
      <c r="CQ10" s="238" t="n"/>
      <c r="CR10" s="238" t="n"/>
      <c r="CS10" s="238" t="n"/>
      <c r="CT10" s="238" t="n"/>
      <c r="CU10" s="238" t="n"/>
      <c r="CV10" s="238" t="n"/>
      <c r="CW10" s="238" t="n"/>
      <c r="CX10" s="238" t="n"/>
      <c r="CY10" s="238" t="n"/>
      <c r="CZ10" s="238" t="n"/>
      <c r="DA10" s="238" t="n"/>
      <c r="DB10" s="238" t="n"/>
      <c r="DC10" s="238" t="n"/>
      <c r="DD10" s="238" t="n"/>
      <c r="DE10" s="238" t="n"/>
      <c r="DF10" s="238" t="n"/>
      <c r="DG10" s="238" t="n"/>
      <c r="DH10" s="238" t="n"/>
      <c r="DI10" s="238" t="n"/>
      <c r="DJ10" s="238" t="n"/>
      <c r="DK10" s="238" t="n"/>
      <c r="DL10" s="238" t="n"/>
      <c r="DM10" s="238" t="n"/>
      <c r="DN10" s="238" t="n"/>
      <c r="DO10" s="238" t="n"/>
      <c r="DP10" s="238" t="n"/>
      <c r="DQ10" s="238" t="n"/>
      <c r="DR10" s="238" t="n"/>
      <c r="DS10" s="238" t="n"/>
      <c r="DT10" s="238" t="n"/>
      <c r="DU10" s="238" t="n"/>
      <c r="DV10" s="238" t="n"/>
      <c r="DW10" s="238" t="n"/>
      <c r="DX10" s="238" t="n"/>
      <c r="DY10" s="238" t="n"/>
      <c r="DZ10" s="23" t="n"/>
      <c r="FQ10" s="212" t="n"/>
      <c r="FR10" s="212" t="n"/>
      <c r="FS10" s="212" t="n"/>
      <c r="FT10" s="212" t="n"/>
      <c r="FU10" s="212" t="n"/>
      <c r="FV10" s="212" t="n"/>
      <c r="FW10" s="212" t="n"/>
      <c r="FX10" s="212" t="n"/>
      <c r="FY10" s="212" t="n"/>
      <c r="FZ10" s="212" t="n"/>
    </row>
    <row r="11" ht="39.95" customFormat="1" customHeight="1" s="5">
      <c r="A11" s="182" t="inlineStr"/>
      <c r="B11" s="7" t="inlineStr">
        <is>
          <t>+13 FT 6 IN</t>
        </is>
      </c>
      <c r="C11" s="456" t="n"/>
      <c r="D11" s="13" t="n"/>
      <c r="H11" s="592" t="n"/>
      <c r="I11" s="593" t="n"/>
      <c r="M11" s="592" t="n"/>
      <c r="N11" s="593" t="n"/>
      <c r="R11" s="592" t="n"/>
      <c r="S11" s="593" t="n"/>
      <c r="W11" s="592" t="n"/>
      <c r="X11" s="593" t="n"/>
      <c r="AB11" s="592" t="n"/>
      <c r="AC11" s="593" t="n"/>
      <c r="AG11" s="592" t="n"/>
      <c r="AH11" s="593" t="n"/>
      <c r="AL11" s="592" t="n"/>
      <c r="AM11" s="593" t="n"/>
      <c r="AQ11" s="592" t="n"/>
      <c r="AR11" s="593" t="n"/>
      <c r="AV11" s="592" t="n"/>
      <c r="AW11" s="593" t="n"/>
      <c r="BA11" s="592" t="n"/>
      <c r="BB11" s="593" t="n"/>
      <c r="BF11" s="592" t="n"/>
      <c r="BG11" s="593" t="n"/>
      <c r="BK11" s="592" t="n"/>
      <c r="BL11" s="593" t="n"/>
      <c r="BP11" s="592" t="n"/>
      <c r="BQ11" s="593" t="n"/>
      <c r="BT11" s="592" t="n"/>
      <c r="BU11" s="437" t="n"/>
      <c r="BV11" s="437" t="n"/>
      <c r="BW11" s="238" t="n"/>
      <c r="BX11" s="238" t="n"/>
      <c r="BY11" s="238" t="n"/>
      <c r="BZ11" s="238" t="n"/>
      <c r="CA11" s="238" t="n"/>
      <c r="CB11" s="238" t="n"/>
      <c r="CC11" s="238" t="n"/>
      <c r="CD11" s="238" t="n"/>
      <c r="CE11" s="238" t="n"/>
      <c r="CF11" s="238" t="n"/>
      <c r="CG11" s="238" t="n"/>
      <c r="CH11" s="238" t="n"/>
      <c r="CI11" s="238" t="n"/>
      <c r="CJ11" s="238" t="n"/>
      <c r="CK11" s="238" t="n"/>
      <c r="CL11" s="238" t="n"/>
      <c r="CM11" s="238" t="n"/>
      <c r="CN11" s="238" t="n"/>
      <c r="CO11" s="238" t="n"/>
      <c r="CP11" s="238" t="n"/>
      <c r="CQ11" s="238" t="n"/>
      <c r="CR11" s="238" t="n"/>
      <c r="CS11" s="238" t="n"/>
      <c r="CT11" s="238" t="n"/>
      <c r="CU11" s="238" t="n"/>
      <c r="CV11" s="238" t="n"/>
      <c r="CW11" s="238" t="n"/>
      <c r="CX11" s="238" t="n"/>
      <c r="CY11" s="238" t="n"/>
      <c r="CZ11" s="238" t="n"/>
      <c r="DA11" s="238" t="n"/>
      <c r="DB11" s="238" t="n"/>
      <c r="DC11" s="238" t="n"/>
      <c r="DD11" s="238" t="n"/>
      <c r="DE11" s="238" t="n"/>
      <c r="DF11" s="238" t="n"/>
      <c r="DG11" s="238" t="n"/>
      <c r="DH11" s="238" t="n"/>
      <c r="DI11" s="238" t="n"/>
      <c r="DJ11" s="238" t="n"/>
      <c r="DK11" s="238" t="n"/>
      <c r="DL11" s="238" t="n"/>
      <c r="DM11" s="238" t="n"/>
      <c r="DN11" s="238" t="n"/>
      <c r="DO11" s="238" t="n"/>
      <c r="DP11" s="238" t="n"/>
      <c r="DQ11" s="238" t="n"/>
      <c r="DR11" s="238" t="n"/>
      <c r="DS11" s="238" t="n"/>
      <c r="DT11" s="238" t="n"/>
      <c r="DU11" s="238" t="n"/>
      <c r="DV11" s="238" t="n"/>
      <c r="DW11" s="238" t="n"/>
      <c r="DX11" s="238" t="n"/>
      <c r="DY11" s="238" t="n"/>
      <c r="DZ11" s="23" t="n"/>
      <c r="FQ11" s="212" t="n"/>
      <c r="FR11" s="212" t="n"/>
      <c r="FS11" s="212" t="n"/>
      <c r="FT11" s="212" t="n"/>
      <c r="FU11" s="212" t="n"/>
      <c r="FV11" s="212" t="n"/>
      <c r="FW11" s="212" t="n"/>
      <c r="FX11" s="212" t="n"/>
      <c r="FY11" s="212" t="n"/>
      <c r="FZ11" s="212" t="n"/>
    </row>
    <row r="12" ht="39.95" customFormat="1" customHeight="1" s="5">
      <c r="A12" s="456" t="n"/>
      <c r="B12" s="8" t="n"/>
      <c r="C12" s="456" t="n"/>
      <c r="D12" s="594" t="n"/>
      <c r="E12" s="595" t="n"/>
      <c r="F12" s="595" t="n"/>
      <c r="G12" s="595" t="n"/>
      <c r="H12" s="596" t="n"/>
      <c r="I12" s="597" t="n"/>
      <c r="J12" s="595" t="n"/>
      <c r="K12" s="595" t="n"/>
      <c r="L12" s="595" t="n"/>
      <c r="M12" s="596" t="n"/>
      <c r="N12" s="597" t="n"/>
      <c r="O12" s="595" t="n"/>
      <c r="P12" s="595" t="n"/>
      <c r="Q12" s="595" t="n"/>
      <c r="R12" s="596" t="n"/>
      <c r="S12" s="597" t="n"/>
      <c r="T12" s="595" t="n"/>
      <c r="U12" s="595" t="n"/>
      <c r="V12" s="595" t="n"/>
      <c r="W12" s="596" t="n"/>
      <c r="X12" s="597" t="n"/>
      <c r="Y12" s="595" t="n"/>
      <c r="Z12" s="595" t="n"/>
      <c r="AA12" s="595" t="n"/>
      <c r="AB12" s="596" t="n"/>
      <c r="AC12" s="597" t="n"/>
      <c r="AD12" s="595" t="n"/>
      <c r="AE12" s="595" t="n"/>
      <c r="AF12" s="595" t="n"/>
      <c r="AG12" s="596" t="n"/>
      <c r="AH12" s="597" t="n"/>
      <c r="AI12" s="595" t="n"/>
      <c r="AJ12" s="595" t="n"/>
      <c r="AK12" s="595" t="n"/>
      <c r="AL12" s="596" t="n"/>
      <c r="AM12" s="597" t="n"/>
      <c r="AN12" s="595" t="n"/>
      <c r="AO12" s="595" t="n"/>
      <c r="AP12" s="595" t="n"/>
      <c r="AQ12" s="596" t="n"/>
      <c r="AR12" s="597" t="n"/>
      <c r="AS12" s="595" t="n"/>
      <c r="AT12" s="595" t="n"/>
      <c r="AU12" s="595" t="n"/>
      <c r="AV12" s="596" t="n"/>
      <c r="AW12" s="597" t="n"/>
      <c r="AX12" s="595" t="n"/>
      <c r="AY12" s="595" t="n"/>
      <c r="AZ12" s="595" t="n"/>
      <c r="BA12" s="596" t="n"/>
      <c r="BB12" s="597" t="n"/>
      <c r="BC12" s="595" t="n"/>
      <c r="BD12" s="595" t="n"/>
      <c r="BE12" s="595" t="n"/>
      <c r="BF12" s="596" t="n"/>
      <c r="BG12" s="597" t="n"/>
      <c r="BH12" s="595" t="n"/>
      <c r="BI12" s="595" t="n"/>
      <c r="BJ12" s="595" t="n"/>
      <c r="BK12" s="596" t="n"/>
      <c r="BL12" s="597" t="n"/>
      <c r="BM12" s="595" t="n"/>
      <c r="BN12" s="595" t="n"/>
      <c r="BO12" s="595" t="n"/>
      <c r="BP12" s="596" t="n"/>
      <c r="BQ12" s="597" t="n"/>
      <c r="BR12" s="595" t="n"/>
      <c r="BS12" s="595" t="n"/>
      <c r="BT12" s="596" t="n"/>
      <c r="BU12" s="437" t="n"/>
      <c r="BV12" s="437" t="n"/>
      <c r="BW12" s="238" t="n"/>
      <c r="BX12" s="238" t="n"/>
      <c r="BY12" s="238" t="n"/>
      <c r="BZ12" s="238" t="n"/>
      <c r="CA12" s="238" t="n"/>
      <c r="CB12" s="238" t="n"/>
      <c r="CC12" s="238" t="n"/>
      <c r="CD12" s="238" t="n"/>
      <c r="CE12" s="238" t="n"/>
      <c r="CF12" s="238" t="n"/>
      <c r="CG12" s="238" t="n"/>
      <c r="CH12" s="238" t="n"/>
      <c r="CI12" s="238" t="n"/>
      <c r="CJ12" s="238" t="n"/>
      <c r="CK12" s="238" t="n"/>
      <c r="CL12" s="238" t="n"/>
      <c r="CM12" s="238" t="n"/>
      <c r="CN12" s="238" t="n"/>
      <c r="CO12" s="238" t="n"/>
      <c r="CP12" s="238" t="n"/>
      <c r="CQ12" s="238" t="n"/>
      <c r="CR12" s="238" t="n"/>
      <c r="CS12" s="238" t="n"/>
      <c r="CT12" s="238" t="n"/>
      <c r="CU12" s="238" t="n"/>
      <c r="CV12" s="238" t="n"/>
      <c r="CW12" s="238" t="n"/>
      <c r="CX12" s="238" t="n"/>
      <c r="CY12" s="238" t="n"/>
      <c r="CZ12" s="238" t="n"/>
      <c r="DA12" s="238" t="n"/>
      <c r="DB12" s="238" t="n"/>
      <c r="DC12" s="238" t="n"/>
      <c r="DD12" s="238" t="n"/>
      <c r="DE12" s="238" t="n"/>
      <c r="DF12" s="238" t="n"/>
      <c r="DG12" s="238" t="n"/>
      <c r="DH12" s="238" t="n"/>
      <c r="DI12" s="238" t="n"/>
      <c r="DJ12" s="238" t="n"/>
      <c r="DK12" s="238" t="n"/>
      <c r="DL12" s="238" t="n"/>
      <c r="DM12" s="238" t="n"/>
      <c r="DN12" s="238" t="n"/>
      <c r="DO12" s="238" t="n"/>
      <c r="DP12" s="238" t="n"/>
      <c r="DQ12" s="238" t="n"/>
      <c r="DR12" s="238" t="n"/>
      <c r="DS12" s="238" t="n"/>
      <c r="DT12" s="238" t="n"/>
      <c r="DU12" s="238" t="n"/>
      <c r="DV12" s="238" t="n"/>
      <c r="DW12" s="238" t="n"/>
      <c r="DX12" s="238" t="n"/>
      <c r="DY12" s="238" t="n"/>
      <c r="DZ12" s="23" t="n"/>
      <c r="FQ12" s="212" t="n"/>
      <c r="FR12" s="212" t="n"/>
      <c r="FS12" s="212" t="n"/>
      <c r="FT12" s="212" t="n"/>
      <c r="FU12" s="212" t="n"/>
      <c r="FV12" s="212" t="n"/>
      <c r="FW12" s="212" t="n"/>
      <c r="FX12" s="212" t="n"/>
      <c r="FY12" s="212" t="n"/>
      <c r="FZ12" s="212" t="n"/>
    </row>
    <row r="13" ht="39.95" customFormat="1" customHeight="1" s="5">
      <c r="A13" s="10" t="inlineStr">
        <is>
          <t>A</t>
        </is>
      </c>
      <c r="B13" s="6" t="n"/>
      <c r="C13" s="351" t="inlineStr">
        <is>
          <t>Year</t>
        </is>
      </c>
      <c r="D13" s="588" t="inlineStr">
        <is>
          <t>Feb 2031</t>
        </is>
      </c>
      <c r="E13" s="589" t="inlineStr">
        <is>
          <t>May 2055</t>
        </is>
      </c>
      <c r="F13" s="589" t="inlineStr">
        <is>
          <t>May 2055</t>
        </is>
      </c>
      <c r="G13" s="589" t="inlineStr">
        <is>
          <t>May 2055</t>
        </is>
      </c>
      <c r="H13" s="590" t="inlineStr">
        <is>
          <t>May 2055</t>
        </is>
      </c>
      <c r="I13" s="591" t="inlineStr">
        <is>
          <t>Nov 2047</t>
        </is>
      </c>
      <c r="J13" s="589" t="inlineStr">
        <is>
          <t>May 2055</t>
        </is>
      </c>
      <c r="K13" s="589" t="inlineStr">
        <is>
          <t>May 2055</t>
        </is>
      </c>
      <c r="L13" s="589" t="inlineStr">
        <is>
          <t>May 2055</t>
        </is>
      </c>
      <c r="M13" s="590" t="inlineStr">
        <is>
          <t>Dec 2048</t>
        </is>
      </c>
      <c r="N13" s="591" t="inlineStr">
        <is>
          <t>Nov 2043</t>
        </is>
      </c>
      <c r="O13" s="589" t="inlineStr">
        <is>
          <t>May 2055</t>
        </is>
      </c>
      <c r="P13" s="589" t="inlineStr">
        <is>
          <t>May 2055</t>
        </is>
      </c>
      <c r="Q13" s="589" t="inlineStr">
        <is>
          <t>May 2055</t>
        </is>
      </c>
      <c r="R13" s="590" t="inlineStr">
        <is>
          <t>May 2055</t>
        </is>
      </c>
      <c r="S13" s="591" t="inlineStr">
        <is>
          <t>May 2055</t>
        </is>
      </c>
      <c r="T13" s="589" t="inlineStr">
        <is>
          <t>Nov 2039</t>
        </is>
      </c>
      <c r="U13" s="589" t="inlineStr">
        <is>
          <t>ND</t>
        </is>
      </c>
      <c r="V13" s="589" t="inlineStr">
        <is>
          <t>Mar 2045</t>
        </is>
      </c>
      <c r="W13" s="590" t="inlineStr">
        <is>
          <t>Dec 2050</t>
        </is>
      </c>
      <c r="X13" s="591" t="inlineStr">
        <is>
          <t>May 2055</t>
        </is>
      </c>
      <c r="Y13" s="589" t="inlineStr">
        <is>
          <t>Jul 2034</t>
        </is>
      </c>
      <c r="Z13" s="589" t="inlineStr">
        <is>
          <t>Jan 2036</t>
        </is>
      </c>
      <c r="AA13" s="589" t="inlineStr">
        <is>
          <t>May 2043</t>
        </is>
      </c>
      <c r="AB13" s="590" t="inlineStr">
        <is>
          <t>Jun 2041</t>
        </is>
      </c>
      <c r="AC13" s="591" t="inlineStr">
        <is>
          <t>Dec 2037</t>
        </is>
      </c>
      <c r="AD13" s="589" t="inlineStr">
        <is>
          <t>Jun 2047</t>
        </is>
      </c>
      <c r="AE13" s="589" t="inlineStr">
        <is>
          <t>Jun 2036</t>
        </is>
      </c>
      <c r="AF13" s="589" t="inlineStr">
        <is>
          <t>May 2055</t>
        </is>
      </c>
      <c r="AG13" s="590" t="inlineStr">
        <is>
          <t>May 2055</t>
        </is>
      </c>
      <c r="AH13" s="591" t="inlineStr">
        <is>
          <t>Feb 2032</t>
        </is>
      </c>
      <c r="AI13" s="589" t="inlineStr">
        <is>
          <t>Sep 2046</t>
        </is>
      </c>
      <c r="AJ13" s="589" t="inlineStr">
        <is>
          <t>Jun 2049</t>
        </is>
      </c>
      <c r="AK13" s="589" t="inlineStr">
        <is>
          <t>May 2055</t>
        </is>
      </c>
      <c r="AL13" s="590" t="inlineStr">
        <is>
          <t>Apr 2052</t>
        </is>
      </c>
      <c r="AM13" s="591" t="inlineStr">
        <is>
          <t>May 2055</t>
        </is>
      </c>
      <c r="AN13" s="589" t="inlineStr">
        <is>
          <t>Apr 2050</t>
        </is>
      </c>
      <c r="AO13" s="589" t="inlineStr">
        <is>
          <t>Jul 2045</t>
        </is>
      </c>
      <c r="AP13" s="589" t="inlineStr">
        <is>
          <t>Oct 2037</t>
        </is>
      </c>
      <c r="AQ13" s="590" t="inlineStr">
        <is>
          <t>May 2032</t>
        </is>
      </c>
      <c r="AR13" s="591" t="inlineStr">
        <is>
          <t>Dec 2036</t>
        </is>
      </c>
      <c r="AS13" s="589" t="inlineStr">
        <is>
          <t>Apr 2035</t>
        </is>
      </c>
      <c r="AT13" s="589" t="inlineStr">
        <is>
          <t>Jun 2041</t>
        </is>
      </c>
      <c r="AU13" s="589" t="inlineStr">
        <is>
          <t>Mar 2035</t>
        </is>
      </c>
      <c r="AV13" s="590" t="inlineStr">
        <is>
          <t>Mar 2038</t>
        </is>
      </c>
      <c r="AW13" s="591" t="inlineStr">
        <is>
          <t>Apr 2045</t>
        </is>
      </c>
      <c r="AX13" s="589" t="inlineStr">
        <is>
          <t>May 2055</t>
        </is>
      </c>
      <c r="AY13" s="589" t="inlineStr">
        <is>
          <t>Mar 2048</t>
        </is>
      </c>
      <c r="AZ13" s="589" t="inlineStr">
        <is>
          <t>Nov 2035</t>
        </is>
      </c>
      <c r="BA13" s="590" t="inlineStr">
        <is>
          <t>Jul 2054</t>
        </is>
      </c>
      <c r="BB13" s="591" t="inlineStr">
        <is>
          <t>Dec 2033</t>
        </is>
      </c>
      <c r="BC13" s="589" t="inlineStr">
        <is>
          <t>Mar 2045</t>
        </is>
      </c>
      <c r="BD13" s="589" t="inlineStr">
        <is>
          <t>Nov 2042</t>
        </is>
      </c>
      <c r="BE13" s="589" t="inlineStr">
        <is>
          <t>Mar 2038</t>
        </is>
      </c>
      <c r="BF13" s="590" t="inlineStr">
        <is>
          <t>Jun 2042</t>
        </is>
      </c>
      <c r="BG13" s="591" t="inlineStr">
        <is>
          <t>Dec 2046</t>
        </is>
      </c>
      <c r="BH13" s="589" t="inlineStr">
        <is>
          <t>May 2055</t>
        </is>
      </c>
      <c r="BI13" s="589" t="inlineStr">
        <is>
          <t>Apr 2054</t>
        </is>
      </c>
      <c r="BJ13" s="589" t="inlineStr">
        <is>
          <t>Nov 2045</t>
        </is>
      </c>
      <c r="BK13" s="590" t="inlineStr">
        <is>
          <t>Nov 2039</t>
        </is>
      </c>
      <c r="BL13" s="591" t="inlineStr">
        <is>
          <t>May 2055</t>
        </is>
      </c>
      <c r="BM13" s="589" t="inlineStr">
        <is>
          <t>May 2055</t>
        </is>
      </c>
      <c r="BN13" s="589" t="inlineStr">
        <is>
          <t>May 2055</t>
        </is>
      </c>
      <c r="BO13" s="589" t="inlineStr">
        <is>
          <t>Feb 2053</t>
        </is>
      </c>
      <c r="BP13" s="590" t="inlineStr">
        <is>
          <t>Aug 2047</t>
        </is>
      </c>
      <c r="BQ13" s="591" t="inlineStr">
        <is>
          <t>May 2055</t>
        </is>
      </c>
      <c r="BR13" s="589" t="inlineStr">
        <is>
          <t>May 2055</t>
        </is>
      </c>
      <c r="BS13" s="589" t="inlineStr">
        <is>
          <t>May 2055</t>
        </is>
      </c>
      <c r="BT13" s="590" t="inlineStr">
        <is>
          <t>May 2049</t>
        </is>
      </c>
      <c r="BU13" s="437" t="n"/>
      <c r="BV13" s="437" t="n"/>
      <c r="BW13" s="238" t="n"/>
      <c r="BX13" s="238" t="n"/>
      <c r="BY13" s="238" t="n"/>
      <c r="BZ13" s="238" t="n"/>
      <c r="CA13" s="238" t="n"/>
      <c r="CB13" s="238" t="n"/>
      <c r="CC13" s="238" t="n"/>
      <c r="CD13" s="238" t="n"/>
      <c r="CE13" s="238" t="n"/>
      <c r="CF13" s="238" t="n"/>
      <c r="CG13" s="238" t="n"/>
      <c r="CH13" s="238" t="n"/>
      <c r="CI13" s="238" t="n"/>
      <c r="CJ13" s="238" t="n"/>
      <c r="CK13" s="238" t="n"/>
      <c r="CL13" s="238" t="n"/>
      <c r="CM13" s="238" t="n"/>
      <c r="CN13" s="238" t="n"/>
      <c r="CO13" s="238" t="n"/>
      <c r="CP13" s="238" t="n"/>
      <c r="CQ13" s="238" t="n"/>
      <c r="CR13" s="238" t="n"/>
      <c r="CS13" s="238" t="n"/>
      <c r="CT13" s="238" t="n"/>
      <c r="CU13" s="238" t="n"/>
      <c r="CV13" s="238" t="n"/>
      <c r="CW13" s="238" t="n"/>
      <c r="CX13" s="238" t="n"/>
      <c r="CY13" s="238" t="n"/>
      <c r="CZ13" s="238" t="n"/>
      <c r="DA13" s="238" t="n"/>
      <c r="DB13" s="238" t="n"/>
      <c r="DC13" s="238" t="n"/>
      <c r="DD13" s="238" t="n"/>
      <c r="DE13" s="238" t="n"/>
      <c r="DF13" s="238" t="n"/>
      <c r="DG13" s="238" t="n"/>
      <c r="DH13" s="238" t="n"/>
      <c r="DI13" s="238" t="n"/>
      <c r="DJ13" s="238" t="n"/>
      <c r="DK13" s="238" t="n"/>
      <c r="DL13" s="238" t="n"/>
      <c r="DM13" s="238" t="n"/>
      <c r="DN13" s="238" t="n"/>
      <c r="DO13" s="238" t="n"/>
      <c r="DP13" s="238" t="n"/>
      <c r="DQ13" s="238" t="n"/>
      <c r="DR13" s="238" t="n"/>
      <c r="DS13" s="238" t="n"/>
      <c r="DT13" s="238" t="n"/>
      <c r="DU13" s="238" t="n"/>
      <c r="DV13" s="238" t="n"/>
      <c r="DW13" s="238" t="n"/>
      <c r="DX13" s="238" t="n"/>
      <c r="DY13" s="238" t="n"/>
      <c r="DZ13" s="23" t="n"/>
      <c r="FQ13" s="212" t="n"/>
      <c r="FR13" s="212" t="n"/>
      <c r="FS13" s="212" t="n"/>
      <c r="FT13" s="212" t="n"/>
      <c r="FU13" s="212" t="n"/>
      <c r="FV13" s="212" t="n"/>
      <c r="FW13" s="212" t="n"/>
      <c r="FX13" s="212" t="n"/>
      <c r="FY13" s="212" t="n"/>
      <c r="FZ13" s="212" t="n"/>
    </row>
    <row r="14" ht="39.95" customFormat="1" customHeight="1" s="5">
      <c r="A14" s="182" t="inlineStr"/>
      <c r="B14" s="7" t="inlineStr">
        <is>
          <t>+12 FT</t>
        </is>
      </c>
      <c r="C14" s="456" t="n"/>
      <c r="D14" s="13" t="n"/>
      <c r="H14" s="592" t="n"/>
      <c r="I14" s="593" t="n"/>
      <c r="M14" s="592" t="n"/>
      <c r="N14" s="593" t="n"/>
      <c r="R14" s="592" t="n"/>
      <c r="S14" s="593" t="n"/>
      <c r="W14" s="592" t="n"/>
      <c r="X14" s="593" t="n"/>
      <c r="AB14" s="592" t="n"/>
      <c r="AC14" s="593" t="n"/>
      <c r="AG14" s="592" t="n"/>
      <c r="AH14" s="593" t="n"/>
      <c r="AL14" s="592" t="n"/>
      <c r="AM14" s="593" t="n"/>
      <c r="AQ14" s="592" t="n"/>
      <c r="AR14" s="593" t="n"/>
      <c r="AV14" s="592" t="n"/>
      <c r="AW14" s="593" t="n"/>
      <c r="BA14" s="592" t="n"/>
      <c r="BB14" s="593" t="n"/>
      <c r="BF14" s="592" t="n"/>
      <c r="BG14" s="593" t="n"/>
      <c r="BK14" s="592" t="n"/>
      <c r="BL14" s="593" t="n"/>
      <c r="BP14" s="592" t="n"/>
      <c r="BQ14" s="593" t="n"/>
      <c r="BT14" s="592" t="n"/>
      <c r="BU14" s="437" t="n"/>
      <c r="BV14" s="437" t="n"/>
      <c r="BW14" s="238" t="n"/>
      <c r="BX14" s="238" t="n"/>
      <c r="BY14" s="238" t="n"/>
      <c r="BZ14" s="238" t="n"/>
      <c r="CA14" s="238" t="n"/>
      <c r="CB14" s="238" t="n"/>
      <c r="CC14" s="238" t="n"/>
      <c r="CD14" s="238" t="n"/>
      <c r="CE14" s="238" t="n"/>
      <c r="CF14" s="238" t="n"/>
      <c r="CG14" s="238" t="n"/>
      <c r="CH14" s="238" t="n"/>
      <c r="CI14" s="238" t="n"/>
      <c r="CJ14" s="238" t="n"/>
      <c r="CK14" s="238" t="n"/>
      <c r="CL14" s="238" t="n"/>
      <c r="CM14" s="238" t="n"/>
      <c r="CN14" s="238" t="n"/>
      <c r="CO14" s="238" t="n"/>
      <c r="CP14" s="238" t="n"/>
      <c r="CQ14" s="238" t="n"/>
      <c r="CR14" s="238" t="n"/>
      <c r="CS14" s="238" t="n"/>
      <c r="CT14" s="238" t="n"/>
      <c r="CU14" s="238" t="n"/>
      <c r="CV14" s="238" t="n"/>
      <c r="CW14" s="238" t="n"/>
      <c r="CX14" s="238" t="n"/>
      <c r="CY14" s="238" t="n"/>
      <c r="CZ14" s="238" t="n"/>
      <c r="DA14" s="238" t="n"/>
      <c r="DB14" s="238" t="n"/>
      <c r="DC14" s="238" t="n"/>
      <c r="DD14" s="238" t="n"/>
      <c r="DE14" s="238" t="n"/>
      <c r="DF14" s="238" t="n"/>
      <c r="DG14" s="238" t="n"/>
      <c r="DH14" s="238" t="n"/>
      <c r="DI14" s="238" t="n"/>
      <c r="DJ14" s="238" t="n"/>
      <c r="DK14" s="238" t="n"/>
      <c r="DL14" s="238" t="n"/>
      <c r="DM14" s="238" t="n"/>
      <c r="DN14" s="238" t="n"/>
      <c r="DO14" s="238" t="n"/>
      <c r="DP14" s="238" t="n"/>
      <c r="DQ14" s="238" t="n"/>
      <c r="DR14" s="238" t="n"/>
      <c r="DS14" s="238" t="n"/>
      <c r="DT14" s="238" t="n"/>
      <c r="DU14" s="238" t="n"/>
      <c r="DV14" s="238" t="n"/>
      <c r="DW14" s="238" t="n"/>
      <c r="DX14" s="238" t="n"/>
      <c r="DY14" s="238" t="n"/>
      <c r="DZ14" s="23" t="n"/>
      <c r="FQ14" s="212" t="n"/>
      <c r="FR14" s="212" t="n"/>
      <c r="FS14" s="212" t="n"/>
      <c r="FT14" s="212" t="n"/>
      <c r="FU14" s="212" t="n"/>
      <c r="FV14" s="212" t="n"/>
      <c r="FW14" s="212" t="n"/>
      <c r="FX14" s="212" t="n"/>
      <c r="FY14" s="212" t="n"/>
      <c r="FZ14" s="212" t="n"/>
    </row>
    <row r="15" ht="39.95" customFormat="1" customHeight="1" s="5">
      <c r="A15" s="456" t="n"/>
      <c r="B15" s="8" t="n"/>
      <c r="C15" s="456" t="n"/>
      <c r="D15" s="594" t="n"/>
      <c r="E15" s="595" t="n"/>
      <c r="F15" s="595" t="n"/>
      <c r="G15" s="595" t="n"/>
      <c r="H15" s="596" t="n"/>
      <c r="I15" s="597" t="n"/>
      <c r="J15" s="595" t="n"/>
      <c r="K15" s="595" t="n"/>
      <c r="L15" s="595" t="n"/>
      <c r="M15" s="596" t="n"/>
      <c r="N15" s="597" t="n"/>
      <c r="O15" s="595" t="n"/>
      <c r="P15" s="595" t="n"/>
      <c r="Q15" s="595" t="n"/>
      <c r="R15" s="596" t="n"/>
      <c r="S15" s="597" t="n"/>
      <c r="T15" s="595" t="n"/>
      <c r="U15" s="595" t="n"/>
      <c r="V15" s="595" t="n"/>
      <c r="W15" s="596" t="n"/>
      <c r="X15" s="597" t="n"/>
      <c r="Y15" s="595" t="n"/>
      <c r="Z15" s="595" t="n"/>
      <c r="AA15" s="595" t="n"/>
      <c r="AB15" s="596" t="n"/>
      <c r="AC15" s="597" t="n"/>
      <c r="AD15" s="595" t="n"/>
      <c r="AE15" s="595" t="n"/>
      <c r="AF15" s="595" t="n"/>
      <c r="AG15" s="596" t="n"/>
      <c r="AH15" s="597" t="n"/>
      <c r="AI15" s="595" t="n"/>
      <c r="AJ15" s="595" t="n"/>
      <c r="AK15" s="595" t="n"/>
      <c r="AL15" s="596" t="n"/>
      <c r="AM15" s="597" t="n"/>
      <c r="AN15" s="595" t="n"/>
      <c r="AO15" s="595" t="n"/>
      <c r="AP15" s="595" t="n"/>
      <c r="AQ15" s="596" t="n"/>
      <c r="AR15" s="597" t="n"/>
      <c r="AS15" s="595" t="n"/>
      <c r="AT15" s="595" t="n"/>
      <c r="AU15" s="595" t="n"/>
      <c r="AV15" s="596" t="n"/>
      <c r="AW15" s="597" t="n"/>
      <c r="AX15" s="595" t="n"/>
      <c r="AY15" s="595" t="n"/>
      <c r="AZ15" s="595" t="n"/>
      <c r="BA15" s="596" t="n"/>
      <c r="BB15" s="597" t="n"/>
      <c r="BC15" s="595" t="n"/>
      <c r="BD15" s="595" t="n"/>
      <c r="BE15" s="595" t="n"/>
      <c r="BF15" s="596" t="n"/>
      <c r="BG15" s="597" t="n"/>
      <c r="BH15" s="595" t="n"/>
      <c r="BI15" s="595" t="n"/>
      <c r="BJ15" s="595" t="n"/>
      <c r="BK15" s="596" t="n"/>
      <c r="BL15" s="597" t="n"/>
      <c r="BM15" s="595" t="n"/>
      <c r="BN15" s="595" t="n"/>
      <c r="BO15" s="595" t="n"/>
      <c r="BP15" s="596" t="n"/>
      <c r="BQ15" s="597" t="n"/>
      <c r="BR15" s="595" t="n"/>
      <c r="BS15" s="595" t="n"/>
      <c r="BT15" s="596" t="n"/>
      <c r="BU15" s="437" t="n"/>
      <c r="BV15" s="437" t="n"/>
      <c r="BW15" s="238" t="n"/>
      <c r="BX15" s="238" t="n"/>
      <c r="BY15" s="238" t="n"/>
      <c r="BZ15" s="238" t="n"/>
      <c r="CA15" s="238" t="n"/>
      <c r="CB15" s="238" t="n"/>
      <c r="CC15" s="238" t="n"/>
      <c r="CD15" s="238" t="n"/>
      <c r="CE15" s="238" t="n"/>
      <c r="CF15" s="238" t="n"/>
      <c r="CG15" s="238" t="n"/>
      <c r="CH15" s="238" t="n"/>
      <c r="CI15" s="238" t="n"/>
      <c r="CJ15" s="238" t="n"/>
      <c r="CK15" s="238" t="n"/>
      <c r="CL15" s="238" t="n"/>
      <c r="CM15" s="238" t="n"/>
      <c r="CN15" s="238" t="n"/>
      <c r="CO15" s="238" t="n"/>
      <c r="CP15" s="238" t="n"/>
      <c r="CQ15" s="238" t="n"/>
      <c r="CR15" s="238" t="n"/>
      <c r="CS15" s="238" t="n"/>
      <c r="CT15" s="238" t="n"/>
      <c r="CU15" s="238" t="n"/>
      <c r="CV15" s="238" t="n"/>
      <c r="CW15" s="238" t="n"/>
      <c r="CX15" s="238" t="n"/>
      <c r="CY15" s="238" t="n"/>
      <c r="CZ15" s="238" t="n"/>
      <c r="DA15" s="238" t="n"/>
      <c r="DB15" s="238" t="n"/>
      <c r="DC15" s="238" t="n"/>
      <c r="DD15" s="238" t="n"/>
      <c r="DE15" s="238" t="n"/>
      <c r="DF15" s="238" t="n"/>
      <c r="DG15" s="238" t="n"/>
      <c r="DH15" s="238" t="n"/>
      <c r="DI15" s="238" t="n"/>
      <c r="DJ15" s="238" t="n"/>
      <c r="DK15" s="238" t="n"/>
      <c r="DL15" s="238" t="n"/>
      <c r="DM15" s="238" t="n"/>
      <c r="DN15" s="238" t="n"/>
      <c r="DO15" s="238" t="n"/>
      <c r="DP15" s="238" t="n"/>
      <c r="DQ15" s="238" t="n"/>
      <c r="DR15" s="238" t="n"/>
      <c r="DS15" s="238" t="n"/>
      <c r="DT15" s="238" t="n"/>
      <c r="DU15" s="238" t="n"/>
      <c r="DV15" s="238" t="n"/>
      <c r="DW15" s="238" t="n"/>
      <c r="DX15" s="238" t="n"/>
      <c r="DY15" s="238" t="n"/>
      <c r="DZ15" s="23" t="n"/>
      <c r="FQ15" s="212" t="n"/>
      <c r="FR15" s="212" t="n"/>
      <c r="FS15" s="212" t="n"/>
      <c r="FT15" s="212" t="n"/>
      <c r="FU15" s="212" t="n"/>
      <c r="FV15" s="212" t="n"/>
      <c r="FW15" s="212" t="n"/>
      <c r="FX15" s="212" t="n"/>
      <c r="FY15" s="212" t="n"/>
      <c r="FZ15" s="212" t="n"/>
    </row>
    <row r="16" ht="39.95" customFormat="1" customHeight="1" s="5">
      <c r="A16" s="10" t="inlineStr">
        <is>
          <t>A</t>
        </is>
      </c>
      <c r="B16" s="6" t="inlineStr">
        <is>
          <t>POSITION 'A'</t>
        </is>
      </c>
      <c r="C16" s="351" t="inlineStr">
        <is>
          <t>Year</t>
        </is>
      </c>
      <c r="D16" s="588" t="inlineStr">
        <is>
          <t>ND</t>
        </is>
      </c>
      <c r="E16" s="589" t="inlineStr">
        <is>
          <t>May 2055</t>
        </is>
      </c>
      <c r="F16" s="589" t="inlineStr">
        <is>
          <t>May 2055</t>
        </is>
      </c>
      <c r="G16" s="589" t="inlineStr">
        <is>
          <t>May 2055</t>
        </is>
      </c>
      <c r="H16" s="590" t="inlineStr">
        <is>
          <t>May 2055</t>
        </is>
      </c>
      <c r="I16" s="591" t="inlineStr">
        <is>
          <t>ND</t>
        </is>
      </c>
      <c r="J16" s="589" t="inlineStr">
        <is>
          <t>ND</t>
        </is>
      </c>
      <c r="K16" s="589" t="inlineStr">
        <is>
          <t>ND</t>
        </is>
      </c>
      <c r="L16" s="589" t="inlineStr">
        <is>
          <t>ND</t>
        </is>
      </c>
      <c r="M16" s="590" t="inlineStr">
        <is>
          <t>ND</t>
        </is>
      </c>
      <c r="N16" s="591" t="inlineStr">
        <is>
          <t>ND</t>
        </is>
      </c>
      <c r="O16" s="589" t="inlineStr">
        <is>
          <t>ND</t>
        </is>
      </c>
      <c r="P16" s="589" t="inlineStr">
        <is>
          <t>ND</t>
        </is>
      </c>
      <c r="Q16" s="589" t="inlineStr">
        <is>
          <t>ND</t>
        </is>
      </c>
      <c r="R16" s="590" t="inlineStr">
        <is>
          <t>ND</t>
        </is>
      </c>
      <c r="S16" s="591" t="inlineStr">
        <is>
          <t>ND</t>
        </is>
      </c>
      <c r="T16" s="589" t="inlineStr">
        <is>
          <t>ND</t>
        </is>
      </c>
      <c r="U16" s="589" t="inlineStr">
        <is>
          <t>ND</t>
        </is>
      </c>
      <c r="V16" s="589" t="inlineStr">
        <is>
          <t>ND</t>
        </is>
      </c>
      <c r="W16" s="590" t="inlineStr">
        <is>
          <t>ND</t>
        </is>
      </c>
      <c r="X16" s="591" t="inlineStr">
        <is>
          <t>ND</t>
        </is>
      </c>
      <c r="Y16" s="589" t="inlineStr">
        <is>
          <t>ND</t>
        </is>
      </c>
      <c r="Z16" s="589" t="inlineStr">
        <is>
          <t>ND</t>
        </is>
      </c>
      <c r="AA16" s="589" t="inlineStr">
        <is>
          <t>ND</t>
        </is>
      </c>
      <c r="AB16" s="590" t="inlineStr">
        <is>
          <t>ND</t>
        </is>
      </c>
      <c r="AC16" s="591" t="inlineStr">
        <is>
          <t>ND</t>
        </is>
      </c>
      <c r="AD16" s="589" t="inlineStr">
        <is>
          <t>ND</t>
        </is>
      </c>
      <c r="AE16" s="589" t="inlineStr">
        <is>
          <t>ND</t>
        </is>
      </c>
      <c r="AF16" s="589" t="inlineStr">
        <is>
          <t>ND</t>
        </is>
      </c>
      <c r="AG16" s="590" t="inlineStr">
        <is>
          <t>ND</t>
        </is>
      </c>
      <c r="AH16" s="591" t="inlineStr">
        <is>
          <t>ND</t>
        </is>
      </c>
      <c r="AI16" s="589" t="inlineStr">
        <is>
          <t>ND</t>
        </is>
      </c>
      <c r="AJ16" s="589" t="inlineStr">
        <is>
          <t>ND</t>
        </is>
      </c>
      <c r="AK16" s="589" t="inlineStr">
        <is>
          <t>ND</t>
        </is>
      </c>
      <c r="AL16" s="590" t="inlineStr">
        <is>
          <t>ND</t>
        </is>
      </c>
      <c r="AM16" s="591" t="inlineStr">
        <is>
          <t>ND</t>
        </is>
      </c>
      <c r="AN16" s="589" t="inlineStr">
        <is>
          <t>ND</t>
        </is>
      </c>
      <c r="AO16" s="589" t="inlineStr">
        <is>
          <t>ND</t>
        </is>
      </c>
      <c r="AP16" s="589" t="inlineStr">
        <is>
          <t>ND</t>
        </is>
      </c>
      <c r="AQ16" s="590" t="inlineStr">
        <is>
          <t>ND</t>
        </is>
      </c>
      <c r="AR16" s="591" t="inlineStr">
        <is>
          <t>ND</t>
        </is>
      </c>
      <c r="AS16" s="589" t="inlineStr">
        <is>
          <t>ND</t>
        </is>
      </c>
      <c r="AT16" s="589" t="inlineStr">
        <is>
          <t>ND</t>
        </is>
      </c>
      <c r="AU16" s="589" t="inlineStr">
        <is>
          <t>ND</t>
        </is>
      </c>
      <c r="AV16" s="590" t="inlineStr">
        <is>
          <t>ND</t>
        </is>
      </c>
      <c r="AW16" s="591" t="inlineStr">
        <is>
          <t>ND</t>
        </is>
      </c>
      <c r="AX16" s="589" t="inlineStr">
        <is>
          <t>ND</t>
        </is>
      </c>
      <c r="AY16" s="589" t="inlineStr">
        <is>
          <t>ND</t>
        </is>
      </c>
      <c r="AZ16" s="589" t="inlineStr">
        <is>
          <t>ND</t>
        </is>
      </c>
      <c r="BA16" s="590" t="inlineStr">
        <is>
          <t>ND</t>
        </is>
      </c>
      <c r="BB16" s="591" t="inlineStr">
        <is>
          <t>ND</t>
        </is>
      </c>
      <c r="BC16" s="589" t="inlineStr">
        <is>
          <t>ND</t>
        </is>
      </c>
      <c r="BD16" s="589" t="inlineStr">
        <is>
          <t>ND</t>
        </is>
      </c>
      <c r="BE16" s="589" t="inlineStr">
        <is>
          <t>ND</t>
        </is>
      </c>
      <c r="BF16" s="590" t="inlineStr">
        <is>
          <t>ND</t>
        </is>
      </c>
      <c r="BG16" s="591" t="inlineStr">
        <is>
          <t>ND</t>
        </is>
      </c>
      <c r="BH16" s="589" t="inlineStr">
        <is>
          <t>ND</t>
        </is>
      </c>
      <c r="BI16" s="589" t="inlineStr">
        <is>
          <t>ND</t>
        </is>
      </c>
      <c r="BJ16" s="589" t="inlineStr">
        <is>
          <t>ND</t>
        </is>
      </c>
      <c r="BK16" s="590" t="inlineStr">
        <is>
          <t>ND</t>
        </is>
      </c>
      <c r="BL16" s="591" t="inlineStr">
        <is>
          <t>ND</t>
        </is>
      </c>
      <c r="BM16" s="589" t="inlineStr">
        <is>
          <t>ND</t>
        </is>
      </c>
      <c r="BN16" s="589" t="inlineStr">
        <is>
          <t>ND</t>
        </is>
      </c>
      <c r="BO16" s="589" t="inlineStr">
        <is>
          <t>ND</t>
        </is>
      </c>
      <c r="BP16" s="590" t="inlineStr">
        <is>
          <t>May 2055</t>
        </is>
      </c>
      <c r="BQ16" s="591" t="inlineStr">
        <is>
          <t>May 2055</t>
        </is>
      </c>
      <c r="BR16" s="589" t="inlineStr">
        <is>
          <t>Jul 2053</t>
        </is>
      </c>
      <c r="BS16" s="589" t="inlineStr">
        <is>
          <t>May 2055</t>
        </is>
      </c>
      <c r="BT16" s="590" t="inlineStr">
        <is>
          <t>ND</t>
        </is>
      </c>
      <c r="BU16" s="437" t="n"/>
      <c r="BV16" s="437" t="n"/>
      <c r="BW16" s="238" t="n"/>
      <c r="BX16" s="238" t="n"/>
      <c r="BY16" s="238" t="n"/>
      <c r="BZ16" s="238" t="n"/>
      <c r="CA16" s="238" t="n"/>
      <c r="CB16" s="238" t="n"/>
      <c r="CC16" s="238" t="n"/>
      <c r="CD16" s="238" t="n"/>
      <c r="CE16" s="238" t="n"/>
      <c r="CF16" s="238" t="n"/>
      <c r="CG16" s="238" t="n"/>
      <c r="CH16" s="238" t="n"/>
      <c r="CI16" s="238" t="n"/>
      <c r="CJ16" s="238" t="n"/>
      <c r="CK16" s="238" t="n"/>
      <c r="CL16" s="238" t="n"/>
      <c r="CM16" s="238" t="n"/>
      <c r="CN16" s="238" t="n"/>
      <c r="CO16" s="238" t="n"/>
      <c r="CP16" s="238" t="n"/>
      <c r="CQ16" s="238" t="n"/>
      <c r="CR16" s="238" t="n"/>
      <c r="CS16" s="238" t="n"/>
      <c r="CT16" s="238" t="n"/>
      <c r="CU16" s="238" t="n"/>
      <c r="CV16" s="238" t="n"/>
      <c r="CW16" s="238" t="n"/>
      <c r="CX16" s="238" t="n"/>
      <c r="CY16" s="238" t="n"/>
      <c r="CZ16" s="238" t="n"/>
      <c r="DA16" s="238" t="n"/>
      <c r="DB16" s="238" t="n"/>
      <c r="DC16" s="238" t="n"/>
      <c r="DD16" s="238" t="n"/>
      <c r="DE16" s="238" t="n"/>
      <c r="DF16" s="238" t="n"/>
      <c r="DG16" s="238" t="n"/>
      <c r="DH16" s="238" t="n"/>
      <c r="DI16" s="238" t="n"/>
      <c r="DJ16" s="238" t="n"/>
      <c r="DK16" s="238" t="n"/>
      <c r="DL16" s="238" t="n"/>
      <c r="DM16" s="238" t="n"/>
      <c r="DN16" s="238" t="n"/>
      <c r="DO16" s="238" t="n"/>
      <c r="DP16" s="238" t="n"/>
      <c r="DQ16" s="238" t="n"/>
      <c r="DR16" s="238" t="n"/>
      <c r="DS16" s="238" t="n"/>
      <c r="DT16" s="238" t="n"/>
      <c r="DU16" s="238" t="n"/>
      <c r="DV16" s="238" t="n"/>
      <c r="DW16" s="238" t="n"/>
      <c r="DX16" s="238" t="n"/>
      <c r="DY16" s="238" t="n"/>
      <c r="DZ16" s="23" t="n"/>
      <c r="FQ16" s="212" t="n"/>
      <c r="FR16" s="212" t="n"/>
      <c r="FS16" s="212" t="n"/>
      <c r="FT16" s="212" t="n"/>
      <c r="FU16" s="212" t="n"/>
      <c r="FV16" s="212" t="n"/>
      <c r="FW16" s="212" t="n"/>
      <c r="FX16" s="212" t="n"/>
      <c r="FY16" s="212" t="n"/>
      <c r="FZ16" s="212" t="n"/>
    </row>
    <row r="17" ht="39.95" customFormat="1" customHeight="1" s="5">
      <c r="A17" s="182" t="inlineStr"/>
      <c r="B17" s="7" t="inlineStr">
        <is>
          <t>OF THE</t>
        </is>
      </c>
      <c r="C17" s="456" t="n"/>
      <c r="D17" s="13" t="n"/>
      <c r="H17" s="592" t="n"/>
      <c r="I17" s="593" t="n"/>
      <c r="M17" s="592" t="n"/>
      <c r="N17" s="593" t="n"/>
      <c r="R17" s="592" t="n"/>
      <c r="S17" s="593" t="n"/>
      <c r="W17" s="592" t="n"/>
      <c r="X17" s="593" t="n"/>
      <c r="AB17" s="592" t="n"/>
      <c r="AC17" s="593" t="n"/>
      <c r="AG17" s="592" t="n"/>
      <c r="AH17" s="593" t="n"/>
      <c r="AL17" s="592" t="n"/>
      <c r="AM17" s="593" t="n"/>
      <c r="AQ17" s="592" t="n"/>
      <c r="AR17" s="593" t="n"/>
      <c r="AV17" s="592" t="n"/>
      <c r="AW17" s="593" t="n"/>
      <c r="BA17" s="592" t="n"/>
      <c r="BB17" s="593" t="n"/>
      <c r="BF17" s="592" t="n"/>
      <c r="BG17" s="593" t="n"/>
      <c r="BK17" s="592" t="n"/>
      <c r="BL17" s="593" t="n"/>
      <c r="BP17" s="592" t="n"/>
      <c r="BQ17" s="593" t="n"/>
      <c r="BT17" s="592" t="n"/>
      <c r="BU17" s="437" t="n"/>
      <c r="BV17" s="437" t="n"/>
      <c r="BW17" s="238" t="n"/>
      <c r="BX17" s="238" t="n"/>
      <c r="BY17" s="238" t="n"/>
      <c r="BZ17" s="238" t="n"/>
      <c r="CA17" s="238" t="n"/>
      <c r="CB17" s="238" t="n"/>
      <c r="CC17" s="238" t="n"/>
      <c r="CD17" s="238" t="n"/>
      <c r="CE17" s="238" t="n"/>
      <c r="CF17" s="238" t="n"/>
      <c r="CG17" s="238" t="n"/>
      <c r="CH17" s="238" t="n"/>
      <c r="CI17" s="238" t="n"/>
      <c r="CJ17" s="238" t="n"/>
      <c r="CK17" s="238" t="n"/>
      <c r="CL17" s="238" t="n"/>
      <c r="CM17" s="238" t="n"/>
      <c r="CN17" s="238" t="n"/>
      <c r="CO17" s="238" t="n"/>
      <c r="CP17" s="238" t="n"/>
      <c r="CQ17" s="238" t="n"/>
      <c r="CR17" s="238" t="n"/>
      <c r="CS17" s="238" t="n"/>
      <c r="CT17" s="238" t="n"/>
      <c r="CU17" s="238" t="n"/>
      <c r="CV17" s="238" t="n"/>
      <c r="CW17" s="238" t="n"/>
      <c r="CX17" s="238" t="n"/>
      <c r="CY17" s="238" t="n"/>
      <c r="CZ17" s="238" t="n"/>
      <c r="DA17" s="238" t="n"/>
      <c r="DB17" s="238" t="n"/>
      <c r="DC17" s="238" t="n"/>
      <c r="DD17" s="238" t="n"/>
      <c r="DE17" s="238" t="n"/>
      <c r="DF17" s="238" t="n"/>
      <c r="DG17" s="238" t="n"/>
      <c r="DH17" s="238" t="n"/>
      <c r="DI17" s="238" t="n"/>
      <c r="DJ17" s="238" t="n"/>
      <c r="DK17" s="238" t="n"/>
      <c r="DL17" s="238" t="n"/>
      <c r="DM17" s="238" t="n"/>
      <c r="DN17" s="238" t="n"/>
      <c r="DO17" s="238" t="n"/>
      <c r="DP17" s="238" t="n"/>
      <c r="DQ17" s="238" t="n"/>
      <c r="DR17" s="238" t="n"/>
      <c r="DS17" s="238" t="n"/>
      <c r="DT17" s="238" t="n"/>
      <c r="DU17" s="238" t="n"/>
      <c r="DV17" s="238" t="n"/>
      <c r="DW17" s="238" t="n"/>
      <c r="DX17" s="238" t="n"/>
      <c r="DY17" s="238" t="n"/>
      <c r="DZ17" s="23" t="n"/>
      <c r="FQ17" s="212" t="n"/>
      <c r="FR17" s="212" t="n"/>
      <c r="FS17" s="212" t="n"/>
      <c r="FT17" s="212" t="n"/>
      <c r="FU17" s="212" t="n"/>
      <c r="FV17" s="212" t="n"/>
      <c r="FW17" s="212" t="n"/>
      <c r="FX17" s="212" t="n"/>
      <c r="FY17" s="212" t="n"/>
      <c r="FZ17" s="212" t="n"/>
    </row>
    <row r="18" ht="39.95" customFormat="1" customHeight="1" s="5">
      <c r="A18" s="456" t="n"/>
      <c r="B18" s="8" t="inlineStr">
        <is>
          <t>OB PORTS</t>
        </is>
      </c>
      <c r="C18" s="456" t="n"/>
      <c r="D18" s="594" t="n"/>
      <c r="E18" s="595" t="n"/>
      <c r="F18" s="595" t="n"/>
      <c r="G18" s="595" t="n"/>
      <c r="H18" s="596" t="n"/>
      <c r="I18" s="597" t="n"/>
      <c r="J18" s="595" t="n"/>
      <c r="K18" s="595" t="n"/>
      <c r="L18" s="595" t="n"/>
      <c r="M18" s="596" t="n"/>
      <c r="N18" s="597" t="n"/>
      <c r="O18" s="595" t="n"/>
      <c r="P18" s="595" t="n"/>
      <c r="Q18" s="595" t="n"/>
      <c r="R18" s="596" t="n"/>
      <c r="S18" s="597" t="n"/>
      <c r="T18" s="595" t="n"/>
      <c r="U18" s="595" t="n"/>
      <c r="V18" s="595" t="n"/>
      <c r="W18" s="596" t="n"/>
      <c r="X18" s="597" t="n"/>
      <c r="Y18" s="595" t="n"/>
      <c r="Z18" s="595" t="n"/>
      <c r="AA18" s="595" t="n"/>
      <c r="AB18" s="596" t="n"/>
      <c r="AC18" s="597" t="n"/>
      <c r="AD18" s="595" t="n"/>
      <c r="AE18" s="595" t="n"/>
      <c r="AF18" s="595" t="n"/>
      <c r="AG18" s="596" t="n"/>
      <c r="AH18" s="597" t="n"/>
      <c r="AI18" s="595" t="n"/>
      <c r="AJ18" s="595" t="n"/>
      <c r="AK18" s="595" t="n"/>
      <c r="AL18" s="596" t="n"/>
      <c r="AM18" s="597" t="n"/>
      <c r="AN18" s="595" t="n"/>
      <c r="AO18" s="595" t="n"/>
      <c r="AP18" s="595" t="n"/>
      <c r="AQ18" s="596" t="n"/>
      <c r="AR18" s="597" t="n"/>
      <c r="AS18" s="595" t="n"/>
      <c r="AT18" s="595" t="n"/>
      <c r="AU18" s="595" t="n"/>
      <c r="AV18" s="596" t="n"/>
      <c r="AW18" s="597" t="n"/>
      <c r="AX18" s="595" t="n"/>
      <c r="AY18" s="595" t="n"/>
      <c r="AZ18" s="595" t="n"/>
      <c r="BA18" s="596" t="n"/>
      <c r="BB18" s="597" t="n"/>
      <c r="BC18" s="595" t="n"/>
      <c r="BD18" s="595" t="n"/>
      <c r="BE18" s="595" t="n"/>
      <c r="BF18" s="596" t="n"/>
      <c r="BG18" s="597" t="n"/>
      <c r="BH18" s="595" t="n"/>
      <c r="BI18" s="595" t="n"/>
      <c r="BJ18" s="595" t="n"/>
      <c r="BK18" s="596" t="n"/>
      <c r="BL18" s="597" t="n"/>
      <c r="BM18" s="595" t="n"/>
      <c r="BN18" s="595" t="n"/>
      <c r="BO18" s="595" t="n"/>
      <c r="BP18" s="596" t="n"/>
      <c r="BQ18" s="597" t="n"/>
      <c r="BR18" s="595" t="n"/>
      <c r="BS18" s="595" t="n"/>
      <c r="BT18" s="596" t="n"/>
      <c r="BU18" s="437" t="n"/>
      <c r="BV18" s="437" t="n"/>
      <c r="BW18" s="238" t="n"/>
      <c r="BX18" s="238" t="n"/>
      <c r="BY18" s="238" t="n"/>
      <c r="BZ18" s="238" t="n"/>
      <c r="CA18" s="238" t="n"/>
      <c r="CB18" s="238" t="n"/>
      <c r="CC18" s="238" t="n"/>
      <c r="CD18" s="238" t="n"/>
      <c r="CE18" s="238" t="n"/>
      <c r="CF18" s="238" t="n"/>
      <c r="CG18" s="238" t="n"/>
      <c r="CH18" s="238" t="n"/>
      <c r="CI18" s="238" t="n"/>
      <c r="CJ18" s="238" t="n"/>
      <c r="CK18" s="238" t="n"/>
      <c r="CL18" s="238" t="n"/>
      <c r="CM18" s="238" t="n"/>
      <c r="CN18" s="238" t="n"/>
      <c r="CO18" s="238" t="n"/>
      <c r="CP18" s="238" t="n"/>
      <c r="CQ18" s="238" t="n"/>
      <c r="CR18" s="238" t="n"/>
      <c r="CS18" s="238" t="n"/>
      <c r="CT18" s="238" t="n"/>
      <c r="CU18" s="238" t="n"/>
      <c r="CV18" s="238" t="n"/>
      <c r="CW18" s="238" t="n"/>
      <c r="CX18" s="238" t="n"/>
      <c r="CY18" s="238" t="n"/>
      <c r="CZ18" s="238" t="n"/>
      <c r="DA18" s="238" t="n"/>
      <c r="DB18" s="238" t="n"/>
      <c r="DC18" s="238" t="n"/>
      <c r="DD18" s="238" t="n"/>
      <c r="DE18" s="238" t="n"/>
      <c r="DF18" s="238" t="n"/>
      <c r="DG18" s="238" t="n"/>
      <c r="DH18" s="238" t="n"/>
      <c r="DI18" s="238" t="n"/>
      <c r="DJ18" s="238" t="n"/>
      <c r="DK18" s="238" t="n"/>
      <c r="DL18" s="238" t="n"/>
      <c r="DM18" s="238" t="n"/>
      <c r="DN18" s="238" t="n"/>
      <c r="DO18" s="238" t="n"/>
      <c r="DP18" s="238" t="n"/>
      <c r="DQ18" s="238" t="n"/>
      <c r="DR18" s="238" t="n"/>
      <c r="DS18" s="238" t="n"/>
      <c r="DT18" s="238" t="n"/>
      <c r="DU18" s="238" t="n"/>
      <c r="DV18" s="238" t="n"/>
      <c r="DW18" s="238" t="n"/>
      <c r="DX18" s="238" t="n"/>
      <c r="DY18" s="238" t="n"/>
      <c r="DZ18" s="23" t="n"/>
      <c r="FQ18" s="212" t="n"/>
      <c r="FR18" s="212" t="n"/>
      <c r="FS18" s="212" t="n"/>
      <c r="FT18" s="212" t="n"/>
      <c r="FU18" s="212" t="n"/>
      <c r="FV18" s="212" t="n"/>
      <c r="FW18" s="212" t="n"/>
      <c r="FX18" s="212" t="n"/>
      <c r="FY18" s="212" t="n"/>
      <c r="FZ18" s="212" t="n"/>
    </row>
    <row r="19" ht="39.95" customFormat="1" customHeight="1" s="5">
      <c r="A19" s="10" t="inlineStr">
        <is>
          <t>A</t>
        </is>
      </c>
      <c r="B19" s="6" t="inlineStr">
        <is>
          <t>POSITION 'B'</t>
        </is>
      </c>
      <c r="C19" s="351" t="inlineStr">
        <is>
          <t>Year</t>
        </is>
      </c>
      <c r="D19" s="588" t="inlineStr">
        <is>
          <t>ND</t>
        </is>
      </c>
      <c r="E19" s="589" t="inlineStr">
        <is>
          <t>May 2055</t>
        </is>
      </c>
      <c r="F19" s="589" t="inlineStr">
        <is>
          <t>May 2055</t>
        </is>
      </c>
      <c r="G19" s="589" t="inlineStr">
        <is>
          <t>May 2055</t>
        </is>
      </c>
      <c r="H19" s="590" t="inlineStr">
        <is>
          <t>May 2055</t>
        </is>
      </c>
      <c r="I19" s="591" t="inlineStr">
        <is>
          <t>ND</t>
        </is>
      </c>
      <c r="J19" s="589" t="inlineStr">
        <is>
          <t>ND</t>
        </is>
      </c>
      <c r="K19" s="589" t="inlineStr">
        <is>
          <t>ND</t>
        </is>
      </c>
      <c r="L19" s="589" t="inlineStr">
        <is>
          <t>ND</t>
        </is>
      </c>
      <c r="M19" s="590" t="inlineStr">
        <is>
          <t>ND</t>
        </is>
      </c>
      <c r="N19" s="591" t="inlineStr">
        <is>
          <t>ND</t>
        </is>
      </c>
      <c r="O19" s="589" t="inlineStr">
        <is>
          <t>ND</t>
        </is>
      </c>
      <c r="P19" s="589" t="inlineStr">
        <is>
          <t>ND</t>
        </is>
      </c>
      <c r="Q19" s="589" t="inlineStr">
        <is>
          <t>ND</t>
        </is>
      </c>
      <c r="R19" s="590" t="inlineStr">
        <is>
          <t>ND</t>
        </is>
      </c>
      <c r="S19" s="591" t="inlineStr">
        <is>
          <t>ND</t>
        </is>
      </c>
      <c r="T19" s="589" t="inlineStr">
        <is>
          <t>ND</t>
        </is>
      </c>
      <c r="U19" s="589" t="inlineStr">
        <is>
          <t>ND</t>
        </is>
      </c>
      <c r="V19" s="589" t="inlineStr">
        <is>
          <t>ND</t>
        </is>
      </c>
      <c r="W19" s="590" t="inlineStr">
        <is>
          <t>ND</t>
        </is>
      </c>
      <c r="X19" s="591" t="inlineStr">
        <is>
          <t>ND</t>
        </is>
      </c>
      <c r="Y19" s="589" t="inlineStr">
        <is>
          <t>ND</t>
        </is>
      </c>
      <c r="Z19" s="589" t="inlineStr">
        <is>
          <t>ND</t>
        </is>
      </c>
      <c r="AA19" s="589" t="inlineStr">
        <is>
          <t>ND</t>
        </is>
      </c>
      <c r="AB19" s="590" t="inlineStr">
        <is>
          <t>ND</t>
        </is>
      </c>
      <c r="AC19" s="591" t="inlineStr">
        <is>
          <t>ND</t>
        </is>
      </c>
      <c r="AD19" s="589" t="inlineStr">
        <is>
          <t>ND</t>
        </is>
      </c>
      <c r="AE19" s="589" t="inlineStr">
        <is>
          <t>ND</t>
        </is>
      </c>
      <c r="AF19" s="589" t="inlineStr">
        <is>
          <t>ND</t>
        </is>
      </c>
      <c r="AG19" s="590" t="inlineStr">
        <is>
          <t>ND</t>
        </is>
      </c>
      <c r="AH19" s="591" t="inlineStr">
        <is>
          <t>ND</t>
        </is>
      </c>
      <c r="AI19" s="589" t="inlineStr">
        <is>
          <t>ND</t>
        </is>
      </c>
      <c r="AJ19" s="589" t="inlineStr">
        <is>
          <t>ND</t>
        </is>
      </c>
      <c r="AK19" s="589" t="inlineStr">
        <is>
          <t>ND</t>
        </is>
      </c>
      <c r="AL19" s="590" t="inlineStr">
        <is>
          <t>ND</t>
        </is>
      </c>
      <c r="AM19" s="591" t="inlineStr">
        <is>
          <t>ND</t>
        </is>
      </c>
      <c r="AN19" s="589" t="inlineStr">
        <is>
          <t>ND</t>
        </is>
      </c>
      <c r="AO19" s="589" t="inlineStr">
        <is>
          <t>ND</t>
        </is>
      </c>
      <c r="AP19" s="589" t="inlineStr">
        <is>
          <t>ND</t>
        </is>
      </c>
      <c r="AQ19" s="590" t="inlineStr">
        <is>
          <t>ND</t>
        </is>
      </c>
      <c r="AR19" s="591" t="inlineStr">
        <is>
          <t>ND</t>
        </is>
      </c>
      <c r="AS19" s="589" t="inlineStr">
        <is>
          <t>ND</t>
        </is>
      </c>
      <c r="AT19" s="589" t="inlineStr">
        <is>
          <t>ND</t>
        </is>
      </c>
      <c r="AU19" s="589" t="inlineStr">
        <is>
          <t>ND</t>
        </is>
      </c>
      <c r="AV19" s="590" t="inlineStr">
        <is>
          <t>ND</t>
        </is>
      </c>
      <c r="AW19" s="591" t="inlineStr">
        <is>
          <t>ND</t>
        </is>
      </c>
      <c r="AX19" s="589" t="inlineStr">
        <is>
          <t>ND</t>
        </is>
      </c>
      <c r="AY19" s="589" t="inlineStr">
        <is>
          <t>ND</t>
        </is>
      </c>
      <c r="AZ19" s="589" t="inlineStr">
        <is>
          <t>ND</t>
        </is>
      </c>
      <c r="BA19" s="590" t="inlineStr">
        <is>
          <t>ND</t>
        </is>
      </c>
      <c r="BB19" s="591" t="inlineStr">
        <is>
          <t>ND</t>
        </is>
      </c>
      <c r="BC19" s="589" t="inlineStr">
        <is>
          <t>ND</t>
        </is>
      </c>
      <c r="BD19" s="589" t="inlineStr">
        <is>
          <t>ND</t>
        </is>
      </c>
      <c r="BE19" s="589" t="inlineStr">
        <is>
          <t>ND</t>
        </is>
      </c>
      <c r="BF19" s="590" t="inlineStr">
        <is>
          <t>ND</t>
        </is>
      </c>
      <c r="BG19" s="591" t="inlineStr">
        <is>
          <t>ND</t>
        </is>
      </c>
      <c r="BH19" s="589" t="inlineStr">
        <is>
          <t>ND</t>
        </is>
      </c>
      <c r="BI19" s="589" t="inlineStr">
        <is>
          <t>ND</t>
        </is>
      </c>
      <c r="BJ19" s="589" t="inlineStr">
        <is>
          <t>ND</t>
        </is>
      </c>
      <c r="BK19" s="590" t="inlineStr">
        <is>
          <t>ND</t>
        </is>
      </c>
      <c r="BL19" s="591" t="inlineStr">
        <is>
          <t>ND</t>
        </is>
      </c>
      <c r="BM19" s="589" t="inlineStr">
        <is>
          <t>ND</t>
        </is>
      </c>
      <c r="BN19" s="589" t="inlineStr">
        <is>
          <t>ND</t>
        </is>
      </c>
      <c r="BO19" s="589" t="inlineStr">
        <is>
          <t>ND</t>
        </is>
      </c>
      <c r="BP19" s="590" t="inlineStr">
        <is>
          <t>May 2055</t>
        </is>
      </c>
      <c r="BQ19" s="591" t="inlineStr">
        <is>
          <t>May 2055</t>
        </is>
      </c>
      <c r="BR19" s="589" t="inlineStr">
        <is>
          <t>May 2055</t>
        </is>
      </c>
      <c r="BS19" s="589" t="inlineStr">
        <is>
          <t>May 2055</t>
        </is>
      </c>
      <c r="BT19" s="590" t="inlineStr">
        <is>
          <t>ND</t>
        </is>
      </c>
      <c r="BU19" s="437" t="n"/>
      <c r="BV19" s="437" t="n"/>
      <c r="BW19" s="238" t="n"/>
      <c r="BX19" s="238" t="n"/>
      <c r="BY19" s="238" t="n"/>
      <c r="BZ19" s="238" t="n"/>
      <c r="CA19" s="238" t="n"/>
      <c r="CB19" s="238" t="n"/>
      <c r="CC19" s="238" t="n"/>
      <c r="CD19" s="238" t="n"/>
      <c r="CE19" s="238" t="n"/>
      <c r="CF19" s="238" t="n"/>
      <c r="CG19" s="238" t="n"/>
      <c r="CH19" s="238" t="n"/>
      <c r="CI19" s="238" t="n"/>
      <c r="CJ19" s="238" t="n"/>
      <c r="CK19" s="238" t="n"/>
      <c r="CL19" s="238" t="n"/>
      <c r="CM19" s="238" t="n"/>
      <c r="CN19" s="238" t="n"/>
      <c r="CO19" s="238" t="n"/>
      <c r="CP19" s="238" t="n"/>
      <c r="CQ19" s="238" t="n"/>
      <c r="CR19" s="238" t="n"/>
      <c r="CS19" s="238" t="n"/>
      <c r="CT19" s="238" t="n"/>
      <c r="CU19" s="238" t="n"/>
      <c r="CV19" s="238" t="n"/>
      <c r="CW19" s="238" t="n"/>
      <c r="CX19" s="238" t="n"/>
      <c r="CY19" s="238" t="n"/>
      <c r="CZ19" s="238" t="n"/>
      <c r="DA19" s="238" t="n"/>
      <c r="DB19" s="238" t="n"/>
      <c r="DC19" s="238" t="n"/>
      <c r="DD19" s="238" t="n"/>
      <c r="DE19" s="238" t="n"/>
      <c r="DF19" s="238" t="n"/>
      <c r="DG19" s="238" t="n"/>
      <c r="DH19" s="238" t="n"/>
      <c r="DI19" s="238" t="n"/>
      <c r="DJ19" s="238" t="n"/>
      <c r="DK19" s="238" t="n"/>
      <c r="DL19" s="238" t="n"/>
      <c r="DM19" s="238" t="n"/>
      <c r="DN19" s="238" t="n"/>
      <c r="DO19" s="238" t="n"/>
      <c r="DP19" s="238" t="n"/>
      <c r="DQ19" s="238" t="n"/>
      <c r="DR19" s="238" t="n"/>
      <c r="DS19" s="238" t="n"/>
      <c r="DT19" s="238" t="n"/>
      <c r="DU19" s="238" t="n"/>
      <c r="DV19" s="238" t="n"/>
      <c r="DW19" s="238" t="n"/>
      <c r="DX19" s="238" t="n"/>
      <c r="DY19" s="238" t="n"/>
      <c r="DZ19" s="23" t="n"/>
      <c r="FQ19" s="212" t="n"/>
      <c r="FR19" s="212" t="n"/>
      <c r="FS19" s="212" t="n"/>
      <c r="FT19" s="212" t="n"/>
      <c r="FU19" s="212" t="n"/>
      <c r="FV19" s="212" t="n"/>
      <c r="FW19" s="212" t="n"/>
      <c r="FX19" s="212" t="n"/>
      <c r="FY19" s="212" t="n"/>
      <c r="FZ19" s="212" t="n"/>
    </row>
    <row r="20" ht="39.95" customFormat="1" customHeight="1" s="5">
      <c r="A20" s="182" t="inlineStr"/>
      <c r="B20" s="7" t="inlineStr">
        <is>
          <t xml:space="preserve">OF THE </t>
        </is>
      </c>
      <c r="C20" s="456" t="n"/>
      <c r="D20" s="13" t="n"/>
      <c r="H20" s="592" t="n"/>
      <c r="I20" s="593" t="n"/>
      <c r="M20" s="592" t="n"/>
      <c r="N20" s="593" t="n"/>
      <c r="R20" s="592" t="n"/>
      <c r="S20" s="593" t="n"/>
      <c r="W20" s="592" t="n"/>
      <c r="X20" s="593" t="n"/>
      <c r="AB20" s="592" t="n"/>
      <c r="AC20" s="593" t="n"/>
      <c r="AG20" s="592" t="n"/>
      <c r="AH20" s="593" t="n"/>
      <c r="AL20" s="592" t="n"/>
      <c r="AM20" s="593" t="n"/>
      <c r="AQ20" s="592" t="n"/>
      <c r="AR20" s="593" t="n"/>
      <c r="AV20" s="592" t="n"/>
      <c r="AW20" s="593" t="n"/>
      <c r="BA20" s="592" t="n"/>
      <c r="BB20" s="593" t="n"/>
      <c r="BF20" s="592" t="n"/>
      <c r="BG20" s="593" t="n"/>
      <c r="BK20" s="592" t="n"/>
      <c r="BL20" s="593" t="n"/>
      <c r="BP20" s="592" t="n"/>
      <c r="BQ20" s="593" t="n"/>
      <c r="BT20" s="592" t="n"/>
      <c r="BU20" s="437" t="n"/>
      <c r="BV20" s="437" t="n"/>
      <c r="BW20" s="238" t="n"/>
      <c r="BX20" s="238" t="n"/>
      <c r="BY20" s="238" t="n"/>
      <c r="BZ20" s="238" t="n"/>
      <c r="CA20" s="238" t="n"/>
      <c r="CB20" s="238" t="n"/>
      <c r="CC20" s="238" t="n"/>
      <c r="CD20" s="238" t="n"/>
      <c r="CE20" s="238" t="n"/>
      <c r="CF20" s="238" t="n"/>
      <c r="CG20" s="238" t="n"/>
      <c r="CH20" s="238" t="n"/>
      <c r="CI20" s="238" t="n"/>
      <c r="CJ20" s="238" t="n"/>
      <c r="CK20" s="238" t="n"/>
      <c r="CL20" s="238" t="n"/>
      <c r="CM20" s="238" t="n"/>
      <c r="CN20" s="238" t="n"/>
      <c r="CO20" s="238" t="n"/>
      <c r="CP20" s="238" t="n"/>
      <c r="CQ20" s="238" t="n"/>
      <c r="CR20" s="238" t="n"/>
      <c r="CS20" s="238" t="n"/>
      <c r="CT20" s="238" t="n"/>
      <c r="CU20" s="238" t="n"/>
      <c r="CV20" s="238" t="n"/>
      <c r="CW20" s="238" t="n"/>
      <c r="CX20" s="238" t="n"/>
      <c r="CY20" s="238" t="n"/>
      <c r="CZ20" s="238" t="n"/>
      <c r="DA20" s="238" t="n"/>
      <c r="DB20" s="238" t="n"/>
      <c r="DC20" s="238" t="n"/>
      <c r="DD20" s="238" t="n"/>
      <c r="DE20" s="238" t="n"/>
      <c r="DF20" s="238" t="n"/>
      <c r="DG20" s="238" t="n"/>
      <c r="DH20" s="238" t="n"/>
      <c r="DI20" s="238" t="n"/>
      <c r="DJ20" s="238" t="n"/>
      <c r="DK20" s="238" t="n"/>
      <c r="DL20" s="238" t="n"/>
      <c r="DM20" s="238" t="n"/>
      <c r="DN20" s="238" t="n"/>
      <c r="DO20" s="238" t="n"/>
      <c r="DP20" s="238" t="n"/>
      <c r="DQ20" s="238" t="n"/>
      <c r="DR20" s="238" t="n"/>
      <c r="DS20" s="238" t="n"/>
      <c r="DT20" s="238" t="n"/>
      <c r="DU20" s="238" t="n"/>
      <c r="DV20" s="238" t="n"/>
      <c r="DW20" s="238" t="n"/>
      <c r="DX20" s="238" t="n"/>
      <c r="DY20" s="238" t="n"/>
      <c r="DZ20" s="23" t="n"/>
      <c r="FQ20" s="212" t="n"/>
      <c r="FR20" s="212" t="n"/>
      <c r="FS20" s="212" t="n"/>
      <c r="FT20" s="212" t="n"/>
      <c r="FU20" s="212" t="n"/>
      <c r="FV20" s="212" t="n"/>
      <c r="FW20" s="212" t="n"/>
      <c r="FX20" s="212" t="n"/>
      <c r="FY20" s="212" t="n"/>
      <c r="FZ20" s="212" t="n"/>
    </row>
    <row r="21" ht="39.95" customFormat="1" customHeight="1" s="5">
      <c r="A21" s="456" t="n"/>
      <c r="B21" s="8" t="inlineStr">
        <is>
          <t>OB PORTS</t>
        </is>
      </c>
      <c r="C21" s="456" t="n"/>
      <c r="D21" s="594" t="n"/>
      <c r="E21" s="595" t="n"/>
      <c r="F21" s="595" t="n"/>
      <c r="G21" s="595" t="n"/>
      <c r="H21" s="596" t="n"/>
      <c r="I21" s="597" t="n"/>
      <c r="J21" s="595" t="n"/>
      <c r="K21" s="595" t="n"/>
      <c r="L21" s="595" t="n"/>
      <c r="M21" s="596" t="n"/>
      <c r="N21" s="597" t="n"/>
      <c r="O21" s="595" t="n"/>
      <c r="P21" s="595" t="n"/>
      <c r="Q21" s="595" t="n"/>
      <c r="R21" s="596" t="n"/>
      <c r="S21" s="597" t="n"/>
      <c r="T21" s="595" t="n"/>
      <c r="U21" s="595" t="n"/>
      <c r="V21" s="595" t="n"/>
      <c r="W21" s="596" t="n"/>
      <c r="X21" s="597" t="n"/>
      <c r="Y21" s="595" t="n"/>
      <c r="Z21" s="595" t="n"/>
      <c r="AA21" s="595" t="n"/>
      <c r="AB21" s="596" t="n"/>
      <c r="AC21" s="597" t="n"/>
      <c r="AD21" s="595" t="n"/>
      <c r="AE21" s="595" t="n"/>
      <c r="AF21" s="595" t="n"/>
      <c r="AG21" s="596" t="n"/>
      <c r="AH21" s="597" t="n"/>
      <c r="AI21" s="595" t="n"/>
      <c r="AJ21" s="595" t="n"/>
      <c r="AK21" s="595" t="n"/>
      <c r="AL21" s="596" t="n"/>
      <c r="AM21" s="597" t="n"/>
      <c r="AN21" s="595" t="n"/>
      <c r="AO21" s="595" t="n"/>
      <c r="AP21" s="595" t="n"/>
      <c r="AQ21" s="596" t="n"/>
      <c r="AR21" s="597" t="n"/>
      <c r="AS21" s="595" t="n"/>
      <c r="AT21" s="595" t="n"/>
      <c r="AU21" s="595" t="n"/>
      <c r="AV21" s="596" t="n"/>
      <c r="AW21" s="597" t="n"/>
      <c r="AX21" s="595" t="n"/>
      <c r="AY21" s="595" t="n"/>
      <c r="AZ21" s="595" t="n"/>
      <c r="BA21" s="596" t="n"/>
      <c r="BB21" s="597" t="n"/>
      <c r="BC21" s="595" t="n"/>
      <c r="BD21" s="595" t="n"/>
      <c r="BE21" s="595" t="n"/>
      <c r="BF21" s="596" t="n"/>
      <c r="BG21" s="597" t="n"/>
      <c r="BH21" s="595" t="n"/>
      <c r="BI21" s="595" t="n"/>
      <c r="BJ21" s="595" t="n"/>
      <c r="BK21" s="596" t="n"/>
      <c r="BL21" s="597" t="n"/>
      <c r="BM21" s="595" t="n"/>
      <c r="BN21" s="595" t="n"/>
      <c r="BO21" s="595" t="n"/>
      <c r="BP21" s="596" t="n"/>
      <c r="BQ21" s="597" t="n"/>
      <c r="BR21" s="595" t="n"/>
      <c r="BS21" s="595" t="n"/>
      <c r="BT21" s="596" t="n"/>
      <c r="BU21" s="437" t="n"/>
      <c r="BV21" s="437" t="n"/>
      <c r="BW21" s="238" t="n"/>
      <c r="BX21" s="238" t="n"/>
      <c r="BY21" s="238" t="n"/>
      <c r="BZ21" s="238" t="n"/>
      <c r="CA21" s="238" t="n"/>
      <c r="CB21" s="238" t="n"/>
      <c r="CC21" s="238" t="n"/>
      <c r="CD21" s="238" t="n"/>
      <c r="CE21" s="238" t="n"/>
      <c r="CF21" s="238" t="n"/>
      <c r="CG21" s="238" t="n"/>
      <c r="CH21" s="238" t="n"/>
      <c r="CI21" s="238" t="n"/>
      <c r="CJ21" s="238" t="n"/>
      <c r="CK21" s="238" t="n"/>
      <c r="CL21" s="238" t="n"/>
      <c r="CM21" s="238" t="n"/>
      <c r="CN21" s="238" t="n"/>
      <c r="CO21" s="238" t="n"/>
      <c r="CP21" s="238" t="n"/>
      <c r="CQ21" s="238" t="n"/>
      <c r="CR21" s="238" t="n"/>
      <c r="CS21" s="238" t="n"/>
      <c r="CT21" s="238" t="n"/>
      <c r="CU21" s="238" t="n"/>
      <c r="CV21" s="238" t="n"/>
      <c r="CW21" s="238" t="n"/>
      <c r="CX21" s="238" t="n"/>
      <c r="CY21" s="238" t="n"/>
      <c r="CZ21" s="238" t="n"/>
      <c r="DA21" s="238" t="n"/>
      <c r="DB21" s="238" t="n"/>
      <c r="DC21" s="238" t="n"/>
      <c r="DD21" s="238" t="n"/>
      <c r="DE21" s="238" t="n"/>
      <c r="DF21" s="238" t="n"/>
      <c r="DG21" s="238" t="n"/>
      <c r="DH21" s="238" t="n"/>
      <c r="DI21" s="238" t="n"/>
      <c r="DJ21" s="238" t="n"/>
      <c r="DK21" s="238" t="n"/>
      <c r="DL21" s="238" t="n"/>
      <c r="DM21" s="238" t="n"/>
      <c r="DN21" s="238" t="n"/>
      <c r="DO21" s="238" t="n"/>
      <c r="DP21" s="238" t="n"/>
      <c r="DQ21" s="238" t="n"/>
      <c r="DR21" s="238" t="n"/>
      <c r="DS21" s="238" t="n"/>
      <c r="DT21" s="238" t="n"/>
      <c r="DU21" s="238" t="n"/>
      <c r="DV21" s="238" t="n"/>
      <c r="DW21" s="238" t="n"/>
      <c r="DX21" s="238" t="n"/>
      <c r="DY21" s="238" t="n"/>
      <c r="DZ21" s="23" t="n"/>
      <c r="FQ21" s="212" t="n"/>
      <c r="FR21" s="212" t="n"/>
      <c r="FS21" s="212" t="n"/>
      <c r="FT21" s="212" t="n"/>
      <c r="FU21" s="212" t="n"/>
      <c r="FV21" s="212" t="n"/>
      <c r="FW21" s="212" t="n"/>
      <c r="FX21" s="212" t="n"/>
      <c r="FY21" s="212" t="n"/>
      <c r="FZ21" s="212" t="n"/>
    </row>
    <row r="22" ht="39.95" customFormat="1" customHeight="1" s="5">
      <c r="A22" s="10" t="inlineStr">
        <is>
          <t>A</t>
        </is>
      </c>
      <c r="B22" s="6" t="inlineStr">
        <is>
          <t>POSITION 'C'</t>
        </is>
      </c>
      <c r="C22" s="351" t="inlineStr">
        <is>
          <t>Year</t>
        </is>
      </c>
      <c r="D22" s="588" t="inlineStr">
        <is>
          <t>ND</t>
        </is>
      </c>
      <c r="E22" s="589" t="inlineStr">
        <is>
          <t>May 2055</t>
        </is>
      </c>
      <c r="F22" s="589" t="inlineStr">
        <is>
          <t>May 2055</t>
        </is>
      </c>
      <c r="G22" s="589" t="inlineStr">
        <is>
          <t>May 2055</t>
        </is>
      </c>
      <c r="H22" s="590" t="inlineStr">
        <is>
          <t>May 2055</t>
        </is>
      </c>
      <c r="I22" s="591" t="inlineStr">
        <is>
          <t>ND</t>
        </is>
      </c>
      <c r="J22" s="589" t="inlineStr">
        <is>
          <t>ND</t>
        </is>
      </c>
      <c r="K22" s="589" t="inlineStr">
        <is>
          <t>ND</t>
        </is>
      </c>
      <c r="L22" s="589" t="inlineStr">
        <is>
          <t>ND</t>
        </is>
      </c>
      <c r="M22" s="590" t="inlineStr">
        <is>
          <t>ND</t>
        </is>
      </c>
      <c r="N22" s="591" t="inlineStr">
        <is>
          <t>ND</t>
        </is>
      </c>
      <c r="O22" s="589" t="inlineStr">
        <is>
          <t>ND</t>
        </is>
      </c>
      <c r="P22" s="589" t="inlineStr">
        <is>
          <t>ND</t>
        </is>
      </c>
      <c r="Q22" s="589" t="inlineStr">
        <is>
          <t>ND</t>
        </is>
      </c>
      <c r="R22" s="590" t="inlineStr">
        <is>
          <t>ND</t>
        </is>
      </c>
      <c r="S22" s="591" t="inlineStr">
        <is>
          <t>ND</t>
        </is>
      </c>
      <c r="T22" s="589" t="inlineStr">
        <is>
          <t>ND</t>
        </is>
      </c>
      <c r="U22" s="589" t="inlineStr">
        <is>
          <t>ND</t>
        </is>
      </c>
      <c r="V22" s="589" t="inlineStr">
        <is>
          <t>ND</t>
        </is>
      </c>
      <c r="W22" s="590" t="inlineStr">
        <is>
          <t>ND</t>
        </is>
      </c>
      <c r="X22" s="591" t="inlineStr">
        <is>
          <t>ND</t>
        </is>
      </c>
      <c r="Y22" s="589" t="inlineStr">
        <is>
          <t>ND</t>
        </is>
      </c>
      <c r="Z22" s="589" t="inlineStr">
        <is>
          <t>ND</t>
        </is>
      </c>
      <c r="AA22" s="589" t="inlineStr">
        <is>
          <t>ND</t>
        </is>
      </c>
      <c r="AB22" s="590" t="inlineStr">
        <is>
          <t>ND</t>
        </is>
      </c>
      <c r="AC22" s="591" t="inlineStr">
        <is>
          <t>ND</t>
        </is>
      </c>
      <c r="AD22" s="589" t="inlineStr">
        <is>
          <t>ND</t>
        </is>
      </c>
      <c r="AE22" s="589" t="inlineStr">
        <is>
          <t>ND</t>
        </is>
      </c>
      <c r="AF22" s="589" t="inlineStr">
        <is>
          <t>ND</t>
        </is>
      </c>
      <c r="AG22" s="590" t="inlineStr">
        <is>
          <t>ND</t>
        </is>
      </c>
      <c r="AH22" s="591" t="inlineStr">
        <is>
          <t>ND</t>
        </is>
      </c>
      <c r="AI22" s="589" t="inlineStr">
        <is>
          <t>ND</t>
        </is>
      </c>
      <c r="AJ22" s="589" t="inlineStr">
        <is>
          <t>ND</t>
        </is>
      </c>
      <c r="AK22" s="589" t="inlineStr">
        <is>
          <t>ND</t>
        </is>
      </c>
      <c r="AL22" s="590" t="inlineStr">
        <is>
          <t>ND</t>
        </is>
      </c>
      <c r="AM22" s="591" t="inlineStr">
        <is>
          <t>ND</t>
        </is>
      </c>
      <c r="AN22" s="589" t="inlineStr">
        <is>
          <t>ND</t>
        </is>
      </c>
      <c r="AO22" s="589" t="inlineStr">
        <is>
          <t>ND</t>
        </is>
      </c>
      <c r="AP22" s="589" t="inlineStr">
        <is>
          <t>ND</t>
        </is>
      </c>
      <c r="AQ22" s="590" t="inlineStr">
        <is>
          <t>ND</t>
        </is>
      </c>
      <c r="AR22" s="591" t="inlineStr">
        <is>
          <t>ND</t>
        </is>
      </c>
      <c r="AS22" s="589" t="inlineStr">
        <is>
          <t>ND</t>
        </is>
      </c>
      <c r="AT22" s="589" t="inlineStr">
        <is>
          <t>ND</t>
        </is>
      </c>
      <c r="AU22" s="589" t="inlineStr">
        <is>
          <t>ND</t>
        </is>
      </c>
      <c r="AV22" s="590" t="inlineStr">
        <is>
          <t>ND</t>
        </is>
      </c>
      <c r="AW22" s="591" t="inlineStr">
        <is>
          <t>ND</t>
        </is>
      </c>
      <c r="AX22" s="589" t="inlineStr">
        <is>
          <t>ND</t>
        </is>
      </c>
      <c r="AY22" s="589" t="inlineStr">
        <is>
          <t>ND</t>
        </is>
      </c>
      <c r="AZ22" s="589" t="inlineStr">
        <is>
          <t>ND</t>
        </is>
      </c>
      <c r="BA22" s="590" t="inlineStr">
        <is>
          <t>ND</t>
        </is>
      </c>
      <c r="BB22" s="591" t="inlineStr">
        <is>
          <t>ND</t>
        </is>
      </c>
      <c r="BC22" s="589" t="inlineStr">
        <is>
          <t>ND</t>
        </is>
      </c>
      <c r="BD22" s="589" t="inlineStr">
        <is>
          <t>ND</t>
        </is>
      </c>
      <c r="BE22" s="589" t="inlineStr">
        <is>
          <t>ND</t>
        </is>
      </c>
      <c r="BF22" s="590" t="inlineStr">
        <is>
          <t>ND</t>
        </is>
      </c>
      <c r="BG22" s="591" t="inlineStr">
        <is>
          <t>ND</t>
        </is>
      </c>
      <c r="BH22" s="589" t="inlineStr">
        <is>
          <t>ND</t>
        </is>
      </c>
      <c r="BI22" s="589" t="inlineStr">
        <is>
          <t>ND</t>
        </is>
      </c>
      <c r="BJ22" s="589" t="inlineStr">
        <is>
          <t>ND</t>
        </is>
      </c>
      <c r="BK22" s="590" t="inlineStr">
        <is>
          <t>ND</t>
        </is>
      </c>
      <c r="BL22" s="591" t="inlineStr">
        <is>
          <t>ND</t>
        </is>
      </c>
      <c r="BM22" s="589" t="inlineStr">
        <is>
          <t>ND</t>
        </is>
      </c>
      <c r="BN22" s="589" t="inlineStr">
        <is>
          <t>ND</t>
        </is>
      </c>
      <c r="BO22" s="589" t="inlineStr">
        <is>
          <t>ND</t>
        </is>
      </c>
      <c r="BP22" s="590" t="inlineStr">
        <is>
          <t>May 2055</t>
        </is>
      </c>
      <c r="BQ22" s="591" t="inlineStr">
        <is>
          <t>May 2055</t>
        </is>
      </c>
      <c r="BR22" s="589" t="inlineStr">
        <is>
          <t>May 2055</t>
        </is>
      </c>
      <c r="BS22" s="589" t="inlineStr">
        <is>
          <t>May 2055</t>
        </is>
      </c>
      <c r="BT22" s="590" t="inlineStr">
        <is>
          <t>ND</t>
        </is>
      </c>
      <c r="BU22" s="437" t="n"/>
      <c r="BV22" s="437" t="n"/>
      <c r="BW22" s="238" t="n"/>
      <c r="BX22" s="238" t="n"/>
      <c r="BY22" s="238" t="n"/>
      <c r="BZ22" s="238" t="n"/>
      <c r="CA22" s="238" t="n"/>
      <c r="CB22" s="238" t="n"/>
      <c r="CC22" s="238" t="n"/>
      <c r="CD22" s="238" t="n"/>
      <c r="CE22" s="238" t="n"/>
      <c r="CF22" s="238" t="n"/>
      <c r="CG22" s="238" t="n"/>
      <c r="CH22" s="238" t="n"/>
      <c r="CI22" s="238" t="n"/>
      <c r="CJ22" s="238" t="n"/>
      <c r="CK22" s="238" t="n"/>
      <c r="CL22" s="238" t="n"/>
      <c r="CM22" s="238" t="n"/>
      <c r="CN22" s="238" t="n"/>
      <c r="CO22" s="238" t="n"/>
      <c r="CP22" s="238" t="n"/>
      <c r="CQ22" s="238" t="n"/>
      <c r="CR22" s="238" t="n"/>
      <c r="CS22" s="238" t="n"/>
      <c r="CT22" s="238" t="n"/>
      <c r="CU22" s="238" t="n"/>
      <c r="CV22" s="238" t="n"/>
      <c r="CW22" s="238" t="n"/>
      <c r="CX22" s="238" t="n"/>
      <c r="CY22" s="238" t="n"/>
      <c r="CZ22" s="238" t="n"/>
      <c r="DA22" s="238" t="n"/>
      <c r="DB22" s="238" t="n"/>
      <c r="DC22" s="238" t="n"/>
      <c r="DD22" s="238" t="n"/>
      <c r="DE22" s="238" t="n"/>
      <c r="DF22" s="238" t="n"/>
      <c r="DG22" s="238" t="n"/>
      <c r="DH22" s="238" t="n"/>
      <c r="DI22" s="238" t="n"/>
      <c r="DJ22" s="238" t="n"/>
      <c r="DK22" s="238" t="n"/>
      <c r="DL22" s="238" t="n"/>
      <c r="DM22" s="238" t="n"/>
      <c r="DN22" s="238" t="n"/>
      <c r="DO22" s="238" t="n"/>
      <c r="DP22" s="238" t="n"/>
      <c r="DQ22" s="238" t="n"/>
      <c r="DR22" s="238" t="n"/>
      <c r="DS22" s="238" t="n"/>
      <c r="DT22" s="238" t="n"/>
      <c r="DU22" s="238" t="n"/>
      <c r="DV22" s="238" t="n"/>
      <c r="DW22" s="238" t="n"/>
      <c r="DX22" s="238" t="n"/>
      <c r="DY22" s="238" t="n"/>
      <c r="DZ22" s="23" t="n"/>
      <c r="FQ22" s="212" t="n"/>
      <c r="FR22" s="212" t="n"/>
      <c r="FS22" s="212" t="n"/>
      <c r="FT22" s="212" t="n"/>
      <c r="FU22" s="212" t="n"/>
      <c r="FV22" s="212" t="n"/>
      <c r="FW22" s="212" t="n"/>
      <c r="FX22" s="212" t="n"/>
      <c r="FY22" s="212" t="n"/>
      <c r="FZ22" s="212" t="n"/>
    </row>
    <row r="23" ht="39.95" customFormat="1" customHeight="1" s="5">
      <c r="A23" s="182" t="inlineStr"/>
      <c r="B23" s="7" t="inlineStr">
        <is>
          <t>OF THE</t>
        </is>
      </c>
      <c r="C23" s="456" t="n"/>
      <c r="D23" s="13" t="n"/>
      <c r="H23" s="592" t="n"/>
      <c r="I23" s="593" t="n"/>
      <c r="M23" s="592" t="n"/>
      <c r="N23" s="593" t="n"/>
      <c r="R23" s="592" t="n"/>
      <c r="S23" s="593" t="n"/>
      <c r="W23" s="592" t="n"/>
      <c r="X23" s="593" t="n"/>
      <c r="AB23" s="592" t="n"/>
      <c r="AC23" s="593" t="n"/>
      <c r="AG23" s="592" t="n"/>
      <c r="AH23" s="593" t="n"/>
      <c r="AL23" s="592" t="n"/>
      <c r="AM23" s="593" t="n"/>
      <c r="AQ23" s="592" t="n"/>
      <c r="AR23" s="593" t="n"/>
      <c r="AV23" s="592" t="n"/>
      <c r="AW23" s="593" t="n"/>
      <c r="BA23" s="592" t="n"/>
      <c r="BB23" s="593" t="n"/>
      <c r="BF23" s="592" t="n"/>
      <c r="BG23" s="593" t="n"/>
      <c r="BK23" s="592" t="n"/>
      <c r="BL23" s="593" t="n"/>
      <c r="BP23" s="592" t="n"/>
      <c r="BQ23" s="593" t="n"/>
      <c r="BT23" s="592" t="n"/>
      <c r="BU23" s="437" t="n"/>
      <c r="BV23" s="437" t="n"/>
      <c r="BW23" s="238" t="n"/>
      <c r="BX23" s="238" t="n"/>
      <c r="BY23" s="238" t="n"/>
      <c r="BZ23" s="238" t="n"/>
      <c r="CA23" s="238" t="n"/>
      <c r="CB23" s="238" t="n"/>
      <c r="CC23" s="238" t="n"/>
      <c r="CD23" s="238" t="n"/>
      <c r="CE23" s="238" t="n"/>
      <c r="CF23" s="238" t="n"/>
      <c r="CG23" s="238" t="n"/>
      <c r="CH23" s="238" t="n"/>
      <c r="CI23" s="238" t="n"/>
      <c r="CJ23" s="238" t="n"/>
      <c r="CK23" s="238" t="n"/>
      <c r="CL23" s="238" t="n"/>
      <c r="CM23" s="238" t="n"/>
      <c r="CN23" s="238" t="n"/>
      <c r="CO23" s="238" t="n"/>
      <c r="CP23" s="238" t="n"/>
      <c r="CQ23" s="238" t="n"/>
      <c r="CR23" s="238" t="n"/>
      <c r="CS23" s="238" t="n"/>
      <c r="CT23" s="238" t="n"/>
      <c r="CU23" s="238" t="n"/>
      <c r="CV23" s="238" t="n"/>
      <c r="CW23" s="238" t="n"/>
      <c r="CX23" s="238" t="n"/>
      <c r="CY23" s="238" t="n"/>
      <c r="CZ23" s="238" t="n"/>
      <c r="DA23" s="238" t="n"/>
      <c r="DB23" s="238" t="n"/>
      <c r="DC23" s="238" t="n"/>
      <c r="DD23" s="238" t="n"/>
      <c r="DE23" s="238" t="n"/>
      <c r="DF23" s="238" t="n"/>
      <c r="DG23" s="238" t="n"/>
      <c r="DH23" s="238" t="n"/>
      <c r="DI23" s="238" t="n"/>
      <c r="DJ23" s="238" t="n"/>
      <c r="DK23" s="238" t="n"/>
      <c r="DL23" s="238" t="n"/>
      <c r="DM23" s="238" t="n"/>
      <c r="DN23" s="238" t="n"/>
      <c r="DO23" s="238" t="n"/>
      <c r="DP23" s="238" t="n"/>
      <c r="DQ23" s="238" t="n"/>
      <c r="DR23" s="238" t="n"/>
      <c r="DS23" s="238" t="n"/>
      <c r="DT23" s="238" t="n"/>
      <c r="DU23" s="238" t="n"/>
      <c r="DV23" s="238" t="n"/>
      <c r="DW23" s="238" t="n"/>
      <c r="DX23" s="238" t="n"/>
      <c r="DY23" s="238" t="n"/>
      <c r="DZ23" s="23" t="n"/>
      <c r="FQ23" s="212" t="n"/>
      <c r="FR23" s="212" t="n"/>
      <c r="FS23" s="212" t="n"/>
      <c r="FT23" s="212" t="n"/>
      <c r="FU23" s="212" t="n"/>
      <c r="FV23" s="212" t="n"/>
      <c r="FW23" s="212" t="n"/>
      <c r="FX23" s="212" t="n"/>
      <c r="FY23" s="212" t="n"/>
      <c r="FZ23" s="212" t="n"/>
    </row>
    <row r="24" ht="39.95" customFormat="1" customHeight="1" s="5">
      <c r="A24" s="456" t="n"/>
      <c r="B24" s="8" t="inlineStr">
        <is>
          <t>OB PORTS</t>
        </is>
      </c>
      <c r="C24" s="456" t="n"/>
      <c r="D24" s="594" t="n"/>
      <c r="E24" s="595" t="n"/>
      <c r="F24" s="595" t="n"/>
      <c r="G24" s="595" t="n"/>
      <c r="H24" s="596" t="n"/>
      <c r="I24" s="597" t="n"/>
      <c r="J24" s="595" t="n"/>
      <c r="K24" s="595" t="n"/>
      <c r="L24" s="595" t="n"/>
      <c r="M24" s="596" t="n"/>
      <c r="N24" s="597" t="n"/>
      <c r="O24" s="595" t="n"/>
      <c r="P24" s="595" t="n"/>
      <c r="Q24" s="595" t="n"/>
      <c r="R24" s="596" t="n"/>
      <c r="S24" s="597" t="n"/>
      <c r="T24" s="595" t="n"/>
      <c r="U24" s="595" t="n"/>
      <c r="V24" s="595" t="n"/>
      <c r="W24" s="596" t="n"/>
      <c r="X24" s="597" t="n"/>
      <c r="Y24" s="595" t="n"/>
      <c r="Z24" s="595" t="n"/>
      <c r="AA24" s="595" t="n"/>
      <c r="AB24" s="596" t="n"/>
      <c r="AC24" s="597" t="n"/>
      <c r="AD24" s="595" t="n"/>
      <c r="AE24" s="595" t="n"/>
      <c r="AF24" s="595" t="n"/>
      <c r="AG24" s="596" t="n"/>
      <c r="AH24" s="597" t="n"/>
      <c r="AI24" s="595" t="n"/>
      <c r="AJ24" s="595" t="n"/>
      <c r="AK24" s="595" t="n"/>
      <c r="AL24" s="596" t="n"/>
      <c r="AM24" s="597" t="n"/>
      <c r="AN24" s="595" t="n"/>
      <c r="AO24" s="595" t="n"/>
      <c r="AP24" s="595" t="n"/>
      <c r="AQ24" s="596" t="n"/>
      <c r="AR24" s="597" t="n"/>
      <c r="AS24" s="595" t="n"/>
      <c r="AT24" s="595" t="n"/>
      <c r="AU24" s="595" t="n"/>
      <c r="AV24" s="596" t="n"/>
      <c r="AW24" s="597" t="n"/>
      <c r="AX24" s="595" t="n"/>
      <c r="AY24" s="595" t="n"/>
      <c r="AZ24" s="595" t="n"/>
      <c r="BA24" s="596" t="n"/>
      <c r="BB24" s="597" t="n"/>
      <c r="BC24" s="595" t="n"/>
      <c r="BD24" s="595" t="n"/>
      <c r="BE24" s="595" t="n"/>
      <c r="BF24" s="596" t="n"/>
      <c r="BG24" s="597" t="n"/>
      <c r="BH24" s="595" t="n"/>
      <c r="BI24" s="595" t="n"/>
      <c r="BJ24" s="595" t="n"/>
      <c r="BK24" s="596" t="n"/>
      <c r="BL24" s="597" t="n"/>
      <c r="BM24" s="595" t="n"/>
      <c r="BN24" s="595" t="n"/>
      <c r="BO24" s="595" t="n"/>
      <c r="BP24" s="596" t="n"/>
      <c r="BQ24" s="597" t="n"/>
      <c r="BR24" s="595" t="n"/>
      <c r="BS24" s="595" t="n"/>
      <c r="BT24" s="596" t="n"/>
      <c r="BU24" s="437" t="n"/>
      <c r="BV24" s="437" t="n"/>
      <c r="BW24" s="238" t="n"/>
      <c r="BX24" s="238" t="n"/>
      <c r="BY24" s="238" t="n"/>
      <c r="BZ24" s="238" t="n"/>
      <c r="CA24" s="238" t="n"/>
      <c r="CB24" s="238" t="n"/>
      <c r="CC24" s="238" t="n"/>
      <c r="CD24" s="238" t="n"/>
      <c r="CE24" s="238" t="n"/>
      <c r="CF24" s="238" t="n"/>
      <c r="CG24" s="238" t="n"/>
      <c r="CH24" s="238" t="n"/>
      <c r="CI24" s="238" t="n"/>
      <c r="CJ24" s="238" t="n"/>
      <c r="CK24" s="238" t="n"/>
      <c r="CL24" s="238" t="n"/>
      <c r="CM24" s="238" t="n"/>
      <c r="CN24" s="238" t="n"/>
      <c r="CO24" s="238" t="n"/>
      <c r="CP24" s="238" t="n"/>
      <c r="CQ24" s="238" t="n"/>
      <c r="CR24" s="238" t="n"/>
      <c r="CS24" s="238" t="n"/>
      <c r="CT24" s="238" t="n"/>
      <c r="CU24" s="238" t="n"/>
      <c r="CV24" s="238" t="n"/>
      <c r="CW24" s="238" t="n"/>
      <c r="CX24" s="238" t="n"/>
      <c r="CY24" s="238" t="n"/>
      <c r="CZ24" s="238" t="n"/>
      <c r="DA24" s="238" t="n"/>
      <c r="DB24" s="238" t="n"/>
      <c r="DC24" s="238" t="n"/>
      <c r="DD24" s="238" t="n"/>
      <c r="DE24" s="238" t="n"/>
      <c r="DF24" s="238" t="n"/>
      <c r="DG24" s="238" t="n"/>
      <c r="DH24" s="238" t="n"/>
      <c r="DI24" s="238" t="n"/>
      <c r="DJ24" s="238" t="n"/>
      <c r="DK24" s="238" t="n"/>
      <c r="DL24" s="238" t="n"/>
      <c r="DM24" s="238" t="n"/>
      <c r="DN24" s="238" t="n"/>
      <c r="DO24" s="238" t="n"/>
      <c r="DP24" s="238" t="n"/>
      <c r="DQ24" s="238" t="n"/>
      <c r="DR24" s="238" t="n"/>
      <c r="DS24" s="238" t="n"/>
      <c r="DT24" s="238" t="n"/>
      <c r="DU24" s="238" t="n"/>
      <c r="DV24" s="238" t="n"/>
      <c r="DW24" s="238" t="n"/>
      <c r="DX24" s="238" t="n"/>
      <c r="DY24" s="238" t="n"/>
      <c r="DZ24" s="23" t="n"/>
      <c r="FQ24" s="212" t="n"/>
      <c r="FR24" s="212" t="n"/>
      <c r="FS24" s="212" t="n"/>
      <c r="FT24" s="212" t="n"/>
      <c r="FU24" s="212" t="n"/>
      <c r="FV24" s="212" t="n"/>
      <c r="FW24" s="212" t="n"/>
      <c r="FX24" s="212" t="n"/>
      <c r="FY24" s="212" t="n"/>
      <c r="FZ24" s="212" t="n"/>
    </row>
    <row r="25" ht="39.95" customFormat="1" customHeight="1" s="5">
      <c r="A25" s="10" t="inlineStr">
        <is>
          <t>A</t>
        </is>
      </c>
      <c r="B25" s="6" t="n"/>
      <c r="C25" s="351" t="inlineStr">
        <is>
          <t>Year</t>
        </is>
      </c>
      <c r="D25" s="588" t="inlineStr">
        <is>
          <t>Nov 2050</t>
        </is>
      </c>
      <c r="E25" s="589" t="inlineStr">
        <is>
          <t>May 2055</t>
        </is>
      </c>
      <c r="F25" s="589" t="inlineStr">
        <is>
          <t>ND</t>
        </is>
      </c>
      <c r="G25" s="589" t="inlineStr">
        <is>
          <t>May 2055</t>
        </is>
      </c>
      <c r="H25" s="590" t="inlineStr">
        <is>
          <t>May 2055</t>
        </is>
      </c>
      <c r="I25" s="598" t="inlineStr">
        <is>
          <t>Jun 2026</t>
        </is>
      </c>
      <c r="J25" s="589" t="inlineStr">
        <is>
          <t>ND</t>
        </is>
      </c>
      <c r="K25" s="589" t="inlineStr">
        <is>
          <t>May 2055</t>
        </is>
      </c>
      <c r="L25" s="589" t="inlineStr">
        <is>
          <t>May 2055</t>
        </is>
      </c>
      <c r="M25" s="590" t="inlineStr">
        <is>
          <t>ND</t>
        </is>
      </c>
      <c r="N25" s="591" t="inlineStr">
        <is>
          <t>May 2055</t>
        </is>
      </c>
      <c r="O25" s="589" t="inlineStr">
        <is>
          <t>May 2055</t>
        </is>
      </c>
      <c r="P25" s="589" t="inlineStr">
        <is>
          <t>May 2046</t>
        </is>
      </c>
      <c r="Q25" s="589" t="inlineStr">
        <is>
          <t>Jan 2041</t>
        </is>
      </c>
      <c r="R25" s="590" t="inlineStr">
        <is>
          <t>May 2055</t>
        </is>
      </c>
      <c r="S25" s="591" t="inlineStr">
        <is>
          <t>Jun 2048</t>
        </is>
      </c>
      <c r="T25" s="589" t="inlineStr">
        <is>
          <t>May 2055</t>
        </is>
      </c>
      <c r="U25" s="589" t="inlineStr">
        <is>
          <t>May 2055</t>
        </is>
      </c>
      <c r="V25" s="589" t="inlineStr">
        <is>
          <t>Sep 2047</t>
        </is>
      </c>
      <c r="W25" s="590" t="inlineStr">
        <is>
          <t>Apr 2046</t>
        </is>
      </c>
      <c r="X25" s="591" t="inlineStr">
        <is>
          <t>May 2055</t>
        </is>
      </c>
      <c r="Y25" s="589" t="inlineStr">
        <is>
          <t>Apr 2041</t>
        </is>
      </c>
      <c r="Z25" s="589" t="inlineStr">
        <is>
          <t>Apr 2039</t>
        </is>
      </c>
      <c r="AA25" s="589" t="inlineStr">
        <is>
          <t>May 2055</t>
        </is>
      </c>
      <c r="AB25" s="590" t="inlineStr">
        <is>
          <t>Feb 2040</t>
        </is>
      </c>
      <c r="AC25" s="591" t="inlineStr">
        <is>
          <t>May 2055</t>
        </is>
      </c>
      <c r="AD25" s="589" t="inlineStr">
        <is>
          <t>May 2031</t>
        </is>
      </c>
      <c r="AE25" s="589" t="inlineStr">
        <is>
          <t>May 2055</t>
        </is>
      </c>
      <c r="AF25" s="589" t="inlineStr">
        <is>
          <t>Dec 2037</t>
        </is>
      </c>
      <c r="AG25" s="590" t="inlineStr">
        <is>
          <t>May 2055</t>
        </is>
      </c>
      <c r="AH25" s="591" t="inlineStr">
        <is>
          <t>May 2055</t>
        </is>
      </c>
      <c r="AI25" s="589" t="inlineStr">
        <is>
          <t>Oct 2046</t>
        </is>
      </c>
      <c r="AJ25" s="589" t="inlineStr">
        <is>
          <t>May 2055</t>
        </is>
      </c>
      <c r="AK25" s="589" t="inlineStr">
        <is>
          <t>May 2055</t>
        </is>
      </c>
      <c r="AL25" s="590" t="inlineStr">
        <is>
          <t>ND</t>
        </is>
      </c>
      <c r="AM25" s="591" t="inlineStr">
        <is>
          <t>Jan 2043</t>
        </is>
      </c>
      <c r="AN25" s="589" t="inlineStr">
        <is>
          <t>Nov 2045</t>
        </is>
      </c>
      <c r="AO25" s="589" t="inlineStr">
        <is>
          <t>Feb 2034</t>
        </is>
      </c>
      <c r="AP25" s="589" t="inlineStr">
        <is>
          <t>Sep 2038</t>
        </is>
      </c>
      <c r="AQ25" s="590" t="inlineStr">
        <is>
          <t>Feb 2049</t>
        </is>
      </c>
      <c r="AR25" s="591" t="inlineStr">
        <is>
          <t>Mar 2037</t>
        </is>
      </c>
      <c r="AS25" s="589" t="inlineStr">
        <is>
          <t>Oct 2030</t>
        </is>
      </c>
      <c r="AT25" s="589" t="inlineStr">
        <is>
          <t>Jan 2047</t>
        </is>
      </c>
      <c r="AU25" s="589" t="inlineStr">
        <is>
          <t>Nov 2040</t>
        </is>
      </c>
      <c r="AV25" s="590" t="inlineStr">
        <is>
          <t>Dec 2038</t>
        </is>
      </c>
      <c r="AW25" s="591" t="inlineStr">
        <is>
          <t>Feb 2038</t>
        </is>
      </c>
      <c r="AX25" s="589" t="inlineStr">
        <is>
          <t>Jun 2055</t>
        </is>
      </c>
      <c r="AY25" s="589" t="inlineStr">
        <is>
          <t>May 2055</t>
        </is>
      </c>
      <c r="AZ25" s="589" t="inlineStr">
        <is>
          <t>Jan 2054</t>
        </is>
      </c>
      <c r="BA25" s="590" t="inlineStr">
        <is>
          <t>Jul 2042</t>
        </is>
      </c>
      <c r="BB25" s="591" t="inlineStr">
        <is>
          <t>Feb 2044</t>
        </is>
      </c>
      <c r="BC25" s="589" t="inlineStr">
        <is>
          <t>May 2041</t>
        </is>
      </c>
      <c r="BD25" s="589" t="inlineStr">
        <is>
          <t>May 2055</t>
        </is>
      </c>
      <c r="BE25" s="589" t="inlineStr">
        <is>
          <t>May 2047</t>
        </is>
      </c>
      <c r="BF25" s="590" t="inlineStr">
        <is>
          <t>Jul 2036</t>
        </is>
      </c>
      <c r="BG25" s="591" t="inlineStr">
        <is>
          <t>May 2055</t>
        </is>
      </c>
      <c r="BH25" s="589" t="inlineStr">
        <is>
          <t>May 2055</t>
        </is>
      </c>
      <c r="BI25" s="589" t="inlineStr">
        <is>
          <t>Nov 2048</t>
        </is>
      </c>
      <c r="BJ25" s="589" t="inlineStr">
        <is>
          <t>Jun 2047</t>
        </is>
      </c>
      <c r="BK25" s="590" t="inlineStr">
        <is>
          <t>Feb 2051</t>
        </is>
      </c>
      <c r="BL25" s="591" t="inlineStr">
        <is>
          <t>May 2055</t>
        </is>
      </c>
      <c r="BM25" s="589" t="inlineStr">
        <is>
          <t>May 2055</t>
        </is>
      </c>
      <c r="BN25" s="589" t="inlineStr">
        <is>
          <t>May 2055</t>
        </is>
      </c>
      <c r="BO25" s="589" t="inlineStr">
        <is>
          <t>Sep 2053</t>
        </is>
      </c>
      <c r="BP25" s="590" t="inlineStr">
        <is>
          <t>May 2055</t>
        </is>
      </c>
      <c r="BQ25" s="591" t="inlineStr">
        <is>
          <t>May 2055</t>
        </is>
      </c>
      <c r="BR25" s="589" t="inlineStr">
        <is>
          <t>Sep 2051</t>
        </is>
      </c>
      <c r="BS25" s="589" t="inlineStr">
        <is>
          <t>May 2055</t>
        </is>
      </c>
      <c r="BT25" s="599" t="inlineStr">
        <is>
          <t>Jul 2029</t>
        </is>
      </c>
      <c r="BU25" s="437" t="n"/>
      <c r="BV25" s="437" t="n"/>
      <c r="BW25" s="238" t="n"/>
      <c r="BX25" s="238" t="n"/>
      <c r="BY25" s="238" t="n"/>
      <c r="BZ25" s="238" t="n"/>
      <c r="CA25" s="238" t="n"/>
      <c r="CB25" s="238" t="n"/>
      <c r="CC25" s="238" t="n"/>
      <c r="CD25" s="238" t="n"/>
      <c r="CE25" s="238" t="n"/>
      <c r="CF25" s="238" t="n"/>
      <c r="CG25" s="238" t="n"/>
      <c r="CH25" s="238" t="n"/>
      <c r="CI25" s="238" t="n"/>
      <c r="CJ25" s="238" t="n"/>
      <c r="CK25" s="238" t="n"/>
      <c r="CL25" s="238" t="n"/>
      <c r="CM25" s="238" t="n"/>
      <c r="CN25" s="238" t="n"/>
      <c r="CO25" s="238" t="n"/>
      <c r="CP25" s="238" t="n"/>
      <c r="CQ25" s="238" t="n"/>
      <c r="CR25" s="238" t="n"/>
      <c r="CS25" s="238" t="n"/>
      <c r="CT25" s="238" t="n"/>
      <c r="CU25" s="238" t="n"/>
      <c r="CV25" s="238" t="n"/>
      <c r="CW25" s="238" t="n"/>
      <c r="CX25" s="238" t="n"/>
      <c r="CY25" s="238" t="n"/>
      <c r="CZ25" s="238" t="n"/>
      <c r="DA25" s="238" t="n"/>
      <c r="DB25" s="238" t="n"/>
      <c r="DC25" s="238" t="n"/>
      <c r="DD25" s="238" t="n"/>
      <c r="DE25" s="238" t="n"/>
      <c r="DF25" s="238" t="n"/>
      <c r="DG25" s="238" t="n"/>
      <c r="DH25" s="238" t="n"/>
      <c r="DI25" s="238" t="n"/>
      <c r="DJ25" s="238" t="n"/>
      <c r="DK25" s="238" t="n"/>
      <c r="DL25" s="238" t="n"/>
      <c r="DM25" s="238" t="n"/>
      <c r="DN25" s="238" t="n"/>
      <c r="DO25" s="238" t="n"/>
      <c r="DP25" s="238" t="n"/>
      <c r="DQ25" s="238" t="n"/>
      <c r="DR25" s="238" t="n"/>
      <c r="DS25" s="238" t="n"/>
      <c r="DT25" s="238" t="n"/>
      <c r="DU25" s="238" t="n"/>
      <c r="DV25" s="238" t="n"/>
      <c r="DW25" s="238" t="n"/>
      <c r="DX25" s="238" t="n"/>
      <c r="DY25" s="238" t="n"/>
      <c r="DZ25" s="23" t="n"/>
      <c r="FQ25" s="212" t="n"/>
      <c r="FR25" s="212" t="n"/>
      <c r="FS25" s="212" t="n"/>
      <c r="FT25" s="212" t="n"/>
      <c r="FU25" s="212" t="n"/>
      <c r="FV25" s="212" t="n"/>
      <c r="FW25" s="212" t="n"/>
      <c r="FX25" s="212" t="n"/>
      <c r="FY25" s="212" t="n"/>
      <c r="FZ25" s="212" t="n"/>
    </row>
    <row r="26" ht="39.95" customFormat="1" customHeight="1" s="5">
      <c r="A26" s="182" t="inlineStr"/>
      <c r="B26" s="7" t="inlineStr">
        <is>
          <t>+10 FT 6 IN</t>
        </is>
      </c>
      <c r="C26" s="456" t="n"/>
      <c r="D26" s="13" t="n"/>
      <c r="H26" s="592" t="n"/>
      <c r="I26" s="593" t="n"/>
      <c r="M26" s="592" t="n"/>
      <c r="N26" s="593" t="n"/>
      <c r="R26" s="592" t="n"/>
      <c r="S26" s="593" t="n"/>
      <c r="W26" s="592" t="n"/>
      <c r="X26" s="593" t="n"/>
      <c r="AB26" s="592" t="n"/>
      <c r="AC26" s="593" t="n"/>
      <c r="AG26" s="592" t="n"/>
      <c r="AH26" s="593" t="n"/>
      <c r="AL26" s="592" t="n"/>
      <c r="AM26" s="593" t="n"/>
      <c r="AQ26" s="592" t="n"/>
      <c r="AR26" s="593" t="n"/>
      <c r="AV26" s="592" t="n"/>
      <c r="AW26" s="593" t="n"/>
      <c r="BA26" s="592" t="n"/>
      <c r="BB26" s="593" t="n"/>
      <c r="BF26" s="592" t="n"/>
      <c r="BG26" s="593" t="n"/>
      <c r="BK26" s="592" t="n"/>
      <c r="BL26" s="593" t="n"/>
      <c r="BP26" s="592" t="n"/>
      <c r="BQ26" s="593" t="n"/>
      <c r="BT26" s="592" t="n"/>
      <c r="BU26" s="437" t="n"/>
      <c r="BV26" s="437" t="n"/>
      <c r="BW26" s="238" t="n"/>
      <c r="BX26" s="238" t="n"/>
      <c r="BY26" s="238" t="n"/>
      <c r="BZ26" s="238" t="n"/>
      <c r="CA26" s="238" t="n"/>
      <c r="CB26" s="238" t="n"/>
      <c r="CC26" s="238" t="n"/>
      <c r="CD26" s="238" t="n"/>
      <c r="CE26" s="238" t="n"/>
      <c r="CF26" s="238" t="n"/>
      <c r="CG26" s="238" t="n"/>
      <c r="CH26" s="238" t="n"/>
      <c r="CI26" s="238" t="n"/>
      <c r="CJ26" s="238" t="n"/>
      <c r="CK26" s="238" t="n"/>
      <c r="CL26" s="238" t="n"/>
      <c r="CM26" s="238" t="n"/>
      <c r="CN26" s="238" t="n"/>
      <c r="CO26" s="238" t="n"/>
      <c r="CP26" s="238" t="n"/>
      <c r="CQ26" s="238" t="n"/>
      <c r="CR26" s="238" t="n"/>
      <c r="CS26" s="238" t="n"/>
      <c r="CT26" s="238" t="n"/>
      <c r="CU26" s="238" t="n"/>
      <c r="CV26" s="238" t="n"/>
      <c r="CW26" s="238" t="n"/>
      <c r="CX26" s="238" t="n"/>
      <c r="CY26" s="238" t="n"/>
      <c r="CZ26" s="238" t="n"/>
      <c r="DA26" s="238" t="n"/>
      <c r="DB26" s="238" t="n"/>
      <c r="DC26" s="238" t="n"/>
      <c r="DD26" s="238" t="n"/>
      <c r="DE26" s="238" t="n"/>
      <c r="DF26" s="238" t="n"/>
      <c r="DG26" s="238" t="n"/>
      <c r="DH26" s="238" t="n"/>
      <c r="DI26" s="238" t="n"/>
      <c r="DJ26" s="238" t="n"/>
      <c r="DK26" s="238" t="n"/>
      <c r="DL26" s="238" t="n"/>
      <c r="DM26" s="238" t="n"/>
      <c r="DN26" s="238" t="n"/>
      <c r="DO26" s="238" t="n"/>
      <c r="DP26" s="238" t="n"/>
      <c r="DQ26" s="238" t="n"/>
      <c r="DR26" s="238" t="n"/>
      <c r="DS26" s="238" t="n"/>
      <c r="DT26" s="238" t="n"/>
      <c r="DU26" s="238" t="n"/>
      <c r="DV26" s="238" t="n"/>
      <c r="DW26" s="238" t="n"/>
      <c r="DX26" s="238" t="n"/>
      <c r="DY26" s="238" t="n"/>
      <c r="DZ26" s="23" t="n"/>
      <c r="FQ26" s="212" t="n"/>
      <c r="FR26" s="212" t="n"/>
      <c r="FS26" s="212" t="n"/>
      <c r="FT26" s="212" t="n"/>
      <c r="FU26" s="212" t="n"/>
      <c r="FV26" s="212" t="n"/>
      <c r="FW26" s="212" t="n"/>
      <c r="FX26" s="212" t="n"/>
      <c r="FY26" s="212" t="n"/>
      <c r="FZ26" s="212" t="n"/>
    </row>
    <row r="27" ht="39.95" customFormat="1" customHeight="1" s="5">
      <c r="A27" s="456" t="n"/>
      <c r="B27" s="8" t="n"/>
      <c r="C27" s="456" t="n"/>
      <c r="D27" s="594" t="n"/>
      <c r="E27" s="595" t="n"/>
      <c r="F27" s="595" t="n"/>
      <c r="G27" s="595" t="n"/>
      <c r="H27" s="596" t="n"/>
      <c r="I27" s="597" t="n"/>
      <c r="J27" s="595" t="n"/>
      <c r="K27" s="595" t="n"/>
      <c r="L27" s="595" t="n"/>
      <c r="M27" s="596" t="n"/>
      <c r="N27" s="597" t="n"/>
      <c r="O27" s="595" t="n"/>
      <c r="P27" s="595" t="n"/>
      <c r="Q27" s="595" t="n"/>
      <c r="R27" s="596" t="n"/>
      <c r="S27" s="597" t="n"/>
      <c r="T27" s="595" t="n"/>
      <c r="U27" s="595" t="n"/>
      <c r="V27" s="595" t="n"/>
      <c r="W27" s="596" t="n"/>
      <c r="X27" s="597" t="n"/>
      <c r="Y27" s="595" t="n"/>
      <c r="Z27" s="595" t="n"/>
      <c r="AA27" s="595" t="n"/>
      <c r="AB27" s="596" t="n"/>
      <c r="AC27" s="597" t="n"/>
      <c r="AD27" s="595" t="n"/>
      <c r="AE27" s="595" t="n"/>
      <c r="AF27" s="595" t="n"/>
      <c r="AG27" s="596" t="n"/>
      <c r="AH27" s="597" t="n"/>
      <c r="AI27" s="595" t="n"/>
      <c r="AJ27" s="595" t="n"/>
      <c r="AK27" s="595" t="n"/>
      <c r="AL27" s="596" t="n"/>
      <c r="AM27" s="597" t="n"/>
      <c r="AN27" s="595" t="n"/>
      <c r="AO27" s="595" t="n"/>
      <c r="AP27" s="595" t="n"/>
      <c r="AQ27" s="596" t="n"/>
      <c r="AR27" s="597" t="n"/>
      <c r="AS27" s="595" t="n"/>
      <c r="AT27" s="595" t="n"/>
      <c r="AU27" s="595" t="n"/>
      <c r="AV27" s="596" t="n"/>
      <c r="AW27" s="597" t="n"/>
      <c r="AX27" s="595" t="n"/>
      <c r="AY27" s="595" t="n"/>
      <c r="AZ27" s="595" t="n"/>
      <c r="BA27" s="596" t="n"/>
      <c r="BB27" s="597" t="n"/>
      <c r="BC27" s="595" t="n"/>
      <c r="BD27" s="595" t="n"/>
      <c r="BE27" s="595" t="n"/>
      <c r="BF27" s="596" t="n"/>
      <c r="BG27" s="597" t="n"/>
      <c r="BH27" s="595" t="n"/>
      <c r="BI27" s="595" t="n"/>
      <c r="BJ27" s="595" t="n"/>
      <c r="BK27" s="596" t="n"/>
      <c r="BL27" s="597" t="n"/>
      <c r="BM27" s="595" t="n"/>
      <c r="BN27" s="595" t="n"/>
      <c r="BO27" s="595" t="n"/>
      <c r="BP27" s="596" t="n"/>
      <c r="BQ27" s="597" t="n"/>
      <c r="BR27" s="595" t="n"/>
      <c r="BS27" s="595" t="n"/>
      <c r="BT27" s="596" t="n"/>
      <c r="BU27" s="437" t="n"/>
      <c r="BV27" s="437" t="n"/>
      <c r="BW27" s="238" t="n"/>
      <c r="BX27" s="238" t="n"/>
      <c r="BY27" s="238" t="n"/>
      <c r="BZ27" s="238" t="n"/>
      <c r="CA27" s="238" t="n"/>
      <c r="CB27" s="238" t="n"/>
      <c r="CC27" s="238" t="n"/>
      <c r="CD27" s="238" t="n"/>
      <c r="CE27" s="238" t="n"/>
      <c r="CF27" s="238" t="n"/>
      <c r="CG27" s="238" t="n"/>
      <c r="CH27" s="238" t="n"/>
      <c r="CI27" s="238" t="n"/>
      <c r="CJ27" s="238" t="n"/>
      <c r="CK27" s="238" t="n"/>
      <c r="CL27" s="238" t="n"/>
      <c r="CM27" s="238" t="n"/>
      <c r="CN27" s="238" t="n"/>
      <c r="CO27" s="238" t="n"/>
      <c r="CP27" s="238" t="n"/>
      <c r="CQ27" s="238" t="n"/>
      <c r="CR27" s="238" t="n"/>
      <c r="CS27" s="238" t="n"/>
      <c r="CT27" s="238" t="n"/>
      <c r="CU27" s="238" t="n"/>
      <c r="CV27" s="238" t="n"/>
      <c r="CW27" s="238" t="n"/>
      <c r="CX27" s="238" t="n"/>
      <c r="CY27" s="238" t="n"/>
      <c r="CZ27" s="238" t="n"/>
      <c r="DA27" s="238" t="n"/>
      <c r="DB27" s="238" t="n"/>
      <c r="DC27" s="238" t="n"/>
      <c r="DD27" s="238" t="n"/>
      <c r="DE27" s="238" t="n"/>
      <c r="DF27" s="238" t="n"/>
      <c r="DG27" s="238" t="n"/>
      <c r="DH27" s="238" t="n"/>
      <c r="DI27" s="238" t="n"/>
      <c r="DJ27" s="238" t="n"/>
      <c r="DK27" s="238" t="n"/>
      <c r="DL27" s="238" t="n"/>
      <c r="DM27" s="238" t="n"/>
      <c r="DN27" s="238" t="n"/>
      <c r="DO27" s="238" t="n"/>
      <c r="DP27" s="238" t="n"/>
      <c r="DQ27" s="238" t="n"/>
      <c r="DR27" s="238" t="n"/>
      <c r="DS27" s="238" t="n"/>
      <c r="DT27" s="238" t="n"/>
      <c r="DU27" s="238" t="n"/>
      <c r="DV27" s="238" t="n"/>
      <c r="DW27" s="238" t="n"/>
      <c r="DX27" s="238" t="n"/>
      <c r="DY27" s="238" t="n"/>
      <c r="DZ27" s="23" t="n"/>
      <c r="FQ27" s="212" t="n"/>
      <c r="FR27" s="212" t="n"/>
      <c r="FS27" s="212" t="n"/>
      <c r="FT27" s="212" t="n"/>
      <c r="FU27" s="212" t="n"/>
      <c r="FV27" s="212" t="n"/>
      <c r="FW27" s="212" t="n"/>
      <c r="FX27" s="212" t="n"/>
      <c r="FY27" s="212" t="n"/>
      <c r="FZ27" s="212" t="n"/>
    </row>
    <row r="28" ht="39.95" customFormat="1" customHeight="1" s="5">
      <c r="A28" s="10" t="inlineStr">
        <is>
          <t>A</t>
        </is>
      </c>
      <c r="B28" s="6" t="inlineStr">
        <is>
          <t>POSITION 'A'</t>
        </is>
      </c>
      <c r="C28" s="351" t="inlineStr">
        <is>
          <t>Year</t>
        </is>
      </c>
      <c r="D28" s="588" t="inlineStr">
        <is>
          <t>ND</t>
        </is>
      </c>
      <c r="E28" s="589" t="inlineStr">
        <is>
          <t>ND</t>
        </is>
      </c>
      <c r="F28" s="589" t="inlineStr">
        <is>
          <t>ND</t>
        </is>
      </c>
      <c r="G28" s="589" t="inlineStr">
        <is>
          <t>May 2055</t>
        </is>
      </c>
      <c r="H28" s="590" t="inlineStr">
        <is>
          <t>May 2055</t>
        </is>
      </c>
      <c r="I28" s="591" t="inlineStr">
        <is>
          <t>ND</t>
        </is>
      </c>
      <c r="J28" s="589" t="inlineStr">
        <is>
          <t>May 2055</t>
        </is>
      </c>
      <c r="K28" s="589" t="inlineStr">
        <is>
          <t>ND</t>
        </is>
      </c>
      <c r="L28" s="589" t="inlineStr">
        <is>
          <t>ND</t>
        </is>
      </c>
      <c r="M28" s="590" t="inlineStr">
        <is>
          <t>May 2055</t>
        </is>
      </c>
      <c r="N28" s="591" t="inlineStr">
        <is>
          <t>ND</t>
        </is>
      </c>
      <c r="O28" s="589" t="inlineStr">
        <is>
          <t>Oct 2048</t>
        </is>
      </c>
      <c r="P28" s="589" t="inlineStr">
        <is>
          <t>May 2055</t>
        </is>
      </c>
      <c r="Q28" s="589" t="inlineStr">
        <is>
          <t>ND</t>
        </is>
      </c>
      <c r="R28" s="590" t="inlineStr">
        <is>
          <t>ND</t>
        </is>
      </c>
      <c r="S28" s="591" t="inlineStr">
        <is>
          <t>ND</t>
        </is>
      </c>
      <c r="T28" s="589" t="inlineStr">
        <is>
          <t>ND</t>
        </is>
      </c>
      <c r="U28" s="589" t="inlineStr">
        <is>
          <t>ND</t>
        </is>
      </c>
      <c r="V28" s="589" t="inlineStr">
        <is>
          <t>ND</t>
        </is>
      </c>
      <c r="W28" s="590" t="inlineStr">
        <is>
          <t>ND</t>
        </is>
      </c>
      <c r="X28" s="591" t="inlineStr">
        <is>
          <t>ND</t>
        </is>
      </c>
      <c r="Y28" s="589" t="inlineStr">
        <is>
          <t>ND</t>
        </is>
      </c>
      <c r="Z28" s="589" t="inlineStr">
        <is>
          <t>ND</t>
        </is>
      </c>
      <c r="AA28" s="589" t="inlineStr">
        <is>
          <t>ND</t>
        </is>
      </c>
      <c r="AB28" s="590" t="inlineStr">
        <is>
          <t>ND</t>
        </is>
      </c>
      <c r="AC28" s="591" t="inlineStr">
        <is>
          <t>ND</t>
        </is>
      </c>
      <c r="AD28" s="589" t="inlineStr">
        <is>
          <t>ND</t>
        </is>
      </c>
      <c r="AE28" s="589" t="inlineStr">
        <is>
          <t>ND</t>
        </is>
      </c>
      <c r="AF28" s="589" t="inlineStr">
        <is>
          <t>ND</t>
        </is>
      </c>
      <c r="AG28" s="590" t="inlineStr">
        <is>
          <t>ND</t>
        </is>
      </c>
      <c r="AH28" s="591" t="inlineStr">
        <is>
          <t>ND</t>
        </is>
      </c>
      <c r="AI28" s="589" t="inlineStr">
        <is>
          <t>May 2055</t>
        </is>
      </c>
      <c r="AJ28" s="589" t="inlineStr">
        <is>
          <t>Mar 2052</t>
        </is>
      </c>
      <c r="AK28" s="589" t="inlineStr">
        <is>
          <t>May 2055</t>
        </is>
      </c>
      <c r="AL28" s="590" t="inlineStr">
        <is>
          <t>Nov 2053</t>
        </is>
      </c>
      <c r="AM28" s="591" t="inlineStr">
        <is>
          <t>May 2055</t>
        </is>
      </c>
      <c r="AN28" s="589" t="inlineStr">
        <is>
          <t>Jun 2034</t>
        </is>
      </c>
      <c r="AO28" s="589" t="inlineStr">
        <is>
          <t>ND</t>
        </is>
      </c>
      <c r="AP28" s="589" t="inlineStr">
        <is>
          <t>ND</t>
        </is>
      </c>
      <c r="AQ28" s="590" t="inlineStr">
        <is>
          <t>ND</t>
        </is>
      </c>
      <c r="AR28" s="591" t="inlineStr">
        <is>
          <t>ND</t>
        </is>
      </c>
      <c r="AS28" s="589" t="inlineStr">
        <is>
          <t>ND</t>
        </is>
      </c>
      <c r="AT28" s="589" t="inlineStr">
        <is>
          <t>ND</t>
        </is>
      </c>
      <c r="AU28" s="589" t="inlineStr">
        <is>
          <t>ND</t>
        </is>
      </c>
      <c r="AV28" s="590" t="inlineStr">
        <is>
          <t>ND</t>
        </is>
      </c>
      <c r="AW28" s="591" t="inlineStr">
        <is>
          <t>ND</t>
        </is>
      </c>
      <c r="AX28" s="589" t="inlineStr">
        <is>
          <t>ND</t>
        </is>
      </c>
      <c r="AY28" s="589" t="inlineStr">
        <is>
          <t>ND</t>
        </is>
      </c>
      <c r="AZ28" s="589" t="inlineStr">
        <is>
          <t>ND</t>
        </is>
      </c>
      <c r="BA28" s="590" t="inlineStr">
        <is>
          <t>ND</t>
        </is>
      </c>
      <c r="BB28" s="591" t="inlineStr">
        <is>
          <t>ND</t>
        </is>
      </c>
      <c r="BC28" s="589" t="inlineStr">
        <is>
          <t>ND</t>
        </is>
      </c>
      <c r="BD28" s="589" t="inlineStr">
        <is>
          <t>ND</t>
        </is>
      </c>
      <c r="BE28" s="589" t="inlineStr">
        <is>
          <t>ND</t>
        </is>
      </c>
      <c r="BF28" s="590" t="inlineStr">
        <is>
          <t>ND</t>
        </is>
      </c>
      <c r="BG28" s="591" t="inlineStr">
        <is>
          <t>ND</t>
        </is>
      </c>
      <c r="BH28" s="589" t="inlineStr">
        <is>
          <t>ND</t>
        </is>
      </c>
      <c r="BI28" s="589" t="inlineStr">
        <is>
          <t>ND</t>
        </is>
      </c>
      <c r="BJ28" s="589" t="inlineStr">
        <is>
          <t>ND</t>
        </is>
      </c>
      <c r="BK28" s="590" t="inlineStr">
        <is>
          <t>ND</t>
        </is>
      </c>
      <c r="BL28" s="591" t="inlineStr">
        <is>
          <t>ND</t>
        </is>
      </c>
      <c r="BM28" s="589" t="inlineStr">
        <is>
          <t>ND</t>
        </is>
      </c>
      <c r="BN28" s="589" t="inlineStr">
        <is>
          <t>ND</t>
        </is>
      </c>
      <c r="BO28" s="589" t="inlineStr">
        <is>
          <t>ND</t>
        </is>
      </c>
      <c r="BP28" s="590" t="inlineStr">
        <is>
          <t>ND</t>
        </is>
      </c>
      <c r="BQ28" s="591" t="inlineStr">
        <is>
          <t>ND</t>
        </is>
      </c>
      <c r="BR28" s="589" t="inlineStr">
        <is>
          <t>ND</t>
        </is>
      </c>
      <c r="BS28" s="589" t="inlineStr">
        <is>
          <t>ND</t>
        </is>
      </c>
      <c r="BT28" s="590" t="inlineStr">
        <is>
          <t>ND</t>
        </is>
      </c>
      <c r="BU28" s="437" t="n"/>
      <c r="BV28" s="437" t="n"/>
      <c r="BW28" s="238" t="n"/>
      <c r="BX28" s="238" t="n"/>
      <c r="BY28" s="238" t="n"/>
      <c r="BZ28" s="238" t="n"/>
      <c r="CA28" s="238" t="n"/>
      <c r="CB28" s="238" t="n"/>
      <c r="CC28" s="238" t="n"/>
      <c r="CD28" s="238" t="n"/>
      <c r="CE28" s="238" t="n"/>
      <c r="CF28" s="238" t="n"/>
      <c r="CG28" s="238" t="n"/>
      <c r="CH28" s="238" t="n"/>
      <c r="CI28" s="238" t="n"/>
      <c r="CJ28" s="238" t="n"/>
      <c r="CK28" s="238" t="n"/>
      <c r="CL28" s="238" t="n"/>
      <c r="CM28" s="238" t="n"/>
      <c r="CN28" s="238" t="n"/>
      <c r="CO28" s="238" t="n"/>
      <c r="CP28" s="238" t="n"/>
      <c r="CQ28" s="238" t="n"/>
      <c r="CR28" s="238" t="n"/>
      <c r="CS28" s="238" t="n"/>
      <c r="CT28" s="238" t="n"/>
      <c r="CU28" s="238" t="n"/>
      <c r="CV28" s="238" t="n"/>
      <c r="CW28" s="238" t="n"/>
      <c r="CX28" s="238" t="n"/>
      <c r="CY28" s="238" t="n"/>
      <c r="CZ28" s="238" t="n"/>
      <c r="DA28" s="238" t="n"/>
      <c r="DB28" s="238" t="n"/>
      <c r="DC28" s="238" t="n"/>
      <c r="DD28" s="238" t="n"/>
      <c r="DE28" s="238" t="n"/>
      <c r="DF28" s="238" t="n"/>
      <c r="DG28" s="238" t="n"/>
      <c r="DH28" s="238" t="n"/>
      <c r="DI28" s="238" t="n"/>
      <c r="DJ28" s="238" t="n"/>
      <c r="DK28" s="238" t="n"/>
      <c r="DL28" s="238" t="n"/>
      <c r="DM28" s="238" t="n"/>
      <c r="DN28" s="238" t="n"/>
      <c r="DO28" s="238" t="n"/>
      <c r="DP28" s="238" t="n"/>
      <c r="DQ28" s="238" t="n"/>
      <c r="DR28" s="238" t="n"/>
      <c r="DS28" s="238" t="n"/>
      <c r="DT28" s="238" t="n"/>
      <c r="DU28" s="238" t="n"/>
      <c r="DV28" s="238" t="n"/>
      <c r="DW28" s="238" t="n"/>
      <c r="DX28" s="238" t="n"/>
      <c r="DY28" s="238" t="n"/>
      <c r="DZ28" s="23" t="n"/>
    </row>
    <row r="29" ht="39.95" customFormat="1" customHeight="1" s="5">
      <c r="A29" s="182" t="inlineStr"/>
      <c r="B29" s="7" t="inlineStr">
        <is>
          <t>OF THE MANWAY</t>
        </is>
      </c>
      <c r="C29" s="456" t="n"/>
      <c r="D29" s="13" t="n"/>
      <c r="H29" s="592" t="n"/>
      <c r="I29" s="593" t="n"/>
      <c r="M29" s="592" t="n"/>
      <c r="N29" s="593" t="n"/>
      <c r="R29" s="592" t="n"/>
      <c r="S29" s="593" t="n"/>
      <c r="W29" s="592" t="n"/>
      <c r="X29" s="593" t="n"/>
      <c r="AB29" s="592" t="n"/>
      <c r="AC29" s="593" t="n"/>
      <c r="AG29" s="592" t="n"/>
      <c r="AH29" s="593" t="n"/>
      <c r="AL29" s="592" t="n"/>
      <c r="AM29" s="593" t="n"/>
      <c r="AQ29" s="592" t="n"/>
      <c r="AR29" s="593" t="n"/>
      <c r="AV29" s="592" t="n"/>
      <c r="AW29" s="593" t="n"/>
      <c r="BA29" s="592" t="n"/>
      <c r="BB29" s="593" t="n"/>
      <c r="BF29" s="592" t="n"/>
      <c r="BG29" s="593" t="n"/>
      <c r="BK29" s="592" t="n"/>
      <c r="BL29" s="593" t="n"/>
      <c r="BP29" s="592" t="n"/>
      <c r="BQ29" s="593" t="n"/>
      <c r="BT29" s="592" t="n"/>
      <c r="BU29" s="437" t="n"/>
      <c r="BV29" s="437" t="n"/>
      <c r="BW29" s="238" t="n"/>
      <c r="BX29" s="238" t="n"/>
      <c r="BY29" s="238" t="n"/>
      <c r="BZ29" s="238" t="n"/>
      <c r="CA29" s="238" t="n"/>
      <c r="CB29" s="238" t="n"/>
      <c r="CC29" s="238" t="n"/>
      <c r="CD29" s="238" t="n"/>
      <c r="CE29" s="238" t="n"/>
      <c r="CF29" s="238" t="n"/>
      <c r="CG29" s="238" t="n"/>
      <c r="CH29" s="238" t="n"/>
      <c r="CI29" s="238" t="n"/>
      <c r="CJ29" s="238" t="n"/>
      <c r="CK29" s="238" t="n"/>
      <c r="CL29" s="238" t="n"/>
      <c r="CM29" s="238" t="n"/>
      <c r="CN29" s="238" t="n"/>
      <c r="CO29" s="238" t="n"/>
      <c r="CP29" s="238" t="n"/>
      <c r="CQ29" s="238" t="n"/>
      <c r="CR29" s="238" t="n"/>
      <c r="CS29" s="238" t="n"/>
      <c r="CT29" s="238" t="n"/>
      <c r="CU29" s="238" t="n"/>
      <c r="CV29" s="238" t="n"/>
      <c r="CW29" s="238" t="n"/>
      <c r="CX29" s="238" t="n"/>
      <c r="CY29" s="238" t="n"/>
      <c r="CZ29" s="238" t="n"/>
      <c r="DA29" s="238" t="n"/>
      <c r="DB29" s="238" t="n"/>
      <c r="DC29" s="238" t="n"/>
      <c r="DD29" s="238" t="n"/>
      <c r="DE29" s="238" t="n"/>
      <c r="DF29" s="238" t="n"/>
      <c r="DG29" s="238" t="n"/>
      <c r="DH29" s="238" t="n"/>
      <c r="DI29" s="238" t="n"/>
      <c r="DJ29" s="238" t="n"/>
      <c r="DK29" s="238" t="n"/>
      <c r="DL29" s="238" t="n"/>
      <c r="DM29" s="238" t="n"/>
      <c r="DN29" s="238" t="n"/>
      <c r="DO29" s="238" t="n"/>
      <c r="DP29" s="238" t="n"/>
      <c r="DQ29" s="238" t="n"/>
      <c r="DR29" s="238" t="n"/>
      <c r="DS29" s="238" t="n"/>
      <c r="DT29" s="238" t="n"/>
      <c r="DU29" s="238" t="n"/>
      <c r="DV29" s="238" t="n"/>
      <c r="DW29" s="238" t="n"/>
      <c r="DX29" s="238" t="n"/>
      <c r="DY29" s="238" t="n"/>
      <c r="DZ29" s="23" t="n"/>
      <c r="FQ29" s="212" t="n"/>
      <c r="FR29" s="212" t="n"/>
      <c r="FS29" s="212" t="n"/>
      <c r="FT29" s="212" t="n"/>
      <c r="FU29" s="212" t="n"/>
      <c r="FV29" s="212" t="n"/>
      <c r="FW29" s="212" t="n"/>
      <c r="FX29" s="212" t="n"/>
      <c r="FY29" s="212" t="n"/>
      <c r="FZ29" s="212" t="n"/>
    </row>
    <row r="30" ht="39.95" customFormat="1" customHeight="1" s="5">
      <c r="A30" s="456" t="n"/>
      <c r="B30" s="8" t="inlineStr">
        <is>
          <t>&amp; OSCILLATOR</t>
        </is>
      </c>
      <c r="C30" s="456" t="n"/>
      <c r="D30" s="594" t="n"/>
      <c r="E30" s="595" t="n"/>
      <c r="F30" s="595" t="n"/>
      <c r="G30" s="595" t="n"/>
      <c r="H30" s="596" t="n"/>
      <c r="I30" s="597" t="n"/>
      <c r="J30" s="595" t="n"/>
      <c r="K30" s="595" t="n"/>
      <c r="L30" s="595" t="n"/>
      <c r="M30" s="596" t="n"/>
      <c r="N30" s="597" t="n"/>
      <c r="O30" s="595" t="n"/>
      <c r="P30" s="595" t="n"/>
      <c r="Q30" s="595" t="n"/>
      <c r="R30" s="596" t="n"/>
      <c r="S30" s="597" t="n"/>
      <c r="T30" s="595" t="n"/>
      <c r="U30" s="595" t="n"/>
      <c r="V30" s="595" t="n"/>
      <c r="W30" s="596" t="n"/>
      <c r="X30" s="597" t="n"/>
      <c r="Y30" s="595" t="n"/>
      <c r="Z30" s="595" t="n"/>
      <c r="AA30" s="595" t="n"/>
      <c r="AB30" s="596" t="n"/>
      <c r="AC30" s="597" t="n"/>
      <c r="AD30" s="595" t="n"/>
      <c r="AE30" s="595" t="n"/>
      <c r="AF30" s="595" t="n"/>
      <c r="AG30" s="596" t="n"/>
      <c r="AH30" s="597" t="n"/>
      <c r="AI30" s="595" t="n"/>
      <c r="AJ30" s="595" t="n"/>
      <c r="AK30" s="595" t="n"/>
      <c r="AL30" s="596" t="n"/>
      <c r="AM30" s="597" t="n"/>
      <c r="AN30" s="595" t="n"/>
      <c r="AO30" s="595" t="n"/>
      <c r="AP30" s="595" t="n"/>
      <c r="AQ30" s="596" t="n"/>
      <c r="AR30" s="597" t="n"/>
      <c r="AS30" s="595" t="n"/>
      <c r="AT30" s="595" t="n"/>
      <c r="AU30" s="595" t="n"/>
      <c r="AV30" s="596" t="n"/>
      <c r="AW30" s="597" t="n"/>
      <c r="AX30" s="595" t="n"/>
      <c r="AY30" s="595" t="n"/>
      <c r="AZ30" s="595" t="n"/>
      <c r="BA30" s="596" t="n"/>
      <c r="BB30" s="597" t="n"/>
      <c r="BC30" s="595" t="n"/>
      <c r="BD30" s="595" t="n"/>
      <c r="BE30" s="595" t="n"/>
      <c r="BF30" s="596" t="n"/>
      <c r="BG30" s="597" t="n"/>
      <c r="BH30" s="595" t="n"/>
      <c r="BI30" s="595" t="n"/>
      <c r="BJ30" s="595" t="n"/>
      <c r="BK30" s="596" t="n"/>
      <c r="BL30" s="597" t="n"/>
      <c r="BM30" s="595" t="n"/>
      <c r="BN30" s="595" t="n"/>
      <c r="BO30" s="595" t="n"/>
      <c r="BP30" s="596" t="n"/>
      <c r="BQ30" s="597" t="n"/>
      <c r="BR30" s="595" t="n"/>
      <c r="BS30" s="595" t="n"/>
      <c r="BT30" s="596" t="n"/>
      <c r="BU30" s="437" t="n"/>
      <c r="BV30" s="437" t="n"/>
      <c r="BW30" s="238" t="n"/>
      <c r="BX30" s="238" t="n"/>
      <c r="BY30" s="238" t="n"/>
      <c r="BZ30" s="238" t="n"/>
      <c r="CA30" s="238" t="n"/>
      <c r="CB30" s="238" t="n"/>
      <c r="CC30" s="238" t="n"/>
      <c r="CD30" s="238" t="n"/>
      <c r="CE30" s="238" t="n"/>
      <c r="CF30" s="238" t="n"/>
      <c r="CG30" s="238" t="n"/>
      <c r="CH30" s="238" t="n"/>
      <c r="CI30" s="238" t="n"/>
      <c r="CJ30" s="238" t="n"/>
      <c r="CK30" s="238" t="n"/>
      <c r="CL30" s="238" t="n"/>
      <c r="CM30" s="238" t="n"/>
      <c r="CN30" s="238" t="n"/>
      <c r="CO30" s="238" t="n"/>
      <c r="CP30" s="238" t="n"/>
      <c r="CQ30" s="238" t="n"/>
      <c r="CR30" s="238" t="n"/>
      <c r="CS30" s="238" t="n"/>
      <c r="CT30" s="238" t="n"/>
      <c r="CU30" s="238" t="n"/>
      <c r="CV30" s="238" t="n"/>
      <c r="CW30" s="238" t="n"/>
      <c r="CX30" s="238" t="n"/>
      <c r="CY30" s="238" t="n"/>
      <c r="CZ30" s="238" t="n"/>
      <c r="DA30" s="238" t="n"/>
      <c r="DB30" s="238" t="n"/>
      <c r="DC30" s="238" t="n"/>
      <c r="DD30" s="238" t="n"/>
      <c r="DE30" s="238" t="n"/>
      <c r="DF30" s="238" t="n"/>
      <c r="DG30" s="238" t="n"/>
      <c r="DH30" s="238" t="n"/>
      <c r="DI30" s="238" t="n"/>
      <c r="DJ30" s="238" t="n"/>
      <c r="DK30" s="238" t="n"/>
      <c r="DL30" s="238" t="n"/>
      <c r="DM30" s="238" t="n"/>
      <c r="DN30" s="238" t="n"/>
      <c r="DO30" s="238" t="n"/>
      <c r="DP30" s="238" t="n"/>
      <c r="DQ30" s="238" t="n"/>
      <c r="DR30" s="238" t="n"/>
      <c r="DS30" s="238" t="n"/>
      <c r="DT30" s="238" t="n"/>
      <c r="DU30" s="238" t="n"/>
      <c r="DV30" s="238" t="n"/>
      <c r="DW30" s="238" t="n"/>
      <c r="DX30" s="238" t="n"/>
      <c r="DY30" s="238" t="n"/>
      <c r="DZ30" s="23" t="n"/>
      <c r="FQ30" s="212" t="n"/>
      <c r="FR30" s="212" t="n"/>
      <c r="FS30" s="212" t="n"/>
      <c r="FT30" s="212" t="n"/>
      <c r="FU30" s="212" t="n"/>
      <c r="FV30" s="212" t="n"/>
      <c r="FW30" s="212" t="n"/>
      <c r="FX30" s="212" t="n"/>
      <c r="FY30" s="212" t="n"/>
      <c r="FZ30" s="212" t="n"/>
    </row>
    <row r="31" ht="39.95" customFormat="1" customHeight="1" s="5">
      <c r="A31" s="10" t="inlineStr">
        <is>
          <t>A</t>
        </is>
      </c>
      <c r="B31" s="6" t="inlineStr">
        <is>
          <t>POSITION 'B'</t>
        </is>
      </c>
      <c r="C31" s="351" t="inlineStr">
        <is>
          <t>Year</t>
        </is>
      </c>
      <c r="D31" s="588" t="inlineStr">
        <is>
          <t>ND</t>
        </is>
      </c>
      <c r="E31" s="589" t="inlineStr">
        <is>
          <t>ND</t>
        </is>
      </c>
      <c r="F31" s="589" t="inlineStr">
        <is>
          <t>ND</t>
        </is>
      </c>
      <c r="G31" s="589" t="inlineStr">
        <is>
          <t>May 2055</t>
        </is>
      </c>
      <c r="H31" s="590" t="inlineStr">
        <is>
          <t>May 2055</t>
        </is>
      </c>
      <c r="I31" s="591" t="inlineStr">
        <is>
          <t>ND</t>
        </is>
      </c>
      <c r="J31" s="589" t="inlineStr">
        <is>
          <t>Jul 2046</t>
        </is>
      </c>
      <c r="K31" s="589" t="inlineStr">
        <is>
          <t>ND</t>
        </is>
      </c>
      <c r="L31" s="589" t="inlineStr">
        <is>
          <t>ND</t>
        </is>
      </c>
      <c r="M31" s="590" t="inlineStr">
        <is>
          <t>May 2055</t>
        </is>
      </c>
      <c r="N31" s="591" t="inlineStr">
        <is>
          <t>ND</t>
        </is>
      </c>
      <c r="O31" s="589" t="inlineStr">
        <is>
          <t>Apr 2049</t>
        </is>
      </c>
      <c r="P31" s="589" t="inlineStr">
        <is>
          <t>May 2055</t>
        </is>
      </c>
      <c r="Q31" s="589" t="inlineStr">
        <is>
          <t>ND</t>
        </is>
      </c>
      <c r="R31" s="590" t="inlineStr">
        <is>
          <t>ND</t>
        </is>
      </c>
      <c r="S31" s="591" t="inlineStr">
        <is>
          <t>ND</t>
        </is>
      </c>
      <c r="T31" s="589" t="inlineStr">
        <is>
          <t>ND</t>
        </is>
      </c>
      <c r="U31" s="589" t="inlineStr">
        <is>
          <t>ND</t>
        </is>
      </c>
      <c r="V31" s="589" t="inlineStr">
        <is>
          <t>ND</t>
        </is>
      </c>
      <c r="W31" s="590" t="inlineStr">
        <is>
          <t>ND</t>
        </is>
      </c>
      <c r="X31" s="591" t="inlineStr">
        <is>
          <t>ND</t>
        </is>
      </c>
      <c r="Y31" s="589" t="inlineStr">
        <is>
          <t>ND</t>
        </is>
      </c>
      <c r="Z31" s="589" t="inlineStr">
        <is>
          <t>ND</t>
        </is>
      </c>
      <c r="AA31" s="589" t="inlineStr">
        <is>
          <t>ND</t>
        </is>
      </c>
      <c r="AB31" s="590" t="inlineStr">
        <is>
          <t>ND</t>
        </is>
      </c>
      <c r="AC31" s="591" t="inlineStr">
        <is>
          <t>ND</t>
        </is>
      </c>
      <c r="AD31" s="589" t="inlineStr">
        <is>
          <t>ND</t>
        </is>
      </c>
      <c r="AE31" s="589" t="inlineStr">
        <is>
          <t>ND</t>
        </is>
      </c>
      <c r="AF31" s="589" t="inlineStr">
        <is>
          <t>ND</t>
        </is>
      </c>
      <c r="AG31" s="590" t="inlineStr">
        <is>
          <t>ND</t>
        </is>
      </c>
      <c r="AH31" s="591" t="inlineStr">
        <is>
          <t>ND</t>
        </is>
      </c>
      <c r="AI31" s="589" t="inlineStr">
        <is>
          <t>May 2055</t>
        </is>
      </c>
      <c r="AJ31" s="589" t="inlineStr">
        <is>
          <t>May 2055</t>
        </is>
      </c>
      <c r="AK31" s="589" t="inlineStr">
        <is>
          <t>May 2055</t>
        </is>
      </c>
      <c r="AL31" s="590" t="inlineStr">
        <is>
          <t>May 2055</t>
        </is>
      </c>
      <c r="AM31" s="591" t="inlineStr">
        <is>
          <t>Nov 2035</t>
        </is>
      </c>
      <c r="AN31" s="589" t="inlineStr">
        <is>
          <t>ND</t>
        </is>
      </c>
      <c r="AO31" s="589" t="inlineStr">
        <is>
          <t>ND</t>
        </is>
      </c>
      <c r="AP31" s="589" t="inlineStr">
        <is>
          <t>ND</t>
        </is>
      </c>
      <c r="AQ31" s="590" t="inlineStr">
        <is>
          <t>ND</t>
        </is>
      </c>
      <c r="AR31" s="591" t="inlineStr">
        <is>
          <t>ND</t>
        </is>
      </c>
      <c r="AS31" s="589" t="inlineStr">
        <is>
          <t>ND</t>
        </is>
      </c>
      <c r="AT31" s="589" t="inlineStr">
        <is>
          <t>ND</t>
        </is>
      </c>
      <c r="AU31" s="589" t="inlineStr">
        <is>
          <t>ND</t>
        </is>
      </c>
      <c r="AV31" s="590" t="inlineStr">
        <is>
          <t>ND</t>
        </is>
      </c>
      <c r="AW31" s="591" t="inlineStr">
        <is>
          <t>ND</t>
        </is>
      </c>
      <c r="AX31" s="589" t="inlineStr">
        <is>
          <t>ND</t>
        </is>
      </c>
      <c r="AY31" s="589" t="inlineStr">
        <is>
          <t>ND</t>
        </is>
      </c>
      <c r="AZ31" s="589" t="inlineStr">
        <is>
          <t>ND</t>
        </is>
      </c>
      <c r="BA31" s="590" t="inlineStr">
        <is>
          <t>ND</t>
        </is>
      </c>
      <c r="BB31" s="591" t="inlineStr">
        <is>
          <t>ND</t>
        </is>
      </c>
      <c r="BC31" s="589" t="inlineStr">
        <is>
          <t>ND</t>
        </is>
      </c>
      <c r="BD31" s="589" t="inlineStr">
        <is>
          <t>ND</t>
        </is>
      </c>
      <c r="BE31" s="589" t="inlineStr">
        <is>
          <t>ND</t>
        </is>
      </c>
      <c r="BF31" s="590" t="inlineStr">
        <is>
          <t>ND</t>
        </is>
      </c>
      <c r="BG31" s="591" t="inlineStr">
        <is>
          <t>ND</t>
        </is>
      </c>
      <c r="BH31" s="589" t="inlineStr">
        <is>
          <t>ND</t>
        </is>
      </c>
      <c r="BI31" s="589" t="inlineStr">
        <is>
          <t>ND</t>
        </is>
      </c>
      <c r="BJ31" s="589" t="inlineStr">
        <is>
          <t>ND</t>
        </is>
      </c>
      <c r="BK31" s="590" t="inlineStr">
        <is>
          <t>ND</t>
        </is>
      </c>
      <c r="BL31" s="591" t="inlineStr">
        <is>
          <t>ND</t>
        </is>
      </c>
      <c r="BM31" s="589" t="inlineStr">
        <is>
          <t>ND</t>
        </is>
      </c>
      <c r="BN31" s="589" t="inlineStr">
        <is>
          <t>ND</t>
        </is>
      </c>
      <c r="BO31" s="589" t="inlineStr">
        <is>
          <t>ND</t>
        </is>
      </c>
      <c r="BP31" s="590" t="inlineStr">
        <is>
          <t>ND</t>
        </is>
      </c>
      <c r="BQ31" s="591" t="inlineStr">
        <is>
          <t>ND</t>
        </is>
      </c>
      <c r="BR31" s="589" t="inlineStr">
        <is>
          <t>ND</t>
        </is>
      </c>
      <c r="BS31" s="589" t="inlineStr">
        <is>
          <t>ND</t>
        </is>
      </c>
      <c r="BT31" s="590" t="inlineStr">
        <is>
          <t>ND</t>
        </is>
      </c>
      <c r="BU31" s="437" t="n"/>
      <c r="BV31" s="437" t="n"/>
      <c r="BW31" s="238" t="n"/>
      <c r="BX31" s="238" t="n"/>
      <c r="BY31" s="238" t="n"/>
      <c r="BZ31" s="238" t="n"/>
      <c r="CA31" s="238" t="n"/>
      <c r="CB31" s="238" t="n"/>
      <c r="CC31" s="238" t="n"/>
      <c r="CD31" s="238" t="n"/>
      <c r="CE31" s="238" t="n"/>
      <c r="CF31" s="238" t="n"/>
      <c r="CG31" s="238" t="n"/>
      <c r="CH31" s="238" t="n"/>
      <c r="CI31" s="238" t="n"/>
      <c r="CJ31" s="238" t="n"/>
      <c r="CK31" s="238" t="n"/>
      <c r="CL31" s="238" t="n"/>
      <c r="CM31" s="238" t="n"/>
      <c r="CN31" s="238" t="n"/>
      <c r="CO31" s="238" t="n"/>
      <c r="CP31" s="238" t="n"/>
      <c r="CQ31" s="238" t="n"/>
      <c r="CR31" s="238" t="n"/>
      <c r="CS31" s="238" t="n"/>
      <c r="CT31" s="238" t="n"/>
      <c r="CU31" s="238" t="n"/>
      <c r="CV31" s="238" t="n"/>
      <c r="CW31" s="238" t="n"/>
      <c r="CX31" s="238" t="n"/>
      <c r="CY31" s="238" t="n"/>
      <c r="CZ31" s="238" t="n"/>
      <c r="DA31" s="238" t="n"/>
      <c r="DB31" s="238" t="n"/>
      <c r="DC31" s="238" t="n"/>
      <c r="DD31" s="238" t="n"/>
      <c r="DE31" s="238" t="n"/>
      <c r="DF31" s="238" t="n"/>
      <c r="DG31" s="238" t="n"/>
      <c r="DH31" s="238" t="n"/>
      <c r="DI31" s="238" t="n"/>
      <c r="DJ31" s="238" t="n"/>
      <c r="DK31" s="238" t="n"/>
      <c r="DL31" s="238" t="n"/>
      <c r="DM31" s="238" t="n"/>
      <c r="DN31" s="238" t="n"/>
      <c r="DO31" s="238" t="n"/>
      <c r="DP31" s="238" t="n"/>
      <c r="DQ31" s="238" t="n"/>
      <c r="DR31" s="238" t="n"/>
      <c r="DS31" s="238" t="n"/>
      <c r="DT31" s="238" t="n"/>
      <c r="DU31" s="238" t="n"/>
      <c r="DV31" s="238" t="n"/>
      <c r="DW31" s="238" t="n"/>
      <c r="DX31" s="238" t="n"/>
      <c r="DY31" s="238" t="n"/>
      <c r="DZ31" s="23" t="n"/>
      <c r="FQ31" s="212" t="n"/>
      <c r="FR31" s="212" t="n"/>
      <c r="FS31" s="212" t="n"/>
      <c r="FT31" s="212" t="n"/>
      <c r="FU31" s="212" t="n"/>
      <c r="FV31" s="212" t="n"/>
      <c r="FW31" s="212" t="n"/>
      <c r="FX31" s="212" t="n"/>
      <c r="FY31" s="212" t="n"/>
      <c r="FZ31" s="212" t="n"/>
    </row>
    <row r="32" ht="39.95" customFormat="1" customHeight="1" s="5">
      <c r="A32" s="182" t="inlineStr"/>
      <c r="B32" s="7" t="inlineStr">
        <is>
          <t>OF THE MANWAY</t>
        </is>
      </c>
      <c r="C32" s="456" t="n"/>
      <c r="D32" s="13" t="n"/>
      <c r="H32" s="592" t="n"/>
      <c r="I32" s="593" t="n"/>
      <c r="M32" s="592" t="n"/>
      <c r="N32" s="593" t="n"/>
      <c r="R32" s="592" t="n"/>
      <c r="S32" s="593" t="n"/>
      <c r="W32" s="592" t="n"/>
      <c r="X32" s="593" t="n"/>
      <c r="AB32" s="592" t="n"/>
      <c r="AC32" s="593" t="n"/>
      <c r="AG32" s="592" t="n"/>
      <c r="AH32" s="593" t="n"/>
      <c r="AL32" s="592" t="n"/>
      <c r="AM32" s="593" t="n"/>
      <c r="AQ32" s="592" t="n"/>
      <c r="AR32" s="593" t="n"/>
      <c r="AV32" s="592" t="n"/>
      <c r="AW32" s="593" t="n"/>
      <c r="BA32" s="592" t="n"/>
      <c r="BB32" s="593" t="n"/>
      <c r="BF32" s="592" t="n"/>
      <c r="BG32" s="593" t="n"/>
      <c r="BK32" s="592" t="n"/>
      <c r="BL32" s="593" t="n"/>
      <c r="BP32" s="592" t="n"/>
      <c r="BQ32" s="593" t="n"/>
      <c r="BT32" s="592" t="n"/>
      <c r="BU32" s="437" t="n"/>
      <c r="BV32" s="437" t="n"/>
      <c r="BW32" s="238" t="n"/>
      <c r="BX32" s="238" t="n"/>
      <c r="BY32" s="238" t="n"/>
      <c r="BZ32" s="238" t="n"/>
      <c r="CA32" s="238" t="n"/>
      <c r="CB32" s="238" t="n"/>
      <c r="CC32" s="238" t="n"/>
      <c r="CD32" s="238" t="n"/>
      <c r="CE32" s="238" t="n"/>
      <c r="CF32" s="238" t="n"/>
      <c r="CG32" s="238" t="n"/>
      <c r="CH32" s="238" t="n"/>
      <c r="CI32" s="238" t="n"/>
      <c r="CJ32" s="238" t="n"/>
      <c r="CK32" s="238" t="n"/>
      <c r="CL32" s="238" t="n"/>
      <c r="CM32" s="238" t="n"/>
      <c r="CN32" s="238" t="n"/>
      <c r="CO32" s="238" t="n"/>
      <c r="CP32" s="238" t="n"/>
      <c r="CQ32" s="238" t="n"/>
      <c r="CR32" s="238" t="n"/>
      <c r="CS32" s="238" t="n"/>
      <c r="CT32" s="238" t="n"/>
      <c r="CU32" s="238" t="n"/>
      <c r="CV32" s="238" t="n"/>
      <c r="CW32" s="238" t="n"/>
      <c r="CX32" s="238" t="n"/>
      <c r="CY32" s="238" t="n"/>
      <c r="CZ32" s="238" t="n"/>
      <c r="DA32" s="238" t="n"/>
      <c r="DB32" s="238" t="n"/>
      <c r="DC32" s="238" t="n"/>
      <c r="DD32" s="238" t="n"/>
      <c r="DE32" s="238" t="n"/>
      <c r="DF32" s="238" t="n"/>
      <c r="DG32" s="238" t="n"/>
      <c r="DH32" s="238" t="n"/>
      <c r="DI32" s="238" t="n"/>
      <c r="DJ32" s="238" t="n"/>
      <c r="DK32" s="238" t="n"/>
      <c r="DL32" s="238" t="n"/>
      <c r="DM32" s="238" t="n"/>
      <c r="DN32" s="238" t="n"/>
      <c r="DO32" s="238" t="n"/>
      <c r="DP32" s="238" t="n"/>
      <c r="DQ32" s="238" t="n"/>
      <c r="DR32" s="238" t="n"/>
      <c r="DS32" s="238" t="n"/>
      <c r="DT32" s="238" t="n"/>
      <c r="DU32" s="238" t="n"/>
      <c r="DV32" s="238" t="n"/>
      <c r="DW32" s="238" t="n"/>
      <c r="DX32" s="238" t="n"/>
      <c r="DY32" s="238" t="n"/>
      <c r="DZ32" s="23" t="n"/>
      <c r="FQ32" s="212" t="n"/>
      <c r="FR32" s="212" t="n"/>
      <c r="FS32" s="212" t="n"/>
      <c r="FT32" s="212" t="n"/>
      <c r="FU32" s="212" t="n"/>
      <c r="FV32" s="212" t="n"/>
      <c r="FW32" s="212" t="n"/>
      <c r="FX32" s="212" t="n"/>
      <c r="FY32" s="212" t="n"/>
      <c r="FZ32" s="212" t="n"/>
    </row>
    <row r="33" ht="39.95" customFormat="1" customHeight="1" s="5">
      <c r="A33" s="456" t="n"/>
      <c r="B33" s="8" t="inlineStr">
        <is>
          <t>&amp; OSCILLATOR</t>
        </is>
      </c>
      <c r="C33" s="456" t="n"/>
      <c r="D33" s="594" t="n"/>
      <c r="E33" s="595" t="n"/>
      <c r="F33" s="595" t="n"/>
      <c r="G33" s="595" t="n"/>
      <c r="H33" s="596" t="n"/>
      <c r="I33" s="597" t="n"/>
      <c r="J33" s="595" t="n"/>
      <c r="K33" s="595" t="n"/>
      <c r="L33" s="595" t="n"/>
      <c r="M33" s="596" t="n"/>
      <c r="N33" s="597" t="n"/>
      <c r="O33" s="595" t="n"/>
      <c r="P33" s="595" t="n"/>
      <c r="Q33" s="595" t="n"/>
      <c r="R33" s="596" t="n"/>
      <c r="S33" s="597" t="n"/>
      <c r="T33" s="595" t="n"/>
      <c r="U33" s="595" t="n"/>
      <c r="V33" s="595" t="n"/>
      <c r="W33" s="596" t="n"/>
      <c r="X33" s="597" t="n"/>
      <c r="Y33" s="595" t="n"/>
      <c r="Z33" s="595" t="n"/>
      <c r="AA33" s="595" t="n"/>
      <c r="AB33" s="596" t="n"/>
      <c r="AC33" s="597" t="n"/>
      <c r="AD33" s="595" t="n"/>
      <c r="AE33" s="595" t="n"/>
      <c r="AF33" s="595" t="n"/>
      <c r="AG33" s="596" t="n"/>
      <c r="AH33" s="597" t="n"/>
      <c r="AI33" s="595" t="n"/>
      <c r="AJ33" s="595" t="n"/>
      <c r="AK33" s="595" t="n"/>
      <c r="AL33" s="596" t="n"/>
      <c r="AM33" s="597" t="n"/>
      <c r="AN33" s="595" t="n"/>
      <c r="AO33" s="595" t="n"/>
      <c r="AP33" s="595" t="n"/>
      <c r="AQ33" s="596" t="n"/>
      <c r="AR33" s="597" t="n"/>
      <c r="AS33" s="595" t="n"/>
      <c r="AT33" s="595" t="n"/>
      <c r="AU33" s="595" t="n"/>
      <c r="AV33" s="596" t="n"/>
      <c r="AW33" s="597" t="n"/>
      <c r="AX33" s="595" t="n"/>
      <c r="AY33" s="595" t="n"/>
      <c r="AZ33" s="595" t="n"/>
      <c r="BA33" s="596" t="n"/>
      <c r="BB33" s="597" t="n"/>
      <c r="BC33" s="595" t="n"/>
      <c r="BD33" s="595" t="n"/>
      <c r="BE33" s="595" t="n"/>
      <c r="BF33" s="596" t="n"/>
      <c r="BG33" s="597" t="n"/>
      <c r="BH33" s="595" t="n"/>
      <c r="BI33" s="595" t="n"/>
      <c r="BJ33" s="595" t="n"/>
      <c r="BK33" s="596" t="n"/>
      <c r="BL33" s="597" t="n"/>
      <c r="BM33" s="595" t="n"/>
      <c r="BN33" s="595" t="n"/>
      <c r="BO33" s="595" t="n"/>
      <c r="BP33" s="596" t="n"/>
      <c r="BQ33" s="597" t="n"/>
      <c r="BR33" s="595" t="n"/>
      <c r="BS33" s="595" t="n"/>
      <c r="BT33" s="596" t="n"/>
      <c r="BU33" s="437" t="n"/>
      <c r="BV33" s="437" t="n"/>
      <c r="BW33" s="238" t="n"/>
      <c r="BX33" s="238" t="n"/>
      <c r="BY33" s="238" t="n"/>
      <c r="BZ33" s="238" t="n"/>
      <c r="CA33" s="238" t="n"/>
      <c r="CB33" s="238" t="n"/>
      <c r="CC33" s="238" t="n"/>
      <c r="CD33" s="238" t="n"/>
      <c r="CE33" s="238" t="n"/>
      <c r="CF33" s="238" t="n"/>
      <c r="CG33" s="238" t="n"/>
      <c r="CH33" s="238" t="n"/>
      <c r="CI33" s="238" t="n"/>
      <c r="CJ33" s="238" t="n"/>
      <c r="CK33" s="238" t="n"/>
      <c r="CL33" s="238" t="n"/>
      <c r="CM33" s="238" t="n"/>
      <c r="CN33" s="238" t="n"/>
      <c r="CO33" s="238" t="n"/>
      <c r="CP33" s="238" t="n"/>
      <c r="CQ33" s="238" t="n"/>
      <c r="CR33" s="238" t="n"/>
      <c r="CS33" s="238" t="n"/>
      <c r="CT33" s="238" t="n"/>
      <c r="CU33" s="238" t="n"/>
      <c r="CV33" s="238" t="n"/>
      <c r="CW33" s="238" t="n"/>
      <c r="CX33" s="238" t="n"/>
      <c r="CY33" s="238" t="n"/>
      <c r="CZ33" s="238" t="n"/>
      <c r="DA33" s="238" t="n"/>
      <c r="DB33" s="238" t="n"/>
      <c r="DC33" s="238" t="n"/>
      <c r="DD33" s="238" t="n"/>
      <c r="DE33" s="238" t="n"/>
      <c r="DF33" s="238" t="n"/>
      <c r="DG33" s="238" t="n"/>
      <c r="DH33" s="238" t="n"/>
      <c r="DI33" s="238" t="n"/>
      <c r="DJ33" s="238" t="n"/>
      <c r="DK33" s="238" t="n"/>
      <c r="DL33" s="238" t="n"/>
      <c r="DM33" s="238" t="n"/>
      <c r="DN33" s="238" t="n"/>
      <c r="DO33" s="238" t="n"/>
      <c r="DP33" s="238" t="n"/>
      <c r="DQ33" s="238" t="n"/>
      <c r="DR33" s="238" t="n"/>
      <c r="DS33" s="238" t="n"/>
      <c r="DT33" s="238" t="n"/>
      <c r="DU33" s="238" t="n"/>
      <c r="DV33" s="238" t="n"/>
      <c r="DW33" s="238" t="n"/>
      <c r="DX33" s="238" t="n"/>
      <c r="DY33" s="238" t="n"/>
      <c r="DZ33" s="23" t="n"/>
      <c r="FQ33" s="212" t="n"/>
      <c r="FR33" s="212" t="n"/>
      <c r="FS33" s="212" t="n"/>
      <c r="FT33" s="212" t="n"/>
      <c r="FU33" s="212" t="n"/>
      <c r="FV33" s="212" t="n"/>
      <c r="FW33" s="212" t="n"/>
      <c r="FX33" s="212" t="n"/>
      <c r="FY33" s="212" t="n"/>
      <c r="FZ33" s="212" t="n"/>
    </row>
    <row r="34" ht="39.95" customFormat="1" customHeight="1" s="5">
      <c r="A34" s="10" t="inlineStr">
        <is>
          <t>A</t>
        </is>
      </c>
      <c r="B34" s="6" t="inlineStr">
        <is>
          <t>POSITION 'C'</t>
        </is>
      </c>
      <c r="C34" s="351" t="inlineStr">
        <is>
          <t>Year</t>
        </is>
      </c>
      <c r="D34" s="588" t="inlineStr">
        <is>
          <t>ND</t>
        </is>
      </c>
      <c r="E34" s="589" t="inlineStr">
        <is>
          <t>ND</t>
        </is>
      </c>
      <c r="F34" s="589" t="inlineStr">
        <is>
          <t>ND</t>
        </is>
      </c>
      <c r="G34" s="589" t="inlineStr">
        <is>
          <t>May 2055</t>
        </is>
      </c>
      <c r="H34" s="590" t="inlineStr">
        <is>
          <t>May 2055</t>
        </is>
      </c>
      <c r="I34" s="591" t="inlineStr">
        <is>
          <t>ND</t>
        </is>
      </c>
      <c r="J34" s="589" t="inlineStr">
        <is>
          <t>ND</t>
        </is>
      </c>
      <c r="K34" s="589" t="inlineStr">
        <is>
          <t>May 2055</t>
        </is>
      </c>
      <c r="L34" s="589" t="inlineStr">
        <is>
          <t>May 2055</t>
        </is>
      </c>
      <c r="M34" s="590" t="inlineStr">
        <is>
          <t>ND</t>
        </is>
      </c>
      <c r="N34" s="591" t="inlineStr">
        <is>
          <t>ND</t>
        </is>
      </c>
      <c r="O34" s="589" t="inlineStr">
        <is>
          <t>May 2055</t>
        </is>
      </c>
      <c r="P34" s="589" t="inlineStr">
        <is>
          <t>May 2055</t>
        </is>
      </c>
      <c r="Q34" s="589" t="inlineStr">
        <is>
          <t>ND</t>
        </is>
      </c>
      <c r="R34" s="590" t="inlineStr">
        <is>
          <t>ND</t>
        </is>
      </c>
      <c r="S34" s="591" t="inlineStr">
        <is>
          <t>ND</t>
        </is>
      </c>
      <c r="T34" s="589" t="inlineStr">
        <is>
          <t>ND</t>
        </is>
      </c>
      <c r="U34" s="589" t="inlineStr">
        <is>
          <t>ND</t>
        </is>
      </c>
      <c r="V34" s="589" t="inlineStr">
        <is>
          <t>ND</t>
        </is>
      </c>
      <c r="W34" s="590" t="inlineStr">
        <is>
          <t>ND</t>
        </is>
      </c>
      <c r="X34" s="591" t="inlineStr">
        <is>
          <t>ND</t>
        </is>
      </c>
      <c r="Y34" s="589" t="inlineStr">
        <is>
          <t>ND</t>
        </is>
      </c>
      <c r="Z34" s="589" t="inlineStr">
        <is>
          <t>ND</t>
        </is>
      </c>
      <c r="AA34" s="589" t="inlineStr">
        <is>
          <t>ND</t>
        </is>
      </c>
      <c r="AB34" s="590" t="inlineStr">
        <is>
          <t>ND</t>
        </is>
      </c>
      <c r="AC34" s="591" t="inlineStr">
        <is>
          <t>ND</t>
        </is>
      </c>
      <c r="AD34" s="589" t="inlineStr">
        <is>
          <t>ND</t>
        </is>
      </c>
      <c r="AE34" s="589" t="inlineStr">
        <is>
          <t>ND</t>
        </is>
      </c>
      <c r="AF34" s="589" t="inlineStr">
        <is>
          <t>ND</t>
        </is>
      </c>
      <c r="AG34" s="590" t="inlineStr">
        <is>
          <t>ND</t>
        </is>
      </c>
      <c r="AH34" s="591" t="inlineStr">
        <is>
          <t>ND</t>
        </is>
      </c>
      <c r="AI34" s="589" t="inlineStr">
        <is>
          <t>May 2055</t>
        </is>
      </c>
      <c r="AJ34" s="589" t="inlineStr">
        <is>
          <t>May 2055</t>
        </is>
      </c>
      <c r="AK34" s="589" t="inlineStr">
        <is>
          <t>May 2055</t>
        </is>
      </c>
      <c r="AL34" s="590" t="inlineStr">
        <is>
          <t>May 2055</t>
        </is>
      </c>
      <c r="AM34" s="591" t="inlineStr">
        <is>
          <t>Mar 2048</t>
        </is>
      </c>
      <c r="AN34" s="589" t="inlineStr">
        <is>
          <t>Jan 2048</t>
        </is>
      </c>
      <c r="AO34" s="589" t="inlineStr">
        <is>
          <t>ND</t>
        </is>
      </c>
      <c r="AP34" s="589" t="inlineStr">
        <is>
          <t>ND</t>
        </is>
      </c>
      <c r="AQ34" s="590" t="inlineStr">
        <is>
          <t>ND</t>
        </is>
      </c>
      <c r="AR34" s="591" t="inlineStr">
        <is>
          <t>ND</t>
        </is>
      </c>
      <c r="AS34" s="589" t="inlineStr">
        <is>
          <t>ND</t>
        </is>
      </c>
      <c r="AT34" s="589" t="inlineStr">
        <is>
          <t>ND</t>
        </is>
      </c>
      <c r="AU34" s="589" t="inlineStr">
        <is>
          <t>ND</t>
        </is>
      </c>
      <c r="AV34" s="590" t="inlineStr">
        <is>
          <t>ND</t>
        </is>
      </c>
      <c r="AW34" s="591" t="inlineStr">
        <is>
          <t>ND</t>
        </is>
      </c>
      <c r="AX34" s="589" t="inlineStr">
        <is>
          <t>ND</t>
        </is>
      </c>
      <c r="AY34" s="589" t="inlineStr">
        <is>
          <t>ND</t>
        </is>
      </c>
      <c r="AZ34" s="589" t="inlineStr">
        <is>
          <t>ND</t>
        </is>
      </c>
      <c r="BA34" s="590" t="inlineStr">
        <is>
          <t>ND</t>
        </is>
      </c>
      <c r="BB34" s="591" t="inlineStr">
        <is>
          <t>ND</t>
        </is>
      </c>
      <c r="BC34" s="589" t="inlineStr">
        <is>
          <t>ND</t>
        </is>
      </c>
      <c r="BD34" s="589" t="inlineStr">
        <is>
          <t>ND</t>
        </is>
      </c>
      <c r="BE34" s="589" t="inlineStr">
        <is>
          <t>ND</t>
        </is>
      </c>
      <c r="BF34" s="590" t="inlineStr">
        <is>
          <t>ND</t>
        </is>
      </c>
      <c r="BG34" s="591" t="inlineStr">
        <is>
          <t>ND</t>
        </is>
      </c>
      <c r="BH34" s="589" t="inlineStr">
        <is>
          <t>ND</t>
        </is>
      </c>
      <c r="BI34" s="589" t="inlineStr">
        <is>
          <t>ND</t>
        </is>
      </c>
      <c r="BJ34" s="589" t="inlineStr">
        <is>
          <t>ND</t>
        </is>
      </c>
      <c r="BK34" s="590" t="inlineStr">
        <is>
          <t>ND</t>
        </is>
      </c>
      <c r="BL34" s="591" t="inlineStr">
        <is>
          <t>ND</t>
        </is>
      </c>
      <c r="BM34" s="589" t="inlineStr">
        <is>
          <t>ND</t>
        </is>
      </c>
      <c r="BN34" s="589" t="inlineStr">
        <is>
          <t>ND</t>
        </is>
      </c>
      <c r="BO34" s="589" t="inlineStr">
        <is>
          <t>ND</t>
        </is>
      </c>
      <c r="BP34" s="590" t="inlineStr">
        <is>
          <t>ND</t>
        </is>
      </c>
      <c r="BQ34" s="591" t="inlineStr">
        <is>
          <t>ND</t>
        </is>
      </c>
      <c r="BR34" s="589" t="inlineStr">
        <is>
          <t>ND</t>
        </is>
      </c>
      <c r="BS34" s="589" t="inlineStr">
        <is>
          <t>ND</t>
        </is>
      </c>
      <c r="BT34" s="590" t="inlineStr">
        <is>
          <t>ND</t>
        </is>
      </c>
      <c r="BU34" s="437" t="n"/>
      <c r="BV34" s="437" t="n"/>
      <c r="BW34" s="238" t="n"/>
      <c r="BX34" s="238" t="n"/>
      <c r="BY34" s="238" t="n"/>
      <c r="BZ34" s="238" t="n"/>
      <c r="CA34" s="238" t="n"/>
      <c r="CB34" s="238" t="n"/>
      <c r="CC34" s="238" t="n"/>
      <c r="CD34" s="238" t="n"/>
      <c r="CE34" s="238" t="n"/>
      <c r="CF34" s="238" t="n"/>
      <c r="CG34" s="238" t="n"/>
      <c r="CH34" s="238" t="n"/>
      <c r="CI34" s="238" t="n"/>
      <c r="CJ34" s="238" t="n"/>
      <c r="CK34" s="238" t="n"/>
      <c r="CL34" s="238" t="n"/>
      <c r="CM34" s="238" t="n"/>
      <c r="CN34" s="238" t="n"/>
      <c r="CO34" s="238" t="n"/>
      <c r="CP34" s="238" t="n"/>
      <c r="CQ34" s="238" t="n"/>
      <c r="CR34" s="238" t="n"/>
      <c r="CS34" s="238" t="n"/>
      <c r="CT34" s="238" t="n"/>
      <c r="CU34" s="238" t="n"/>
      <c r="CV34" s="238" t="n"/>
      <c r="CW34" s="238" t="n"/>
      <c r="CX34" s="238" t="n"/>
      <c r="CY34" s="238" t="n"/>
      <c r="CZ34" s="238" t="n"/>
      <c r="DA34" s="238" t="n"/>
      <c r="DB34" s="238" t="n"/>
      <c r="DC34" s="238" t="n"/>
      <c r="DD34" s="238" t="n"/>
      <c r="DE34" s="238" t="n"/>
      <c r="DF34" s="238" t="n"/>
      <c r="DG34" s="238" t="n"/>
      <c r="DH34" s="238" t="n"/>
      <c r="DI34" s="238" t="n"/>
      <c r="DJ34" s="238" t="n"/>
      <c r="DK34" s="238" t="n"/>
      <c r="DL34" s="238" t="n"/>
      <c r="DM34" s="238" t="n"/>
      <c r="DN34" s="238" t="n"/>
      <c r="DO34" s="238" t="n"/>
      <c r="DP34" s="238" t="n"/>
      <c r="DQ34" s="238" t="n"/>
      <c r="DR34" s="238" t="n"/>
      <c r="DS34" s="238" t="n"/>
      <c r="DT34" s="238" t="n"/>
      <c r="DU34" s="238" t="n"/>
      <c r="DV34" s="238" t="n"/>
      <c r="DW34" s="238" t="n"/>
      <c r="DX34" s="238" t="n"/>
      <c r="DY34" s="238" t="n"/>
      <c r="DZ34" s="23" t="n"/>
      <c r="FQ34" s="212" t="n"/>
      <c r="FR34" s="212" t="n"/>
      <c r="FS34" s="212" t="n"/>
      <c r="FT34" s="212" t="n"/>
      <c r="FU34" s="212" t="n"/>
      <c r="FV34" s="212" t="n"/>
      <c r="FW34" s="212" t="n"/>
      <c r="FX34" s="212" t="n"/>
      <c r="FY34" s="212" t="n"/>
      <c r="FZ34" s="212" t="n"/>
    </row>
    <row r="35" ht="39.95" customFormat="1" customHeight="1" s="5">
      <c r="A35" s="182" t="inlineStr"/>
      <c r="B35" s="7" t="inlineStr">
        <is>
          <t>OF THE MANWAY</t>
        </is>
      </c>
      <c r="C35" s="456" t="n"/>
      <c r="D35" s="13" t="n"/>
      <c r="H35" s="592" t="n"/>
      <c r="I35" s="593" t="n"/>
      <c r="M35" s="592" t="n"/>
      <c r="N35" s="593" t="n"/>
      <c r="R35" s="592" t="n"/>
      <c r="S35" s="593" t="n"/>
      <c r="W35" s="592" t="n"/>
      <c r="X35" s="593" t="n"/>
      <c r="AB35" s="592" t="n"/>
      <c r="AC35" s="593" t="n"/>
      <c r="AG35" s="592" t="n"/>
      <c r="AH35" s="593" t="n"/>
      <c r="AL35" s="592" t="n"/>
      <c r="AM35" s="593" t="n"/>
      <c r="AQ35" s="592" t="n"/>
      <c r="AR35" s="593" t="n"/>
      <c r="AV35" s="592" t="n"/>
      <c r="AW35" s="593" t="n"/>
      <c r="BA35" s="592" t="n"/>
      <c r="BB35" s="593" t="n"/>
      <c r="BF35" s="592" t="n"/>
      <c r="BG35" s="593" t="n"/>
      <c r="BK35" s="592" t="n"/>
      <c r="BL35" s="593" t="n"/>
      <c r="BP35" s="592" t="n"/>
      <c r="BQ35" s="593" t="n"/>
      <c r="BT35" s="592" t="n"/>
      <c r="BU35" s="437" t="n"/>
      <c r="BV35" s="437" t="n"/>
      <c r="BW35" s="238" t="n"/>
      <c r="BX35" s="238" t="n"/>
      <c r="BY35" s="238" t="n"/>
      <c r="BZ35" s="238" t="n"/>
      <c r="CA35" s="238" t="n"/>
      <c r="CB35" s="238" t="n"/>
      <c r="CC35" s="238" t="n"/>
      <c r="CD35" s="238" t="n"/>
      <c r="CE35" s="238" t="n"/>
      <c r="CF35" s="238" t="n"/>
      <c r="CG35" s="238" t="n"/>
      <c r="CH35" s="238" t="n"/>
      <c r="CI35" s="238" t="n"/>
      <c r="CJ35" s="238" t="n"/>
      <c r="CK35" s="238" t="n"/>
      <c r="CL35" s="238" t="n"/>
      <c r="CM35" s="238" t="n"/>
      <c r="CN35" s="238" t="n"/>
      <c r="CO35" s="238" t="n"/>
      <c r="CP35" s="238" t="n"/>
      <c r="CQ35" s="238" t="n"/>
      <c r="CR35" s="238" t="n"/>
      <c r="CS35" s="238" t="n"/>
      <c r="CT35" s="238" t="n"/>
      <c r="CU35" s="238" t="n"/>
      <c r="CV35" s="238" t="n"/>
      <c r="CW35" s="238" t="n"/>
      <c r="CX35" s="238" t="n"/>
      <c r="CY35" s="238" t="n"/>
      <c r="CZ35" s="238" t="n"/>
      <c r="DA35" s="238" t="n"/>
      <c r="DB35" s="238" t="n"/>
      <c r="DC35" s="238" t="n"/>
      <c r="DD35" s="238" t="n"/>
      <c r="DE35" s="238" t="n"/>
      <c r="DF35" s="238" t="n"/>
      <c r="DG35" s="238" t="n"/>
      <c r="DH35" s="238" t="n"/>
      <c r="DI35" s="238" t="n"/>
      <c r="DJ35" s="238" t="n"/>
      <c r="DK35" s="238" t="n"/>
      <c r="DL35" s="238" t="n"/>
      <c r="DM35" s="238" t="n"/>
      <c r="DN35" s="238" t="n"/>
      <c r="DO35" s="238" t="n"/>
      <c r="DP35" s="238" t="n"/>
      <c r="DQ35" s="238" t="n"/>
      <c r="DR35" s="238" t="n"/>
      <c r="DS35" s="238" t="n"/>
      <c r="DT35" s="238" t="n"/>
      <c r="DU35" s="238" t="n"/>
      <c r="DV35" s="238" t="n"/>
      <c r="DW35" s="238" t="n"/>
      <c r="DX35" s="238" t="n"/>
      <c r="DY35" s="238" t="n"/>
      <c r="DZ35" s="23" t="n"/>
      <c r="FQ35" s="212" t="n"/>
      <c r="FR35" s="212" t="n"/>
      <c r="FS35" s="212" t="n"/>
      <c r="FT35" s="212" t="n"/>
      <c r="FU35" s="212" t="n"/>
      <c r="FV35" s="212" t="n"/>
      <c r="FW35" s="212" t="n"/>
      <c r="FX35" s="212" t="n"/>
      <c r="FY35" s="212" t="n"/>
      <c r="FZ35" s="212" t="n"/>
    </row>
    <row r="36" ht="39.95" customFormat="1" customHeight="1" s="5">
      <c r="A36" s="456" t="n"/>
      <c r="B36" s="8" t="inlineStr">
        <is>
          <t>&amp; OSCILLATOR</t>
        </is>
      </c>
      <c r="C36" s="456" t="n"/>
      <c r="D36" s="594" t="n"/>
      <c r="E36" s="595" t="n"/>
      <c r="F36" s="595" t="n"/>
      <c r="G36" s="595" t="n"/>
      <c r="H36" s="596" t="n"/>
      <c r="I36" s="597" t="n"/>
      <c r="J36" s="595" t="n"/>
      <c r="K36" s="595" t="n"/>
      <c r="L36" s="595" t="n"/>
      <c r="M36" s="596" t="n"/>
      <c r="N36" s="597" t="n"/>
      <c r="O36" s="595" t="n"/>
      <c r="P36" s="595" t="n"/>
      <c r="Q36" s="595" t="n"/>
      <c r="R36" s="596" t="n"/>
      <c r="S36" s="597" t="n"/>
      <c r="T36" s="595" t="n"/>
      <c r="U36" s="595" t="n"/>
      <c r="V36" s="595" t="n"/>
      <c r="W36" s="596" t="n"/>
      <c r="X36" s="597" t="n"/>
      <c r="Y36" s="595" t="n"/>
      <c r="Z36" s="595" t="n"/>
      <c r="AA36" s="595" t="n"/>
      <c r="AB36" s="596" t="n"/>
      <c r="AC36" s="597" t="n"/>
      <c r="AD36" s="595" t="n"/>
      <c r="AE36" s="595" t="n"/>
      <c r="AF36" s="595" t="n"/>
      <c r="AG36" s="596" t="n"/>
      <c r="AH36" s="597" t="n"/>
      <c r="AI36" s="595" t="n"/>
      <c r="AJ36" s="595" t="n"/>
      <c r="AK36" s="595" t="n"/>
      <c r="AL36" s="596" t="n"/>
      <c r="AM36" s="597" t="n"/>
      <c r="AN36" s="595" t="n"/>
      <c r="AO36" s="595" t="n"/>
      <c r="AP36" s="595" t="n"/>
      <c r="AQ36" s="596" t="n"/>
      <c r="AR36" s="597" t="n"/>
      <c r="AS36" s="595" t="n"/>
      <c r="AT36" s="595" t="n"/>
      <c r="AU36" s="595" t="n"/>
      <c r="AV36" s="596" t="n"/>
      <c r="AW36" s="597" t="n"/>
      <c r="AX36" s="595" t="n"/>
      <c r="AY36" s="595" t="n"/>
      <c r="AZ36" s="595" t="n"/>
      <c r="BA36" s="596" t="n"/>
      <c r="BB36" s="597" t="n"/>
      <c r="BC36" s="595" t="n"/>
      <c r="BD36" s="595" t="n"/>
      <c r="BE36" s="595" t="n"/>
      <c r="BF36" s="596" t="n"/>
      <c r="BG36" s="597" t="n"/>
      <c r="BH36" s="595" t="n"/>
      <c r="BI36" s="595" t="n"/>
      <c r="BJ36" s="595" t="n"/>
      <c r="BK36" s="596" t="n"/>
      <c r="BL36" s="597" t="n"/>
      <c r="BM36" s="595" t="n"/>
      <c r="BN36" s="595" t="n"/>
      <c r="BO36" s="595" t="n"/>
      <c r="BP36" s="596" t="n"/>
      <c r="BQ36" s="597" t="n"/>
      <c r="BR36" s="595" t="n"/>
      <c r="BS36" s="595" t="n"/>
      <c r="BT36" s="596" t="n"/>
      <c r="BU36" s="437" t="n"/>
      <c r="BV36" s="437" t="n"/>
      <c r="BW36" s="238" t="n"/>
      <c r="BX36" s="238" t="n"/>
      <c r="BY36" s="238" t="n"/>
      <c r="BZ36" s="238" t="n"/>
      <c r="CA36" s="238" t="n"/>
      <c r="CB36" s="238" t="n"/>
      <c r="CC36" s="238" t="n"/>
      <c r="CD36" s="238" t="n"/>
      <c r="CE36" s="238" t="n"/>
      <c r="CF36" s="238" t="n"/>
      <c r="CG36" s="238" t="n"/>
      <c r="CH36" s="238" t="n"/>
      <c r="CI36" s="238" t="n"/>
      <c r="CJ36" s="238" t="n"/>
      <c r="CK36" s="238" t="n"/>
      <c r="CL36" s="238" t="n"/>
      <c r="CM36" s="238" t="n"/>
      <c r="CN36" s="238" t="n"/>
      <c r="CO36" s="238" t="n"/>
      <c r="CP36" s="238" t="n"/>
      <c r="CQ36" s="238" t="n"/>
      <c r="CR36" s="238" t="n"/>
      <c r="CS36" s="238" t="n"/>
      <c r="CT36" s="238" t="n"/>
      <c r="CU36" s="238" t="n"/>
      <c r="CV36" s="238" t="n"/>
      <c r="CW36" s="238" t="n"/>
      <c r="CX36" s="238" t="n"/>
      <c r="CY36" s="238" t="n"/>
      <c r="CZ36" s="238" t="n"/>
      <c r="DA36" s="238" t="n"/>
      <c r="DB36" s="238" t="n"/>
      <c r="DC36" s="238" t="n"/>
      <c r="DD36" s="238" t="n"/>
      <c r="DE36" s="238" t="n"/>
      <c r="DF36" s="238" t="n"/>
      <c r="DG36" s="238" t="n"/>
      <c r="DH36" s="238" t="n"/>
      <c r="DI36" s="238" t="n"/>
      <c r="DJ36" s="238" t="n"/>
      <c r="DK36" s="238" t="n"/>
      <c r="DL36" s="238" t="n"/>
      <c r="DM36" s="238" t="n"/>
      <c r="DN36" s="238" t="n"/>
      <c r="DO36" s="238" t="n"/>
      <c r="DP36" s="238" t="n"/>
      <c r="DQ36" s="238" t="n"/>
      <c r="DR36" s="238" t="n"/>
      <c r="DS36" s="238" t="n"/>
      <c r="DT36" s="238" t="n"/>
      <c r="DU36" s="238" t="n"/>
      <c r="DV36" s="238" t="n"/>
      <c r="DW36" s="238" t="n"/>
      <c r="DX36" s="238" t="n"/>
      <c r="DY36" s="238" t="n"/>
      <c r="DZ36" s="23" t="n"/>
      <c r="FQ36" s="212" t="n"/>
      <c r="FR36" s="212" t="n"/>
      <c r="FS36" s="212" t="n"/>
      <c r="FT36" s="212" t="n"/>
      <c r="FU36" s="212" t="n"/>
      <c r="FV36" s="212" t="n"/>
      <c r="FW36" s="212" t="n"/>
      <c r="FX36" s="212" t="n"/>
      <c r="FY36" s="212" t="n"/>
      <c r="FZ36" s="212" t="n"/>
    </row>
    <row r="37" ht="39.95" customFormat="1" customHeight="1" s="5">
      <c r="A37" s="10" t="inlineStr">
        <is>
          <t>A</t>
        </is>
      </c>
      <c r="B37" s="6" t="inlineStr">
        <is>
          <t>POSITION 'D'</t>
        </is>
      </c>
      <c r="C37" s="351" t="inlineStr">
        <is>
          <t>Year</t>
        </is>
      </c>
      <c r="D37" s="588" t="inlineStr">
        <is>
          <t>ND</t>
        </is>
      </c>
      <c r="E37" s="589" t="inlineStr">
        <is>
          <t>ND</t>
        </is>
      </c>
      <c r="F37" s="589" t="inlineStr">
        <is>
          <t>ND</t>
        </is>
      </c>
      <c r="G37" s="589" t="inlineStr">
        <is>
          <t>May 2055</t>
        </is>
      </c>
      <c r="H37" s="590" t="inlineStr">
        <is>
          <t>May 2055</t>
        </is>
      </c>
      <c r="I37" s="591" t="inlineStr">
        <is>
          <t>ND</t>
        </is>
      </c>
      <c r="J37" s="589" t="inlineStr">
        <is>
          <t>ND</t>
        </is>
      </c>
      <c r="K37" s="589" t="inlineStr">
        <is>
          <t>May 2041</t>
        </is>
      </c>
      <c r="L37" s="589" t="inlineStr">
        <is>
          <t>May 2055</t>
        </is>
      </c>
      <c r="M37" s="590" t="inlineStr">
        <is>
          <t>May 2055</t>
        </is>
      </c>
      <c r="N37" s="591" t="inlineStr">
        <is>
          <t>ND</t>
        </is>
      </c>
      <c r="O37" s="589" t="inlineStr">
        <is>
          <t>Jun 2046</t>
        </is>
      </c>
      <c r="P37" s="589" t="inlineStr">
        <is>
          <t>Jun 2048</t>
        </is>
      </c>
      <c r="Q37" s="589" t="inlineStr">
        <is>
          <t>ND</t>
        </is>
      </c>
      <c r="R37" s="590" t="inlineStr">
        <is>
          <t>ND</t>
        </is>
      </c>
      <c r="S37" s="591" t="inlineStr">
        <is>
          <t>ND</t>
        </is>
      </c>
      <c r="T37" s="589" t="inlineStr">
        <is>
          <t>ND</t>
        </is>
      </c>
      <c r="U37" s="589" t="inlineStr">
        <is>
          <t>ND</t>
        </is>
      </c>
      <c r="V37" s="589" t="inlineStr">
        <is>
          <t>ND</t>
        </is>
      </c>
      <c r="W37" s="590" t="inlineStr">
        <is>
          <t>ND</t>
        </is>
      </c>
      <c r="X37" s="591" t="inlineStr">
        <is>
          <t>ND</t>
        </is>
      </c>
      <c r="Y37" s="589" t="inlineStr">
        <is>
          <t>ND</t>
        </is>
      </c>
      <c r="Z37" s="589" t="inlineStr">
        <is>
          <t>ND</t>
        </is>
      </c>
      <c r="AA37" s="589" t="inlineStr">
        <is>
          <t>ND</t>
        </is>
      </c>
      <c r="AB37" s="590" t="inlineStr">
        <is>
          <t>ND</t>
        </is>
      </c>
      <c r="AC37" s="591" t="inlineStr">
        <is>
          <t>ND</t>
        </is>
      </c>
      <c r="AD37" s="589" t="inlineStr">
        <is>
          <t>ND</t>
        </is>
      </c>
      <c r="AE37" s="589" t="inlineStr">
        <is>
          <t>ND</t>
        </is>
      </c>
      <c r="AF37" s="589" t="inlineStr">
        <is>
          <t>ND</t>
        </is>
      </c>
      <c r="AG37" s="590" t="inlineStr">
        <is>
          <t>ND</t>
        </is>
      </c>
      <c r="AH37" s="591" t="inlineStr">
        <is>
          <t>ND</t>
        </is>
      </c>
      <c r="AI37" s="589" t="inlineStr">
        <is>
          <t>May 2055</t>
        </is>
      </c>
      <c r="AJ37" s="589" t="inlineStr">
        <is>
          <t>May 2055</t>
        </is>
      </c>
      <c r="AK37" s="589" t="inlineStr">
        <is>
          <t>May 2055</t>
        </is>
      </c>
      <c r="AL37" s="590" t="inlineStr">
        <is>
          <t>Oct 2052</t>
        </is>
      </c>
      <c r="AM37" s="591" t="inlineStr">
        <is>
          <t>Sep 2038</t>
        </is>
      </c>
      <c r="AN37" s="600" t="inlineStr">
        <is>
          <t>Apr 2030</t>
        </is>
      </c>
      <c r="AO37" s="589" t="inlineStr">
        <is>
          <t>ND</t>
        </is>
      </c>
      <c r="AP37" s="589" t="inlineStr">
        <is>
          <t>ND</t>
        </is>
      </c>
      <c r="AQ37" s="590" t="inlineStr">
        <is>
          <t>ND</t>
        </is>
      </c>
      <c r="AR37" s="591" t="inlineStr">
        <is>
          <t>ND</t>
        </is>
      </c>
      <c r="AS37" s="589" t="inlineStr">
        <is>
          <t>ND</t>
        </is>
      </c>
      <c r="AT37" s="589" t="inlineStr">
        <is>
          <t>ND</t>
        </is>
      </c>
      <c r="AU37" s="589" t="inlineStr">
        <is>
          <t>ND</t>
        </is>
      </c>
      <c r="AV37" s="590" t="inlineStr">
        <is>
          <t>ND</t>
        </is>
      </c>
      <c r="AW37" s="591" t="inlineStr">
        <is>
          <t>ND</t>
        </is>
      </c>
      <c r="AX37" s="589" t="inlineStr">
        <is>
          <t>ND</t>
        </is>
      </c>
      <c r="AY37" s="589" t="inlineStr">
        <is>
          <t>ND</t>
        </is>
      </c>
      <c r="AZ37" s="589" t="inlineStr">
        <is>
          <t>ND</t>
        </is>
      </c>
      <c r="BA37" s="590" t="inlineStr">
        <is>
          <t>ND</t>
        </is>
      </c>
      <c r="BB37" s="591" t="inlineStr">
        <is>
          <t>ND</t>
        </is>
      </c>
      <c r="BC37" s="589" t="inlineStr">
        <is>
          <t>ND</t>
        </is>
      </c>
      <c r="BD37" s="589" t="inlineStr">
        <is>
          <t>ND</t>
        </is>
      </c>
      <c r="BE37" s="589" t="inlineStr">
        <is>
          <t>ND</t>
        </is>
      </c>
      <c r="BF37" s="590" t="inlineStr">
        <is>
          <t>ND</t>
        </is>
      </c>
      <c r="BG37" s="591" t="inlineStr">
        <is>
          <t>ND</t>
        </is>
      </c>
      <c r="BH37" s="589" t="inlineStr">
        <is>
          <t>ND</t>
        </is>
      </c>
      <c r="BI37" s="589" t="inlineStr">
        <is>
          <t>ND</t>
        </is>
      </c>
      <c r="BJ37" s="589" t="inlineStr">
        <is>
          <t>ND</t>
        </is>
      </c>
      <c r="BK37" s="590" t="inlineStr">
        <is>
          <t>ND</t>
        </is>
      </c>
      <c r="BL37" s="591" t="inlineStr">
        <is>
          <t>ND</t>
        </is>
      </c>
      <c r="BM37" s="589" t="inlineStr">
        <is>
          <t>ND</t>
        </is>
      </c>
      <c r="BN37" s="589" t="inlineStr">
        <is>
          <t>ND</t>
        </is>
      </c>
      <c r="BO37" s="589" t="inlineStr">
        <is>
          <t>ND</t>
        </is>
      </c>
      <c r="BP37" s="590" t="inlineStr">
        <is>
          <t>ND</t>
        </is>
      </c>
      <c r="BQ37" s="591" t="inlineStr">
        <is>
          <t>ND</t>
        </is>
      </c>
      <c r="BR37" s="589" t="inlineStr">
        <is>
          <t>ND</t>
        </is>
      </c>
      <c r="BS37" s="589" t="inlineStr">
        <is>
          <t>ND</t>
        </is>
      </c>
      <c r="BT37" s="590" t="inlineStr">
        <is>
          <t>ND</t>
        </is>
      </c>
      <c r="BU37" s="437" t="n"/>
      <c r="BV37" s="437" t="n"/>
      <c r="BW37" s="238" t="n"/>
      <c r="BX37" s="238" t="n"/>
      <c r="BY37" s="238" t="n"/>
      <c r="BZ37" s="238" t="n"/>
      <c r="CA37" s="238" t="n"/>
      <c r="CB37" s="238" t="n"/>
      <c r="CC37" s="238" t="n"/>
      <c r="CD37" s="238" t="n"/>
      <c r="CE37" s="238" t="n"/>
      <c r="CF37" s="238" t="n"/>
      <c r="CG37" s="238" t="n"/>
      <c r="CH37" s="238" t="n"/>
      <c r="CI37" s="238" t="n"/>
      <c r="CJ37" s="238" t="n"/>
      <c r="CK37" s="238" t="n"/>
      <c r="CL37" s="238" t="n"/>
      <c r="CM37" s="238" t="n"/>
      <c r="CN37" s="238" t="n"/>
      <c r="CO37" s="238" t="n"/>
      <c r="CP37" s="238" t="n"/>
      <c r="CQ37" s="238" t="n"/>
      <c r="CR37" s="238" t="n"/>
      <c r="CS37" s="238" t="n"/>
      <c r="CT37" s="238" t="n"/>
      <c r="CU37" s="238" t="n"/>
      <c r="CV37" s="238" t="n"/>
      <c r="CW37" s="238" t="n"/>
      <c r="CX37" s="238" t="n"/>
      <c r="CY37" s="238" t="n"/>
      <c r="CZ37" s="238" t="n"/>
      <c r="DA37" s="238" t="n"/>
      <c r="DB37" s="238" t="n"/>
      <c r="DC37" s="238" t="n"/>
      <c r="DD37" s="238" t="n"/>
      <c r="DE37" s="238" t="n"/>
      <c r="DF37" s="238" t="n"/>
      <c r="DG37" s="238" t="n"/>
      <c r="DH37" s="238" t="n"/>
      <c r="DI37" s="238" t="n"/>
      <c r="DJ37" s="238" t="n"/>
      <c r="DK37" s="238" t="n"/>
      <c r="DL37" s="238" t="n"/>
      <c r="DM37" s="238" t="n"/>
      <c r="DN37" s="238" t="n"/>
      <c r="DO37" s="238" t="n"/>
      <c r="DP37" s="238" t="n"/>
      <c r="DQ37" s="238" t="n"/>
      <c r="DR37" s="238" t="n"/>
      <c r="DS37" s="238" t="n"/>
      <c r="DT37" s="238" t="n"/>
      <c r="DU37" s="238" t="n"/>
      <c r="DV37" s="238" t="n"/>
      <c r="DW37" s="238" t="n"/>
      <c r="DX37" s="238" t="n"/>
      <c r="DY37" s="238" t="n"/>
      <c r="DZ37" s="23" t="n"/>
      <c r="FQ37" s="212" t="n"/>
      <c r="FR37" s="212" t="n"/>
      <c r="FS37" s="212" t="n"/>
      <c r="FT37" s="212" t="n"/>
      <c r="FU37" s="212" t="n"/>
      <c r="FV37" s="212" t="n"/>
      <c r="FW37" s="212" t="n"/>
      <c r="FX37" s="212" t="n"/>
      <c r="FY37" s="212" t="n"/>
      <c r="FZ37" s="212" t="n"/>
    </row>
    <row r="38" ht="39.95" customFormat="1" customHeight="1" s="5">
      <c r="A38" s="182" t="inlineStr"/>
      <c r="B38" s="7" t="inlineStr">
        <is>
          <t>OF THE MANWAY</t>
        </is>
      </c>
      <c r="C38" s="456" t="n"/>
      <c r="D38" s="13" t="n"/>
      <c r="H38" s="592" t="n"/>
      <c r="I38" s="593" t="n"/>
      <c r="M38" s="592" t="n"/>
      <c r="N38" s="593" t="n"/>
      <c r="R38" s="592" t="n"/>
      <c r="S38" s="593" t="n"/>
      <c r="W38" s="592" t="n"/>
      <c r="X38" s="593" t="n"/>
      <c r="AB38" s="592" t="n"/>
      <c r="AC38" s="593" t="n"/>
      <c r="AG38" s="592" t="n"/>
      <c r="AH38" s="593" t="n"/>
      <c r="AL38" s="592" t="n"/>
      <c r="AM38" s="593" t="n"/>
      <c r="AQ38" s="592" t="n"/>
      <c r="AR38" s="593" t="n"/>
      <c r="AV38" s="592" t="n"/>
      <c r="AW38" s="593" t="n"/>
      <c r="BA38" s="592" t="n"/>
      <c r="BB38" s="593" t="n"/>
      <c r="BF38" s="592" t="n"/>
      <c r="BG38" s="593" t="n"/>
      <c r="BK38" s="592" t="n"/>
      <c r="BL38" s="593" t="n"/>
      <c r="BP38" s="592" t="n"/>
      <c r="BQ38" s="593" t="n"/>
      <c r="BT38" s="592" t="n"/>
      <c r="BU38" s="437" t="n"/>
      <c r="BV38" s="437" t="n"/>
      <c r="BW38" s="238" t="n"/>
      <c r="BX38" s="238" t="n"/>
      <c r="BY38" s="238" t="n"/>
      <c r="BZ38" s="238" t="n"/>
      <c r="CA38" s="238" t="n"/>
      <c r="CB38" s="238" t="n"/>
      <c r="CC38" s="238" t="n"/>
      <c r="CD38" s="238" t="n"/>
      <c r="CE38" s="238" t="n"/>
      <c r="CF38" s="238" t="n"/>
      <c r="CG38" s="238" t="n"/>
      <c r="CH38" s="238" t="n"/>
      <c r="CI38" s="238" t="n"/>
      <c r="CJ38" s="238" t="n"/>
      <c r="CK38" s="238" t="n"/>
      <c r="CL38" s="238" t="n"/>
      <c r="CM38" s="238" t="n"/>
      <c r="CN38" s="238" t="n"/>
      <c r="CO38" s="238" t="n"/>
      <c r="CP38" s="238" t="n"/>
      <c r="CQ38" s="238" t="n"/>
      <c r="CR38" s="238" t="n"/>
      <c r="CS38" s="238" t="n"/>
      <c r="CT38" s="238" t="n"/>
      <c r="CU38" s="238" t="n"/>
      <c r="CV38" s="238" t="n"/>
      <c r="CW38" s="238" t="n"/>
      <c r="CX38" s="238" t="n"/>
      <c r="CY38" s="238" t="n"/>
      <c r="CZ38" s="238" t="n"/>
      <c r="DA38" s="238" t="n"/>
      <c r="DB38" s="238" t="n"/>
      <c r="DC38" s="238" t="n"/>
      <c r="DD38" s="238" t="n"/>
      <c r="DE38" s="238" t="n"/>
      <c r="DF38" s="238" t="n"/>
      <c r="DG38" s="238" t="n"/>
      <c r="DH38" s="238" t="n"/>
      <c r="DI38" s="238" t="n"/>
      <c r="DJ38" s="238" t="n"/>
      <c r="DK38" s="238" t="n"/>
      <c r="DL38" s="238" t="n"/>
      <c r="DM38" s="238" t="n"/>
      <c r="DN38" s="238" t="n"/>
      <c r="DO38" s="238" t="n"/>
      <c r="DP38" s="238" t="n"/>
      <c r="DQ38" s="238" t="n"/>
      <c r="DR38" s="238" t="n"/>
      <c r="DS38" s="238" t="n"/>
      <c r="DT38" s="238" t="n"/>
      <c r="DU38" s="238" t="n"/>
      <c r="DV38" s="238" t="n"/>
      <c r="DW38" s="238" t="n"/>
      <c r="DX38" s="238" t="n"/>
      <c r="DY38" s="238" t="n"/>
      <c r="DZ38" s="23" t="n"/>
      <c r="FQ38" s="212" t="n"/>
      <c r="FR38" s="212" t="n"/>
      <c r="FS38" s="212" t="n"/>
      <c r="FT38" s="212" t="n"/>
      <c r="FU38" s="212" t="n"/>
      <c r="FV38" s="212" t="n"/>
      <c r="FW38" s="212" t="n"/>
      <c r="FX38" s="212" t="n"/>
      <c r="FY38" s="212" t="n"/>
      <c r="FZ38" s="212" t="n"/>
    </row>
    <row r="39" ht="39.95" customFormat="1" customHeight="1" s="5">
      <c r="A39" s="456" t="n"/>
      <c r="B39" s="8" t="inlineStr">
        <is>
          <t>&amp; OSCILLATOR</t>
        </is>
      </c>
      <c r="C39" s="456" t="n"/>
      <c r="D39" s="594" t="n"/>
      <c r="E39" s="595" t="n"/>
      <c r="F39" s="595" t="n"/>
      <c r="G39" s="595" t="n"/>
      <c r="H39" s="596" t="n"/>
      <c r="I39" s="597" t="n"/>
      <c r="J39" s="595" t="n"/>
      <c r="K39" s="595" t="n"/>
      <c r="L39" s="595" t="n"/>
      <c r="M39" s="596" t="n"/>
      <c r="N39" s="597" t="n"/>
      <c r="O39" s="595" t="n"/>
      <c r="P39" s="595" t="n"/>
      <c r="Q39" s="595" t="n"/>
      <c r="R39" s="596" t="n"/>
      <c r="S39" s="597" t="n"/>
      <c r="T39" s="595" t="n"/>
      <c r="U39" s="595" t="n"/>
      <c r="V39" s="595" t="n"/>
      <c r="W39" s="596" t="n"/>
      <c r="X39" s="597" t="n"/>
      <c r="Y39" s="595" t="n"/>
      <c r="Z39" s="595" t="n"/>
      <c r="AA39" s="595" t="n"/>
      <c r="AB39" s="596" t="n"/>
      <c r="AC39" s="597" t="n"/>
      <c r="AD39" s="595" t="n"/>
      <c r="AE39" s="595" t="n"/>
      <c r="AF39" s="595" t="n"/>
      <c r="AG39" s="596" t="n"/>
      <c r="AH39" s="597" t="n"/>
      <c r="AI39" s="595" t="n"/>
      <c r="AJ39" s="595" t="n"/>
      <c r="AK39" s="595" t="n"/>
      <c r="AL39" s="596" t="n"/>
      <c r="AM39" s="597" t="n"/>
      <c r="AN39" s="595" t="n"/>
      <c r="AO39" s="595" t="n"/>
      <c r="AP39" s="595" t="n"/>
      <c r="AQ39" s="596" t="n"/>
      <c r="AR39" s="597" t="n"/>
      <c r="AS39" s="595" t="n"/>
      <c r="AT39" s="595" t="n"/>
      <c r="AU39" s="595" t="n"/>
      <c r="AV39" s="596" t="n"/>
      <c r="AW39" s="597" t="n"/>
      <c r="AX39" s="595" t="n"/>
      <c r="AY39" s="595" t="n"/>
      <c r="AZ39" s="595" t="n"/>
      <c r="BA39" s="596" t="n"/>
      <c r="BB39" s="597" t="n"/>
      <c r="BC39" s="595" t="n"/>
      <c r="BD39" s="595" t="n"/>
      <c r="BE39" s="595" t="n"/>
      <c r="BF39" s="596" t="n"/>
      <c r="BG39" s="597" t="n"/>
      <c r="BH39" s="595" t="n"/>
      <c r="BI39" s="595" t="n"/>
      <c r="BJ39" s="595" t="n"/>
      <c r="BK39" s="596" t="n"/>
      <c r="BL39" s="597" t="n"/>
      <c r="BM39" s="595" t="n"/>
      <c r="BN39" s="595" t="n"/>
      <c r="BO39" s="595" t="n"/>
      <c r="BP39" s="596" t="n"/>
      <c r="BQ39" s="597" t="n"/>
      <c r="BR39" s="595" t="n"/>
      <c r="BS39" s="595" t="n"/>
      <c r="BT39" s="596" t="n"/>
      <c r="BU39" s="437" t="n"/>
      <c r="BV39" s="437" t="n"/>
      <c r="BW39" s="238" t="n"/>
      <c r="BX39" s="238" t="n"/>
      <c r="BY39" s="238" t="n"/>
      <c r="BZ39" s="238" t="n"/>
      <c r="CA39" s="238" t="n"/>
      <c r="CB39" s="238" t="n"/>
      <c r="CC39" s="238" t="n"/>
      <c r="CD39" s="238" t="n"/>
      <c r="CE39" s="238" t="n"/>
      <c r="CF39" s="238" t="n"/>
      <c r="CG39" s="238" t="n"/>
      <c r="CH39" s="238" t="n"/>
      <c r="CI39" s="238" t="n"/>
      <c r="CJ39" s="238" t="n"/>
      <c r="CK39" s="238" t="n"/>
      <c r="CL39" s="238" t="n"/>
      <c r="CM39" s="238" t="n"/>
      <c r="CN39" s="238" t="n"/>
      <c r="CO39" s="238" t="n"/>
      <c r="CP39" s="238" t="n"/>
      <c r="CQ39" s="238" t="n"/>
      <c r="CR39" s="238" t="n"/>
      <c r="CS39" s="238" t="n"/>
      <c r="CT39" s="238" t="n"/>
      <c r="CU39" s="238" t="n"/>
      <c r="CV39" s="238" t="n"/>
      <c r="CW39" s="238" t="n"/>
      <c r="CX39" s="238" t="n"/>
      <c r="CY39" s="238" t="n"/>
      <c r="CZ39" s="238" t="n"/>
      <c r="DA39" s="238" t="n"/>
      <c r="DB39" s="238" t="n"/>
      <c r="DC39" s="238" t="n"/>
      <c r="DD39" s="238" t="n"/>
      <c r="DE39" s="238" t="n"/>
      <c r="DF39" s="238" t="n"/>
      <c r="DG39" s="238" t="n"/>
      <c r="DH39" s="238" t="n"/>
      <c r="DI39" s="238" t="n"/>
      <c r="DJ39" s="238" t="n"/>
      <c r="DK39" s="238" t="n"/>
      <c r="DL39" s="238" t="n"/>
      <c r="DM39" s="238" t="n"/>
      <c r="DN39" s="238" t="n"/>
      <c r="DO39" s="238" t="n"/>
      <c r="DP39" s="238" t="n"/>
      <c r="DQ39" s="238" t="n"/>
      <c r="DR39" s="238" t="n"/>
      <c r="DS39" s="238" t="n"/>
      <c r="DT39" s="238" t="n"/>
      <c r="DU39" s="238" t="n"/>
      <c r="DV39" s="238" t="n"/>
      <c r="DW39" s="238" t="n"/>
      <c r="DX39" s="238" t="n"/>
      <c r="DY39" s="238" t="n"/>
      <c r="DZ39" s="23" t="n"/>
      <c r="FQ39" s="212" t="n"/>
      <c r="FR39" s="212" t="n"/>
      <c r="FS39" s="212" t="n"/>
      <c r="FT39" s="212" t="n"/>
      <c r="FU39" s="212" t="n"/>
      <c r="FV39" s="212" t="n"/>
      <c r="FW39" s="212" t="n"/>
      <c r="FX39" s="212" t="n"/>
      <c r="FY39" s="212" t="n"/>
      <c r="FZ39" s="212" t="n"/>
    </row>
    <row r="40" ht="39.95" customFormat="1" customHeight="1" s="5">
      <c r="A40" s="10" t="inlineStr">
        <is>
          <t>A</t>
        </is>
      </c>
      <c r="B40" s="6" t="inlineStr">
        <is>
          <t>POSITION 'E'</t>
        </is>
      </c>
      <c r="C40" s="351" t="inlineStr">
        <is>
          <t>Year</t>
        </is>
      </c>
      <c r="D40" s="588" t="inlineStr">
        <is>
          <t>ND</t>
        </is>
      </c>
      <c r="E40" s="589" t="inlineStr">
        <is>
          <t>ND</t>
        </is>
      </c>
      <c r="F40" s="589" t="inlineStr">
        <is>
          <t>ND</t>
        </is>
      </c>
      <c r="G40" s="589" t="inlineStr">
        <is>
          <t>May 2055</t>
        </is>
      </c>
      <c r="H40" s="590" t="inlineStr">
        <is>
          <t>May 2055</t>
        </is>
      </c>
      <c r="I40" s="591" t="inlineStr">
        <is>
          <t>Nov 2038</t>
        </is>
      </c>
      <c r="J40" s="589" t="inlineStr">
        <is>
          <t>May 2055</t>
        </is>
      </c>
      <c r="K40" s="589" t="inlineStr">
        <is>
          <t>May 2055</t>
        </is>
      </c>
      <c r="L40" s="589" t="inlineStr">
        <is>
          <t>ND</t>
        </is>
      </c>
      <c r="M40" s="590" t="inlineStr">
        <is>
          <t>May 2055</t>
        </is>
      </c>
      <c r="N40" s="591" t="inlineStr">
        <is>
          <t>ND</t>
        </is>
      </c>
      <c r="O40" s="589" t="inlineStr">
        <is>
          <t>May 2055</t>
        </is>
      </c>
      <c r="P40" s="589" t="inlineStr">
        <is>
          <t>May 2055</t>
        </is>
      </c>
      <c r="Q40" s="589" t="inlineStr">
        <is>
          <t>ND</t>
        </is>
      </c>
      <c r="R40" s="590" t="inlineStr">
        <is>
          <t>ND</t>
        </is>
      </c>
      <c r="S40" s="591" t="inlineStr">
        <is>
          <t>ND</t>
        </is>
      </c>
      <c r="T40" s="589" t="inlineStr">
        <is>
          <t>ND</t>
        </is>
      </c>
      <c r="U40" s="589" t="inlineStr">
        <is>
          <t>ND</t>
        </is>
      </c>
      <c r="V40" s="589" t="inlineStr">
        <is>
          <t>ND</t>
        </is>
      </c>
      <c r="W40" s="590" t="inlineStr">
        <is>
          <t>ND</t>
        </is>
      </c>
      <c r="X40" s="591" t="inlineStr">
        <is>
          <t>ND</t>
        </is>
      </c>
      <c r="Y40" s="589" t="inlineStr">
        <is>
          <t>ND</t>
        </is>
      </c>
      <c r="Z40" s="589" t="inlineStr">
        <is>
          <t>ND</t>
        </is>
      </c>
      <c r="AA40" s="589" t="inlineStr">
        <is>
          <t>ND</t>
        </is>
      </c>
      <c r="AB40" s="590" t="inlineStr">
        <is>
          <t>ND</t>
        </is>
      </c>
      <c r="AC40" s="591" t="inlineStr">
        <is>
          <t>ND</t>
        </is>
      </c>
      <c r="AD40" s="589" t="inlineStr">
        <is>
          <t>ND</t>
        </is>
      </c>
      <c r="AE40" s="589" t="inlineStr">
        <is>
          <t>ND</t>
        </is>
      </c>
      <c r="AF40" s="589" t="inlineStr">
        <is>
          <t>ND</t>
        </is>
      </c>
      <c r="AG40" s="590" t="inlineStr">
        <is>
          <t>ND</t>
        </is>
      </c>
      <c r="AH40" s="591" t="inlineStr">
        <is>
          <t>ND</t>
        </is>
      </c>
      <c r="AI40" s="589" t="inlineStr">
        <is>
          <t>Dec 2047</t>
        </is>
      </c>
      <c r="AJ40" s="589" t="inlineStr">
        <is>
          <t>May 2055</t>
        </is>
      </c>
      <c r="AK40" s="589" t="inlineStr">
        <is>
          <t>Sep 2053</t>
        </is>
      </c>
      <c r="AL40" s="590" t="inlineStr">
        <is>
          <t>May 2055</t>
        </is>
      </c>
      <c r="AM40" s="591" t="inlineStr">
        <is>
          <t>Jul 2045</t>
        </is>
      </c>
      <c r="AN40" s="589" t="inlineStr">
        <is>
          <t>May 2031</t>
        </is>
      </c>
      <c r="AO40" s="589" t="inlineStr">
        <is>
          <t>ND</t>
        </is>
      </c>
      <c r="AP40" s="589" t="inlineStr">
        <is>
          <t>ND</t>
        </is>
      </c>
      <c r="AQ40" s="590" t="inlineStr">
        <is>
          <t>ND</t>
        </is>
      </c>
      <c r="AR40" s="591" t="inlineStr">
        <is>
          <t>ND</t>
        </is>
      </c>
      <c r="AS40" s="589" t="inlineStr">
        <is>
          <t>ND</t>
        </is>
      </c>
      <c r="AT40" s="589" t="inlineStr">
        <is>
          <t>ND</t>
        </is>
      </c>
      <c r="AU40" s="589" t="inlineStr">
        <is>
          <t>ND</t>
        </is>
      </c>
      <c r="AV40" s="590" t="inlineStr">
        <is>
          <t>ND</t>
        </is>
      </c>
      <c r="AW40" s="591" t="inlineStr">
        <is>
          <t>ND</t>
        </is>
      </c>
      <c r="AX40" s="589" t="inlineStr">
        <is>
          <t>ND</t>
        </is>
      </c>
      <c r="AY40" s="589" t="inlineStr">
        <is>
          <t>ND</t>
        </is>
      </c>
      <c r="AZ40" s="589" t="inlineStr">
        <is>
          <t>ND</t>
        </is>
      </c>
      <c r="BA40" s="590" t="inlineStr">
        <is>
          <t>ND</t>
        </is>
      </c>
      <c r="BB40" s="591" t="inlineStr">
        <is>
          <t>ND</t>
        </is>
      </c>
      <c r="BC40" s="589" t="inlineStr">
        <is>
          <t>ND</t>
        </is>
      </c>
      <c r="BD40" s="589" t="inlineStr">
        <is>
          <t>ND</t>
        </is>
      </c>
      <c r="BE40" s="589" t="inlineStr">
        <is>
          <t>ND</t>
        </is>
      </c>
      <c r="BF40" s="590" t="inlineStr">
        <is>
          <t>ND</t>
        </is>
      </c>
      <c r="BG40" s="591" t="inlineStr">
        <is>
          <t>ND</t>
        </is>
      </c>
      <c r="BH40" s="589" t="inlineStr">
        <is>
          <t>ND</t>
        </is>
      </c>
      <c r="BI40" s="589" t="inlineStr">
        <is>
          <t>ND</t>
        </is>
      </c>
      <c r="BJ40" s="589" t="inlineStr">
        <is>
          <t>ND</t>
        </is>
      </c>
      <c r="BK40" s="590" t="inlineStr">
        <is>
          <t>ND</t>
        </is>
      </c>
      <c r="BL40" s="591" t="inlineStr">
        <is>
          <t>ND</t>
        </is>
      </c>
      <c r="BM40" s="589" t="inlineStr">
        <is>
          <t>ND</t>
        </is>
      </c>
      <c r="BN40" s="589" t="inlineStr">
        <is>
          <t>ND</t>
        </is>
      </c>
      <c r="BO40" s="589" t="inlineStr">
        <is>
          <t>ND</t>
        </is>
      </c>
      <c r="BP40" s="590" t="inlineStr">
        <is>
          <t>ND</t>
        </is>
      </c>
      <c r="BQ40" s="591" t="inlineStr">
        <is>
          <t>ND</t>
        </is>
      </c>
      <c r="BR40" s="589" t="inlineStr">
        <is>
          <t>ND</t>
        </is>
      </c>
      <c r="BS40" s="589" t="inlineStr">
        <is>
          <t>ND</t>
        </is>
      </c>
      <c r="BT40" s="590" t="inlineStr">
        <is>
          <t>ND</t>
        </is>
      </c>
      <c r="BU40" s="437" t="n"/>
      <c r="BV40" s="437" t="n"/>
      <c r="BW40" s="238" t="n"/>
      <c r="BX40" s="238" t="n"/>
      <c r="BY40" s="238" t="n"/>
      <c r="BZ40" s="238" t="n"/>
      <c r="CA40" s="238" t="n"/>
      <c r="CB40" s="238" t="n"/>
      <c r="CC40" s="238" t="n"/>
      <c r="CD40" s="238" t="n"/>
      <c r="CE40" s="238" t="n"/>
      <c r="CF40" s="238" t="n"/>
      <c r="CG40" s="238" t="n"/>
      <c r="CH40" s="238" t="n"/>
      <c r="CI40" s="238" t="n"/>
      <c r="CJ40" s="238" t="n"/>
      <c r="CK40" s="238" t="n"/>
      <c r="CL40" s="238" t="n"/>
      <c r="CM40" s="238" t="n"/>
      <c r="CN40" s="238" t="n"/>
      <c r="CO40" s="238" t="n"/>
      <c r="CP40" s="238" t="n"/>
      <c r="CQ40" s="238" t="n"/>
      <c r="CR40" s="238" t="n"/>
      <c r="CS40" s="238" t="n"/>
      <c r="CT40" s="238" t="n"/>
      <c r="CU40" s="238" t="n"/>
      <c r="CV40" s="238" t="n"/>
      <c r="CW40" s="238" t="n"/>
      <c r="CX40" s="238" t="n"/>
      <c r="CY40" s="238" t="n"/>
      <c r="CZ40" s="238" t="n"/>
      <c r="DA40" s="238" t="n"/>
      <c r="DB40" s="238" t="n"/>
      <c r="DC40" s="238" t="n"/>
      <c r="DD40" s="238" t="n"/>
      <c r="DE40" s="238" t="n"/>
      <c r="DF40" s="238" t="n"/>
      <c r="DG40" s="238" t="n"/>
      <c r="DH40" s="238" t="n"/>
      <c r="DI40" s="238" t="n"/>
      <c r="DJ40" s="238" t="n"/>
      <c r="DK40" s="238" t="n"/>
      <c r="DL40" s="238" t="n"/>
      <c r="DM40" s="238" t="n"/>
      <c r="DN40" s="238" t="n"/>
      <c r="DO40" s="238" t="n"/>
      <c r="DP40" s="238" t="n"/>
      <c r="DQ40" s="238" t="n"/>
      <c r="DR40" s="238" t="n"/>
      <c r="DS40" s="238" t="n"/>
      <c r="DT40" s="238" t="n"/>
      <c r="DU40" s="238" t="n"/>
      <c r="DV40" s="238" t="n"/>
      <c r="DW40" s="238" t="n"/>
      <c r="DX40" s="238" t="n"/>
      <c r="DY40" s="238" t="n"/>
      <c r="DZ40" s="23" t="n"/>
      <c r="FQ40" s="212" t="n"/>
      <c r="FR40" s="212" t="n"/>
      <c r="FS40" s="212" t="n"/>
      <c r="FT40" s="212" t="n"/>
      <c r="FU40" s="212" t="n"/>
      <c r="FV40" s="212" t="n"/>
      <c r="FW40" s="212" t="n"/>
      <c r="FX40" s="212" t="n"/>
      <c r="FY40" s="212" t="n"/>
      <c r="FZ40" s="212" t="n"/>
    </row>
    <row r="41" ht="39.95" customFormat="1" customHeight="1" s="5">
      <c r="A41" s="182" t="inlineStr"/>
      <c r="B41" s="7" t="inlineStr">
        <is>
          <t>OF THE MANWAY</t>
        </is>
      </c>
      <c r="C41" s="456" t="n"/>
      <c r="D41" s="13" t="n"/>
      <c r="H41" s="592" t="n"/>
      <c r="I41" s="593" t="n"/>
      <c r="M41" s="592" t="n"/>
      <c r="N41" s="593" t="n"/>
      <c r="R41" s="592" t="n"/>
      <c r="S41" s="593" t="n"/>
      <c r="W41" s="592" t="n"/>
      <c r="X41" s="593" t="n"/>
      <c r="AB41" s="592" t="n"/>
      <c r="AC41" s="593" t="n"/>
      <c r="AG41" s="592" t="n"/>
      <c r="AH41" s="593" t="n"/>
      <c r="AL41" s="592" t="n"/>
      <c r="AM41" s="593" t="n"/>
      <c r="AQ41" s="592" t="n"/>
      <c r="AR41" s="593" t="n"/>
      <c r="AV41" s="592" t="n"/>
      <c r="AW41" s="593" t="n"/>
      <c r="BA41" s="592" t="n"/>
      <c r="BB41" s="593" t="n"/>
      <c r="BF41" s="592" t="n"/>
      <c r="BG41" s="593" t="n"/>
      <c r="BK41" s="592" t="n"/>
      <c r="BL41" s="593" t="n"/>
      <c r="BP41" s="592" t="n"/>
      <c r="BQ41" s="593" t="n"/>
      <c r="BT41" s="592" t="n"/>
      <c r="BU41" s="437" t="n"/>
      <c r="BV41" s="437" t="n"/>
      <c r="BW41" s="238" t="n"/>
      <c r="BX41" s="238" t="n"/>
      <c r="BY41" s="238" t="n"/>
      <c r="BZ41" s="238" t="n"/>
      <c r="CA41" s="238" t="n"/>
      <c r="CB41" s="238" t="n"/>
      <c r="CC41" s="238" t="n"/>
      <c r="CD41" s="238" t="n"/>
      <c r="CE41" s="238" t="n"/>
      <c r="CF41" s="238" t="n"/>
      <c r="CG41" s="238" t="n"/>
      <c r="CH41" s="238" t="n"/>
      <c r="CI41" s="238" t="n"/>
      <c r="CJ41" s="238" t="n"/>
      <c r="CK41" s="238" t="n"/>
      <c r="CL41" s="238" t="n"/>
      <c r="CM41" s="238" t="n"/>
      <c r="CN41" s="238" t="n"/>
      <c r="CO41" s="238" t="n"/>
      <c r="CP41" s="238" t="n"/>
      <c r="CQ41" s="238" t="n"/>
      <c r="CR41" s="238" t="n"/>
      <c r="CS41" s="238" t="n"/>
      <c r="CT41" s="238" t="n"/>
      <c r="CU41" s="238" t="n"/>
      <c r="CV41" s="238" t="n"/>
      <c r="CW41" s="238" t="n"/>
      <c r="CX41" s="238" t="n"/>
      <c r="CY41" s="238" t="n"/>
      <c r="CZ41" s="238" t="n"/>
      <c r="DA41" s="238" t="n"/>
      <c r="DB41" s="238" t="n"/>
      <c r="DC41" s="238" t="n"/>
      <c r="DD41" s="238" t="n"/>
      <c r="DE41" s="238" t="n"/>
      <c r="DF41" s="238" t="n"/>
      <c r="DG41" s="238" t="n"/>
      <c r="DH41" s="238" t="n"/>
      <c r="DI41" s="238" t="n"/>
      <c r="DJ41" s="238" t="n"/>
      <c r="DK41" s="238" t="n"/>
      <c r="DL41" s="238" t="n"/>
      <c r="DM41" s="238" t="n"/>
      <c r="DN41" s="238" t="n"/>
      <c r="DO41" s="238" t="n"/>
      <c r="DP41" s="238" t="n"/>
      <c r="DQ41" s="238" t="n"/>
      <c r="DR41" s="238" t="n"/>
      <c r="DS41" s="238" t="n"/>
      <c r="DT41" s="238" t="n"/>
      <c r="DU41" s="238" t="n"/>
      <c r="DV41" s="238" t="n"/>
      <c r="DW41" s="238" t="n"/>
      <c r="DX41" s="238" t="n"/>
      <c r="DY41" s="238" t="n"/>
      <c r="DZ41" s="23" t="n"/>
      <c r="FQ41" s="212" t="n"/>
      <c r="FR41" s="212" t="n"/>
      <c r="FS41" s="212" t="n"/>
      <c r="FT41" s="212" t="n"/>
      <c r="FU41" s="212" t="n"/>
      <c r="FV41" s="212" t="n"/>
      <c r="FW41" s="212" t="n"/>
      <c r="FX41" s="212" t="n"/>
      <c r="FY41" s="212" t="n"/>
      <c r="FZ41" s="212" t="n"/>
    </row>
    <row r="42" ht="39.95" customFormat="1" customHeight="1" s="5">
      <c r="A42" s="456" t="n"/>
      <c r="B42" s="8" t="inlineStr">
        <is>
          <t>&amp; OSCILLATOR</t>
        </is>
      </c>
      <c r="C42" s="456" t="n"/>
      <c r="D42" s="594" t="n"/>
      <c r="E42" s="595" t="n"/>
      <c r="F42" s="595" t="n"/>
      <c r="G42" s="595" t="n"/>
      <c r="H42" s="596" t="n"/>
      <c r="I42" s="597" t="n"/>
      <c r="J42" s="595" t="n"/>
      <c r="K42" s="595" t="n"/>
      <c r="L42" s="595" t="n"/>
      <c r="M42" s="596" t="n"/>
      <c r="N42" s="597" t="n"/>
      <c r="O42" s="595" t="n"/>
      <c r="P42" s="595" t="n"/>
      <c r="Q42" s="595" t="n"/>
      <c r="R42" s="596" t="n"/>
      <c r="S42" s="597" t="n"/>
      <c r="T42" s="595" t="n"/>
      <c r="U42" s="595" t="n"/>
      <c r="V42" s="595" t="n"/>
      <c r="W42" s="596" t="n"/>
      <c r="X42" s="597" t="n"/>
      <c r="Y42" s="595" t="n"/>
      <c r="Z42" s="595" t="n"/>
      <c r="AA42" s="595" t="n"/>
      <c r="AB42" s="596" t="n"/>
      <c r="AC42" s="597" t="n"/>
      <c r="AD42" s="595" t="n"/>
      <c r="AE42" s="595" t="n"/>
      <c r="AF42" s="595" t="n"/>
      <c r="AG42" s="596" t="n"/>
      <c r="AH42" s="597" t="n"/>
      <c r="AI42" s="595" t="n"/>
      <c r="AJ42" s="595" t="n"/>
      <c r="AK42" s="595" t="n"/>
      <c r="AL42" s="596" t="n"/>
      <c r="AM42" s="597" t="n"/>
      <c r="AN42" s="595" t="n"/>
      <c r="AO42" s="595" t="n"/>
      <c r="AP42" s="595" t="n"/>
      <c r="AQ42" s="596" t="n"/>
      <c r="AR42" s="597" t="n"/>
      <c r="AS42" s="595" t="n"/>
      <c r="AT42" s="595" t="n"/>
      <c r="AU42" s="595" t="n"/>
      <c r="AV42" s="596" t="n"/>
      <c r="AW42" s="597" t="n"/>
      <c r="AX42" s="595" t="n"/>
      <c r="AY42" s="595" t="n"/>
      <c r="AZ42" s="595" t="n"/>
      <c r="BA42" s="596" t="n"/>
      <c r="BB42" s="597" t="n"/>
      <c r="BC42" s="595" t="n"/>
      <c r="BD42" s="595" t="n"/>
      <c r="BE42" s="595" t="n"/>
      <c r="BF42" s="596" t="n"/>
      <c r="BG42" s="597" t="n"/>
      <c r="BH42" s="595" t="n"/>
      <c r="BI42" s="595" t="n"/>
      <c r="BJ42" s="595" t="n"/>
      <c r="BK42" s="596" t="n"/>
      <c r="BL42" s="597" t="n"/>
      <c r="BM42" s="595" t="n"/>
      <c r="BN42" s="595" t="n"/>
      <c r="BO42" s="595" t="n"/>
      <c r="BP42" s="596" t="n"/>
      <c r="BQ42" s="597" t="n"/>
      <c r="BR42" s="595" t="n"/>
      <c r="BS42" s="595" t="n"/>
      <c r="BT42" s="596" t="n"/>
      <c r="BU42" s="437" t="n"/>
      <c r="BV42" s="437" t="n"/>
      <c r="BW42" s="238" t="n"/>
      <c r="BX42" s="238" t="n"/>
      <c r="BY42" s="238" t="n"/>
      <c r="BZ42" s="238" t="n"/>
      <c r="CA42" s="238" t="n"/>
      <c r="CB42" s="238" t="n"/>
      <c r="CC42" s="238" t="n"/>
      <c r="CD42" s="238" t="n"/>
      <c r="CE42" s="238" t="n"/>
      <c r="CF42" s="238" t="n"/>
      <c r="CG42" s="238" t="n"/>
      <c r="CH42" s="238" t="n"/>
      <c r="CI42" s="238" t="n"/>
      <c r="CJ42" s="238" t="n"/>
      <c r="CK42" s="238" t="n"/>
      <c r="CL42" s="238" t="n"/>
      <c r="CM42" s="238" t="n"/>
      <c r="CN42" s="238" t="n"/>
      <c r="CO42" s="238" t="n"/>
      <c r="CP42" s="238" t="n"/>
      <c r="CQ42" s="238" t="n"/>
      <c r="CR42" s="238" t="n"/>
      <c r="CS42" s="238" t="n"/>
      <c r="CT42" s="238" t="n"/>
      <c r="CU42" s="238" t="n"/>
      <c r="CV42" s="238" t="n"/>
      <c r="CW42" s="238" t="n"/>
      <c r="CX42" s="238" t="n"/>
      <c r="CY42" s="238" t="n"/>
      <c r="CZ42" s="238" t="n"/>
      <c r="DA42" s="238" t="n"/>
      <c r="DB42" s="238" t="n"/>
      <c r="DC42" s="238" t="n"/>
      <c r="DD42" s="238" t="n"/>
      <c r="DE42" s="238" t="n"/>
      <c r="DF42" s="238" t="n"/>
      <c r="DG42" s="238" t="n"/>
      <c r="DH42" s="238" t="n"/>
      <c r="DI42" s="238" t="n"/>
      <c r="DJ42" s="238" t="n"/>
      <c r="DK42" s="238" t="n"/>
      <c r="DL42" s="238" t="n"/>
      <c r="DM42" s="238" t="n"/>
      <c r="DN42" s="238" t="n"/>
      <c r="DO42" s="238" t="n"/>
      <c r="DP42" s="238" t="n"/>
      <c r="DQ42" s="238" t="n"/>
      <c r="DR42" s="238" t="n"/>
      <c r="DS42" s="238" t="n"/>
      <c r="DT42" s="238" t="n"/>
      <c r="DU42" s="238" t="n"/>
      <c r="DV42" s="238" t="n"/>
      <c r="DW42" s="238" t="n"/>
      <c r="DX42" s="238" t="n"/>
      <c r="DY42" s="238" t="n"/>
      <c r="DZ42" s="23" t="n"/>
      <c r="FQ42" s="212" t="n"/>
      <c r="FR42" s="212" t="n"/>
      <c r="FS42" s="212" t="n"/>
      <c r="FT42" s="212" t="n"/>
      <c r="FU42" s="212" t="n"/>
      <c r="FV42" s="212" t="n"/>
      <c r="FW42" s="212" t="n"/>
      <c r="FX42" s="212" t="n"/>
      <c r="FY42" s="212" t="n"/>
      <c r="FZ42" s="212" t="n"/>
    </row>
    <row r="43" ht="39.95" customFormat="1" customHeight="1" s="5">
      <c r="A43" s="10" t="inlineStr">
        <is>
          <t>A</t>
        </is>
      </c>
      <c r="B43" s="6" t="n"/>
      <c r="C43" s="351" t="inlineStr">
        <is>
          <t>Year</t>
        </is>
      </c>
      <c r="D43" s="588" t="inlineStr">
        <is>
          <t>ND</t>
        </is>
      </c>
      <c r="E43" s="589" t="inlineStr">
        <is>
          <t>May 2055</t>
        </is>
      </c>
      <c r="F43" s="589" t="inlineStr">
        <is>
          <t>May 2055</t>
        </is>
      </c>
      <c r="G43" s="589" t="inlineStr">
        <is>
          <t>May 2055</t>
        </is>
      </c>
      <c r="H43" s="590" t="inlineStr">
        <is>
          <t>May 2055</t>
        </is>
      </c>
      <c r="I43" s="591" t="inlineStr">
        <is>
          <t>Feb 2031</t>
        </is>
      </c>
      <c r="J43" s="589" t="inlineStr">
        <is>
          <t>ND</t>
        </is>
      </c>
      <c r="K43" s="589" t="inlineStr">
        <is>
          <t>Feb 2051</t>
        </is>
      </c>
      <c r="L43" s="589" t="inlineStr">
        <is>
          <t>May 2055</t>
        </is>
      </c>
      <c r="M43" s="590" t="inlineStr">
        <is>
          <t>ND</t>
        </is>
      </c>
      <c r="N43" s="591" t="inlineStr">
        <is>
          <t>ND</t>
        </is>
      </c>
      <c r="O43" s="589" t="inlineStr">
        <is>
          <t>May 2055</t>
        </is>
      </c>
      <c r="P43" s="589" t="inlineStr">
        <is>
          <t>May 2055</t>
        </is>
      </c>
      <c r="Q43" s="589" t="inlineStr">
        <is>
          <t>Jan 2047</t>
        </is>
      </c>
      <c r="R43" s="590" t="inlineStr">
        <is>
          <t>ND</t>
        </is>
      </c>
      <c r="S43" s="591" t="inlineStr">
        <is>
          <t>May 2055</t>
        </is>
      </c>
      <c r="T43" s="589" t="inlineStr">
        <is>
          <t>ND</t>
        </is>
      </c>
      <c r="U43" s="589" t="inlineStr">
        <is>
          <t>May 2055</t>
        </is>
      </c>
      <c r="V43" s="589" t="inlineStr">
        <is>
          <t>May 2055</t>
        </is>
      </c>
      <c r="W43" s="590" t="inlineStr">
        <is>
          <t>Jun 2054</t>
        </is>
      </c>
      <c r="X43" s="591" t="inlineStr">
        <is>
          <t>Mar 2034</t>
        </is>
      </c>
      <c r="Y43" s="589" t="inlineStr">
        <is>
          <t>Mar 2054</t>
        </is>
      </c>
      <c r="Z43" s="589" t="inlineStr">
        <is>
          <t>Oct 2037</t>
        </is>
      </c>
      <c r="AA43" s="589" t="inlineStr">
        <is>
          <t>Aug 2033</t>
        </is>
      </c>
      <c r="AB43" s="590" t="inlineStr">
        <is>
          <t>Apr 2049</t>
        </is>
      </c>
      <c r="AC43" s="591" t="inlineStr">
        <is>
          <t>Dec 2033</t>
        </is>
      </c>
      <c r="AD43" s="589" t="inlineStr">
        <is>
          <t>May 2055</t>
        </is>
      </c>
      <c r="AE43" s="589" t="inlineStr">
        <is>
          <t>Dec 2032</t>
        </is>
      </c>
      <c r="AF43" s="589" t="inlineStr">
        <is>
          <t>Dec 2037</t>
        </is>
      </c>
      <c r="AG43" s="590" t="inlineStr">
        <is>
          <t>Jan 2038</t>
        </is>
      </c>
      <c r="AH43" s="591" t="inlineStr">
        <is>
          <t>May 2043</t>
        </is>
      </c>
      <c r="AI43" s="589" t="inlineStr">
        <is>
          <t>Jan 2053</t>
        </is>
      </c>
      <c r="AJ43" s="589" t="inlineStr">
        <is>
          <t>Nov 2046</t>
        </is>
      </c>
      <c r="AK43" s="589" t="inlineStr">
        <is>
          <t>May 2055</t>
        </is>
      </c>
      <c r="AL43" s="590" t="inlineStr">
        <is>
          <t>May 2055</t>
        </is>
      </c>
      <c r="AM43" s="591" t="inlineStr">
        <is>
          <t>May 2055</t>
        </is>
      </c>
      <c r="AN43" s="589" t="inlineStr">
        <is>
          <t>May 2032</t>
        </is>
      </c>
      <c r="AO43" s="589" t="inlineStr">
        <is>
          <t>Sep 2035</t>
        </is>
      </c>
      <c r="AP43" s="589" t="inlineStr">
        <is>
          <t>ND</t>
        </is>
      </c>
      <c r="AQ43" s="590" t="inlineStr">
        <is>
          <t>Sep 2044</t>
        </is>
      </c>
      <c r="AR43" s="591" t="inlineStr">
        <is>
          <t>Dec 2051</t>
        </is>
      </c>
      <c r="AS43" s="589" t="inlineStr">
        <is>
          <t>Dec 2039</t>
        </is>
      </c>
      <c r="AT43" s="589" t="inlineStr">
        <is>
          <t>Sep 2033</t>
        </is>
      </c>
      <c r="AU43" s="589" t="inlineStr">
        <is>
          <t>Jul 2046</t>
        </is>
      </c>
      <c r="AV43" s="590" t="inlineStr">
        <is>
          <t>Apr 2039</t>
        </is>
      </c>
      <c r="AW43" s="591" t="inlineStr">
        <is>
          <t>Jun 2046</t>
        </is>
      </c>
      <c r="AX43" s="589" t="inlineStr">
        <is>
          <t>Jul 2034</t>
        </is>
      </c>
      <c r="AY43" s="589" t="inlineStr">
        <is>
          <t>Nov 2033</t>
        </is>
      </c>
      <c r="AZ43" s="589" t="inlineStr">
        <is>
          <t>Dec 2049</t>
        </is>
      </c>
      <c r="BA43" s="590" t="inlineStr">
        <is>
          <t>Aug 2050</t>
        </is>
      </c>
      <c r="BB43" s="591" t="inlineStr">
        <is>
          <t>May 2055</t>
        </is>
      </c>
      <c r="BC43" s="589" t="inlineStr">
        <is>
          <t>Aug 2038</t>
        </is>
      </c>
      <c r="BD43" s="589" t="inlineStr">
        <is>
          <t>May 2055</t>
        </is>
      </c>
      <c r="BE43" s="589" t="inlineStr">
        <is>
          <t>May 2039</t>
        </is>
      </c>
      <c r="BF43" s="590" t="inlineStr">
        <is>
          <t>Apr 2049</t>
        </is>
      </c>
      <c r="BG43" s="591" t="inlineStr">
        <is>
          <t>Sep 2041</t>
        </is>
      </c>
      <c r="BH43" s="589" t="inlineStr">
        <is>
          <t>Jun 2047</t>
        </is>
      </c>
      <c r="BI43" s="589" t="inlineStr">
        <is>
          <t>Nov 2040</t>
        </is>
      </c>
      <c r="BJ43" s="589" t="inlineStr">
        <is>
          <t>May 2055</t>
        </is>
      </c>
      <c r="BK43" s="590" t="inlineStr">
        <is>
          <t>May 2055</t>
        </is>
      </c>
      <c r="BL43" s="591" t="inlineStr">
        <is>
          <t>Nov 2035</t>
        </is>
      </c>
      <c r="BM43" s="589" t="inlineStr">
        <is>
          <t>Aug 2044</t>
        </is>
      </c>
      <c r="BN43" s="589" t="inlineStr">
        <is>
          <t>May 2055</t>
        </is>
      </c>
      <c r="BO43" s="589" t="inlineStr">
        <is>
          <t>May 2055</t>
        </is>
      </c>
      <c r="BP43" s="590" t="inlineStr">
        <is>
          <t>Oct 2044</t>
        </is>
      </c>
      <c r="BQ43" s="591" t="inlineStr">
        <is>
          <t>May 2055</t>
        </is>
      </c>
      <c r="BR43" s="589" t="inlineStr">
        <is>
          <t>May 2055</t>
        </is>
      </c>
      <c r="BS43" s="589" t="inlineStr">
        <is>
          <t>Apr 2051</t>
        </is>
      </c>
      <c r="BT43" s="599" t="inlineStr">
        <is>
          <t>Feb 2029</t>
        </is>
      </c>
      <c r="BU43" s="437" t="n"/>
      <c r="BV43" s="437" t="n"/>
      <c r="BW43" s="238" t="n"/>
      <c r="BX43" s="238" t="n"/>
      <c r="BY43" s="238" t="n"/>
      <c r="BZ43" s="238" t="n"/>
      <c r="CA43" s="238" t="n"/>
      <c r="CB43" s="238" t="n"/>
      <c r="CC43" s="238" t="n"/>
      <c r="CD43" s="238" t="n"/>
      <c r="CE43" s="238" t="n"/>
      <c r="CF43" s="238" t="n"/>
      <c r="CG43" s="238" t="n"/>
      <c r="CH43" s="238" t="n"/>
      <c r="CI43" s="238" t="n"/>
      <c r="CJ43" s="238" t="n"/>
      <c r="CK43" s="238" t="n"/>
      <c r="CL43" s="238" t="n"/>
      <c r="CM43" s="238" t="n"/>
      <c r="CN43" s="238" t="n"/>
      <c r="CO43" s="238" t="n"/>
      <c r="CP43" s="238" t="n"/>
      <c r="CQ43" s="238" t="n"/>
      <c r="CR43" s="238" t="n"/>
      <c r="CS43" s="238" t="n"/>
      <c r="CT43" s="238" t="n"/>
      <c r="CU43" s="238" t="n"/>
      <c r="CV43" s="238" t="n"/>
      <c r="CW43" s="238" t="n"/>
      <c r="CX43" s="238" t="n"/>
      <c r="CY43" s="238" t="n"/>
      <c r="CZ43" s="238" t="n"/>
      <c r="DA43" s="238" t="n"/>
      <c r="DB43" s="238" t="n"/>
      <c r="DC43" s="238" t="n"/>
      <c r="DD43" s="238" t="n"/>
      <c r="DE43" s="238" t="n"/>
      <c r="DF43" s="238" t="n"/>
      <c r="DG43" s="238" t="n"/>
      <c r="DH43" s="238" t="n"/>
      <c r="DI43" s="238" t="n"/>
      <c r="DJ43" s="238" t="n"/>
      <c r="DK43" s="238" t="n"/>
      <c r="DL43" s="238" t="n"/>
      <c r="DM43" s="238" t="n"/>
      <c r="DN43" s="238" t="n"/>
      <c r="DO43" s="238" t="n"/>
      <c r="DP43" s="238" t="n"/>
      <c r="DQ43" s="238" t="n"/>
      <c r="DR43" s="238" t="n"/>
      <c r="DS43" s="238" t="n"/>
      <c r="DT43" s="238" t="n"/>
      <c r="DU43" s="238" t="n"/>
      <c r="DV43" s="238" t="n"/>
      <c r="DW43" s="238" t="n"/>
      <c r="DX43" s="238" t="n"/>
      <c r="DY43" s="238" t="n"/>
      <c r="DZ43" s="23" t="n"/>
      <c r="FQ43" s="212" t="n"/>
      <c r="FR43" s="212" t="n"/>
      <c r="FS43" s="212" t="n"/>
      <c r="FT43" s="212" t="n"/>
      <c r="FU43" s="212" t="n"/>
      <c r="FV43" s="212" t="n"/>
      <c r="FW43" s="212" t="n"/>
      <c r="FX43" s="212" t="n"/>
      <c r="FY43" s="212" t="n"/>
      <c r="FZ43" s="212" t="n"/>
    </row>
    <row r="44" ht="39.95" customFormat="1" customHeight="1" s="5">
      <c r="A44" s="182" t="inlineStr"/>
      <c r="B44" s="7" t="inlineStr">
        <is>
          <t>+9 FT</t>
        </is>
      </c>
      <c r="C44" s="456" t="n"/>
      <c r="D44" s="13" t="n"/>
      <c r="H44" s="592" t="n"/>
      <c r="I44" s="593" t="n"/>
      <c r="M44" s="592" t="n"/>
      <c r="N44" s="593" t="n"/>
      <c r="R44" s="592" t="n"/>
      <c r="S44" s="593" t="n"/>
      <c r="W44" s="592" t="n"/>
      <c r="X44" s="593" t="n"/>
      <c r="AB44" s="592" t="n"/>
      <c r="AC44" s="593" t="n"/>
      <c r="AG44" s="592" t="n"/>
      <c r="AH44" s="593" t="n"/>
      <c r="AL44" s="592" t="n"/>
      <c r="AM44" s="593" t="n"/>
      <c r="AQ44" s="592" t="n"/>
      <c r="AR44" s="593" t="n"/>
      <c r="AV44" s="592" t="n"/>
      <c r="AW44" s="593" t="n"/>
      <c r="BA44" s="592" t="n"/>
      <c r="BB44" s="593" t="n"/>
      <c r="BF44" s="592" t="n"/>
      <c r="BG44" s="593" t="n"/>
      <c r="BK44" s="592" t="n"/>
      <c r="BL44" s="593" t="n"/>
      <c r="BP44" s="592" t="n"/>
      <c r="BQ44" s="593" t="n"/>
      <c r="BT44" s="592" t="n"/>
      <c r="BU44" s="437" t="n"/>
      <c r="BV44" s="437" t="n"/>
      <c r="BW44" s="238" t="n"/>
      <c r="BX44" s="238" t="n"/>
      <c r="BY44" s="238" t="n"/>
      <c r="BZ44" s="238" t="n"/>
      <c r="CA44" s="238" t="n"/>
      <c r="CB44" s="238" t="n"/>
      <c r="CC44" s="238" t="n"/>
      <c r="CD44" s="238" t="n"/>
      <c r="CE44" s="238" t="n"/>
      <c r="CF44" s="238" t="n"/>
      <c r="CG44" s="238" t="n"/>
      <c r="CH44" s="238" t="n"/>
      <c r="CI44" s="238" t="n"/>
      <c r="CJ44" s="238" t="n"/>
      <c r="CK44" s="238" t="n"/>
      <c r="CL44" s="238" t="n"/>
      <c r="CM44" s="238" t="n"/>
      <c r="CN44" s="238" t="n"/>
      <c r="CO44" s="238" t="n"/>
      <c r="CP44" s="238" t="n"/>
      <c r="CQ44" s="238" t="n"/>
      <c r="CR44" s="238" t="n"/>
      <c r="CS44" s="238" t="n"/>
      <c r="CT44" s="238" t="n"/>
      <c r="CU44" s="238" t="n"/>
      <c r="CV44" s="238" t="n"/>
      <c r="CW44" s="238" t="n"/>
      <c r="CX44" s="238" t="n"/>
      <c r="CY44" s="238" t="n"/>
      <c r="CZ44" s="238" t="n"/>
      <c r="DA44" s="238" t="n"/>
      <c r="DB44" s="238" t="n"/>
      <c r="DC44" s="238" t="n"/>
      <c r="DD44" s="238" t="n"/>
      <c r="DE44" s="238" t="n"/>
      <c r="DF44" s="238" t="n"/>
      <c r="DG44" s="238" t="n"/>
      <c r="DH44" s="238" t="n"/>
      <c r="DI44" s="238" t="n"/>
      <c r="DJ44" s="238" t="n"/>
      <c r="DK44" s="238" t="n"/>
      <c r="DL44" s="238" t="n"/>
      <c r="DM44" s="238" t="n"/>
      <c r="DN44" s="238" t="n"/>
      <c r="DO44" s="238" t="n"/>
      <c r="DP44" s="238" t="n"/>
      <c r="DQ44" s="238" t="n"/>
      <c r="DR44" s="238" t="n"/>
      <c r="DS44" s="238" t="n"/>
      <c r="DT44" s="238" t="n"/>
      <c r="DU44" s="238" t="n"/>
      <c r="DV44" s="238" t="n"/>
      <c r="DW44" s="238" t="n"/>
      <c r="DX44" s="238" t="n"/>
      <c r="DY44" s="238" t="n"/>
      <c r="DZ44" s="23" t="n"/>
      <c r="FQ44" s="212" t="n"/>
      <c r="FR44" s="212" t="n"/>
      <c r="FS44" s="212" t="n"/>
      <c r="FT44" s="212" t="n"/>
      <c r="FU44" s="212" t="n"/>
      <c r="FV44" s="212" t="n"/>
      <c r="FW44" s="212" t="n"/>
      <c r="FX44" s="212" t="n"/>
      <c r="FY44" s="212" t="n"/>
      <c r="FZ44" s="212" t="n"/>
    </row>
    <row r="45" ht="39.95" customFormat="1" customHeight="1" s="5">
      <c r="A45" s="456" t="n"/>
      <c r="B45" s="8" t="n"/>
      <c r="C45" s="456" t="n"/>
      <c r="D45" s="594" t="n"/>
      <c r="E45" s="595" t="n"/>
      <c r="F45" s="595" t="n"/>
      <c r="G45" s="595" t="n"/>
      <c r="H45" s="596" t="n"/>
      <c r="I45" s="597" t="n"/>
      <c r="J45" s="595" t="n"/>
      <c r="K45" s="595" t="n"/>
      <c r="L45" s="595" t="n"/>
      <c r="M45" s="596" t="n"/>
      <c r="N45" s="597" t="n"/>
      <c r="O45" s="595" t="n"/>
      <c r="P45" s="595" t="n"/>
      <c r="Q45" s="595" t="n"/>
      <c r="R45" s="596" t="n"/>
      <c r="S45" s="597" t="n"/>
      <c r="T45" s="595" t="n"/>
      <c r="U45" s="595" t="n"/>
      <c r="V45" s="595" t="n"/>
      <c r="W45" s="596" t="n"/>
      <c r="X45" s="597" t="n"/>
      <c r="Y45" s="595" t="n"/>
      <c r="Z45" s="595" t="n"/>
      <c r="AA45" s="595" t="n"/>
      <c r="AB45" s="596" t="n"/>
      <c r="AC45" s="597" t="n"/>
      <c r="AD45" s="595" t="n"/>
      <c r="AE45" s="595" t="n"/>
      <c r="AF45" s="595" t="n"/>
      <c r="AG45" s="596" t="n"/>
      <c r="AH45" s="597" t="n"/>
      <c r="AI45" s="595" t="n"/>
      <c r="AJ45" s="595" t="n"/>
      <c r="AK45" s="595" t="n"/>
      <c r="AL45" s="596" t="n"/>
      <c r="AM45" s="597" t="n"/>
      <c r="AN45" s="595" t="n"/>
      <c r="AO45" s="595" t="n"/>
      <c r="AP45" s="595" t="n"/>
      <c r="AQ45" s="596" t="n"/>
      <c r="AR45" s="597" t="n"/>
      <c r="AS45" s="595" t="n"/>
      <c r="AT45" s="595" t="n"/>
      <c r="AU45" s="595" t="n"/>
      <c r="AV45" s="596" t="n"/>
      <c r="AW45" s="597" t="n"/>
      <c r="AX45" s="595" t="n"/>
      <c r="AY45" s="595" t="n"/>
      <c r="AZ45" s="595" t="n"/>
      <c r="BA45" s="596" t="n"/>
      <c r="BB45" s="597" t="n"/>
      <c r="BC45" s="595" t="n"/>
      <c r="BD45" s="595" t="n"/>
      <c r="BE45" s="595" t="n"/>
      <c r="BF45" s="596" t="n"/>
      <c r="BG45" s="597" t="n"/>
      <c r="BH45" s="595" t="n"/>
      <c r="BI45" s="595" t="n"/>
      <c r="BJ45" s="595" t="n"/>
      <c r="BK45" s="596" t="n"/>
      <c r="BL45" s="597" t="n"/>
      <c r="BM45" s="595" t="n"/>
      <c r="BN45" s="595" t="n"/>
      <c r="BO45" s="595" t="n"/>
      <c r="BP45" s="596" t="n"/>
      <c r="BQ45" s="597" t="n"/>
      <c r="BR45" s="595" t="n"/>
      <c r="BS45" s="595" t="n"/>
      <c r="BT45" s="596" t="n"/>
      <c r="BU45" s="437" t="n"/>
      <c r="BV45" s="437" t="n"/>
      <c r="BW45" s="238" t="n"/>
      <c r="BX45" s="238" t="n"/>
      <c r="BY45" s="238" t="n"/>
      <c r="BZ45" s="238" t="n"/>
      <c r="CA45" s="238" t="n"/>
      <c r="CB45" s="238" t="n"/>
      <c r="CC45" s="238" t="n"/>
      <c r="CD45" s="238" t="n"/>
      <c r="CE45" s="238" t="n"/>
      <c r="CF45" s="238" t="n"/>
      <c r="CG45" s="238" t="n"/>
      <c r="CH45" s="238" t="n"/>
      <c r="CI45" s="238" t="n"/>
      <c r="CJ45" s="238" t="n"/>
      <c r="CK45" s="238" t="n"/>
      <c r="CL45" s="238" t="n"/>
      <c r="CM45" s="238" t="n"/>
      <c r="CN45" s="238" t="n"/>
      <c r="CO45" s="238" t="n"/>
      <c r="CP45" s="238" t="n"/>
      <c r="CQ45" s="238" t="n"/>
      <c r="CR45" s="238" t="n"/>
      <c r="CS45" s="238" t="n"/>
      <c r="CT45" s="238" t="n"/>
      <c r="CU45" s="238" t="n"/>
      <c r="CV45" s="238" t="n"/>
      <c r="CW45" s="238" t="n"/>
      <c r="CX45" s="238" t="n"/>
      <c r="CY45" s="238" t="n"/>
      <c r="CZ45" s="238" t="n"/>
      <c r="DA45" s="238" t="n"/>
      <c r="DB45" s="238" t="n"/>
      <c r="DC45" s="238" t="n"/>
      <c r="DD45" s="238" t="n"/>
      <c r="DE45" s="238" t="n"/>
      <c r="DF45" s="238" t="n"/>
      <c r="DG45" s="238" t="n"/>
      <c r="DH45" s="238" t="n"/>
      <c r="DI45" s="238" t="n"/>
      <c r="DJ45" s="238" t="n"/>
      <c r="DK45" s="238" t="n"/>
      <c r="DL45" s="238" t="n"/>
      <c r="DM45" s="238" t="n"/>
      <c r="DN45" s="238" t="n"/>
      <c r="DO45" s="238" t="n"/>
      <c r="DP45" s="238" t="n"/>
      <c r="DQ45" s="238" t="n"/>
      <c r="DR45" s="238" t="n"/>
      <c r="DS45" s="238" t="n"/>
      <c r="DT45" s="238" t="n"/>
      <c r="DU45" s="238" t="n"/>
      <c r="DV45" s="238" t="n"/>
      <c r="DW45" s="238" t="n"/>
      <c r="DX45" s="238" t="n"/>
      <c r="DY45" s="238" t="n"/>
      <c r="DZ45" s="23" t="n"/>
      <c r="FQ45" s="212" t="n"/>
      <c r="FR45" s="212" t="n"/>
      <c r="FS45" s="212" t="n"/>
      <c r="FT45" s="212" t="n"/>
      <c r="FU45" s="212" t="n"/>
      <c r="FV45" s="212" t="n"/>
      <c r="FW45" s="212" t="n"/>
      <c r="FX45" s="212" t="n"/>
      <c r="FY45" s="212" t="n"/>
      <c r="FZ45" s="212" t="n"/>
    </row>
    <row r="46" ht="39.95" customFormat="1" customHeight="1" s="5">
      <c r="A46" s="10" t="inlineStr">
        <is>
          <t>A</t>
        </is>
      </c>
      <c r="B46" s="6" t="n"/>
      <c r="C46" s="351" t="inlineStr">
        <is>
          <t>Year</t>
        </is>
      </c>
      <c r="D46" s="588" t="inlineStr">
        <is>
          <t>May 2055</t>
        </is>
      </c>
      <c r="E46" s="589" t="inlineStr">
        <is>
          <t>May 2055</t>
        </is>
      </c>
      <c r="F46" s="589" t="inlineStr">
        <is>
          <t>May 2055</t>
        </is>
      </c>
      <c r="G46" s="589" t="inlineStr">
        <is>
          <t>May 2055</t>
        </is>
      </c>
      <c r="H46" s="590" t="inlineStr">
        <is>
          <t>May 2055</t>
        </is>
      </c>
      <c r="I46" s="591" t="inlineStr">
        <is>
          <t>ND</t>
        </is>
      </c>
      <c r="J46" s="589" t="inlineStr">
        <is>
          <t>ND</t>
        </is>
      </c>
      <c r="K46" s="589" t="inlineStr">
        <is>
          <t>ND</t>
        </is>
      </c>
      <c r="L46" s="589" t="inlineStr">
        <is>
          <t>ND</t>
        </is>
      </c>
      <c r="M46" s="590" t="inlineStr">
        <is>
          <t>ND</t>
        </is>
      </c>
      <c r="N46" s="591" t="inlineStr">
        <is>
          <t>ND</t>
        </is>
      </c>
      <c r="O46" s="589" t="inlineStr">
        <is>
          <t>Nov 2052</t>
        </is>
      </c>
      <c r="P46" s="589" t="inlineStr">
        <is>
          <t>Sep 2039</t>
        </is>
      </c>
      <c r="Q46" s="589" t="inlineStr">
        <is>
          <t>May 2055</t>
        </is>
      </c>
      <c r="R46" s="590" t="inlineStr">
        <is>
          <t>May 2055</t>
        </is>
      </c>
      <c r="S46" s="591" t="inlineStr">
        <is>
          <t>May 2055</t>
        </is>
      </c>
      <c r="T46" s="589" t="inlineStr">
        <is>
          <t>May 2055</t>
        </is>
      </c>
      <c r="U46" s="589" t="inlineStr">
        <is>
          <t>ND</t>
        </is>
      </c>
      <c r="V46" s="589" t="inlineStr">
        <is>
          <t>May 2055</t>
        </is>
      </c>
      <c r="W46" s="590" t="inlineStr">
        <is>
          <t>Dec 2054</t>
        </is>
      </c>
      <c r="X46" s="591" t="inlineStr">
        <is>
          <t>Dec 2035</t>
        </is>
      </c>
      <c r="Y46" s="589" t="inlineStr">
        <is>
          <t>May 2055</t>
        </is>
      </c>
      <c r="Z46" s="589" t="inlineStr">
        <is>
          <t>May 2055</t>
        </is>
      </c>
      <c r="AA46" s="589" t="inlineStr">
        <is>
          <t>May 2055</t>
        </is>
      </c>
      <c r="AB46" s="590" t="inlineStr">
        <is>
          <t>Jan 2049</t>
        </is>
      </c>
      <c r="AC46" s="591" t="inlineStr">
        <is>
          <t>May 2055</t>
        </is>
      </c>
      <c r="AD46" s="589" t="inlineStr">
        <is>
          <t>Mar 2052</t>
        </is>
      </c>
      <c r="AE46" s="589" t="inlineStr">
        <is>
          <t>Oct 2047</t>
        </is>
      </c>
      <c r="AF46" s="589" t="inlineStr">
        <is>
          <t>Feb 2036</t>
        </is>
      </c>
      <c r="AG46" s="590" t="inlineStr">
        <is>
          <t>Mar 2037</t>
        </is>
      </c>
      <c r="AH46" s="591" t="inlineStr">
        <is>
          <t>Jan 2035</t>
        </is>
      </c>
      <c r="AI46" s="589" t="inlineStr">
        <is>
          <t>Sep 2032</t>
        </is>
      </c>
      <c r="AJ46" s="589" t="inlineStr">
        <is>
          <t>Feb 2031</t>
        </is>
      </c>
      <c r="AK46" s="589" t="inlineStr">
        <is>
          <t>May 2035</t>
        </is>
      </c>
      <c r="AL46" s="590" t="inlineStr">
        <is>
          <t>Jul 2034</t>
        </is>
      </c>
      <c r="AM46" s="591" t="inlineStr">
        <is>
          <t>Aug 2040</t>
        </is>
      </c>
      <c r="AN46" s="589" t="inlineStr">
        <is>
          <t>ND</t>
        </is>
      </c>
      <c r="AO46" s="589" t="inlineStr">
        <is>
          <t>May 2055</t>
        </is>
      </c>
      <c r="AP46" s="589" t="inlineStr">
        <is>
          <t>Apr 2036</t>
        </is>
      </c>
      <c r="AQ46" s="590" t="inlineStr">
        <is>
          <t>Jan 2035</t>
        </is>
      </c>
      <c r="AR46" s="591" t="inlineStr">
        <is>
          <t>May 2055</t>
        </is>
      </c>
      <c r="AS46" s="589" t="inlineStr">
        <is>
          <t>Mar 2050</t>
        </is>
      </c>
      <c r="AT46" s="589" t="inlineStr">
        <is>
          <t>May 2055</t>
        </is>
      </c>
      <c r="AU46" s="589" t="inlineStr">
        <is>
          <t>May 2055</t>
        </is>
      </c>
      <c r="AV46" s="590" t="inlineStr">
        <is>
          <t>Aug 2055</t>
        </is>
      </c>
      <c r="AW46" s="591" t="inlineStr">
        <is>
          <t>May 2055</t>
        </is>
      </c>
      <c r="AX46" s="589" t="inlineStr">
        <is>
          <t>May 2055</t>
        </is>
      </c>
      <c r="AY46" s="589" t="inlineStr">
        <is>
          <t>May 2055</t>
        </is>
      </c>
      <c r="AZ46" s="589" t="inlineStr">
        <is>
          <t>May 2055</t>
        </is>
      </c>
      <c r="BA46" s="590" t="inlineStr">
        <is>
          <t>May 2055</t>
        </is>
      </c>
      <c r="BB46" s="591" t="inlineStr">
        <is>
          <t>May 2055</t>
        </is>
      </c>
      <c r="BC46" s="589" t="inlineStr">
        <is>
          <t>Oct 2052</t>
        </is>
      </c>
      <c r="BD46" s="589" t="inlineStr">
        <is>
          <t>May 2055</t>
        </is>
      </c>
      <c r="BE46" s="589" t="inlineStr">
        <is>
          <t>Sep 2045</t>
        </is>
      </c>
      <c r="BF46" s="590" t="inlineStr">
        <is>
          <t>May 2055</t>
        </is>
      </c>
      <c r="BG46" s="591" t="inlineStr">
        <is>
          <t>May 2055</t>
        </is>
      </c>
      <c r="BH46" s="589" t="inlineStr">
        <is>
          <t>May 2055</t>
        </is>
      </c>
      <c r="BI46" s="589" t="inlineStr">
        <is>
          <t>May 2055</t>
        </is>
      </c>
      <c r="BJ46" s="589" t="inlineStr">
        <is>
          <t>Apr 2044</t>
        </is>
      </c>
      <c r="BK46" s="590" t="inlineStr">
        <is>
          <t>May 2055</t>
        </is>
      </c>
      <c r="BL46" s="591" t="inlineStr">
        <is>
          <t>May 2055</t>
        </is>
      </c>
      <c r="BM46" s="589" t="inlineStr">
        <is>
          <t>May 2055</t>
        </is>
      </c>
      <c r="BN46" s="589" t="inlineStr">
        <is>
          <t>May 2055</t>
        </is>
      </c>
      <c r="BO46" s="589" t="inlineStr">
        <is>
          <t>May 2055</t>
        </is>
      </c>
      <c r="BP46" s="590" t="inlineStr">
        <is>
          <t>ND</t>
        </is>
      </c>
      <c r="BQ46" s="591" t="inlineStr">
        <is>
          <t>May 2055</t>
        </is>
      </c>
      <c r="BR46" s="589" t="inlineStr">
        <is>
          <t>May 2055</t>
        </is>
      </c>
      <c r="BS46" s="589" t="inlineStr">
        <is>
          <t>May 2055</t>
        </is>
      </c>
      <c r="BT46" s="601" t="inlineStr">
        <is>
          <t>Feb 2026</t>
        </is>
      </c>
      <c r="BU46" s="437" t="n"/>
      <c r="BV46" s="437" t="n"/>
      <c r="BW46" s="238" t="n"/>
      <c r="BX46" s="238" t="n"/>
      <c r="BY46" s="238" t="n"/>
      <c r="BZ46" s="238" t="n"/>
      <c r="CA46" s="238" t="n"/>
      <c r="CB46" s="238" t="n"/>
      <c r="CC46" s="238" t="n"/>
      <c r="CD46" s="238" t="n"/>
      <c r="CE46" s="238" t="n"/>
      <c r="CF46" s="238" t="n"/>
      <c r="CG46" s="238" t="n"/>
      <c r="CH46" s="238" t="n"/>
      <c r="CI46" s="238" t="n"/>
      <c r="CJ46" s="238" t="n"/>
      <c r="CK46" s="238" t="n"/>
      <c r="CL46" s="238" t="n"/>
      <c r="CM46" s="238" t="n"/>
      <c r="CN46" s="238" t="n"/>
      <c r="CO46" s="238" t="n"/>
      <c r="CP46" s="238" t="n"/>
      <c r="CQ46" s="238" t="n"/>
      <c r="CR46" s="238" t="n"/>
      <c r="CS46" s="238" t="n"/>
      <c r="CT46" s="238" t="n"/>
      <c r="CU46" s="238" t="n"/>
      <c r="CV46" s="238" t="n"/>
      <c r="CW46" s="238" t="n"/>
      <c r="CX46" s="238" t="n"/>
      <c r="CY46" s="238" t="n"/>
      <c r="CZ46" s="238" t="n"/>
      <c r="DA46" s="238" t="n"/>
      <c r="DB46" s="238" t="n"/>
      <c r="DC46" s="238" t="n"/>
      <c r="DD46" s="238" t="n"/>
      <c r="DE46" s="238" t="n"/>
      <c r="DF46" s="238" t="n"/>
      <c r="DG46" s="238" t="n"/>
      <c r="DH46" s="238" t="n"/>
      <c r="DI46" s="238" t="n"/>
      <c r="DJ46" s="238" t="n"/>
      <c r="DK46" s="238" t="n"/>
      <c r="DL46" s="238" t="n"/>
      <c r="DM46" s="238" t="n"/>
      <c r="DN46" s="238" t="n"/>
      <c r="DO46" s="238" t="n"/>
      <c r="DP46" s="238" t="n"/>
      <c r="DQ46" s="238" t="n"/>
      <c r="DR46" s="238" t="n"/>
      <c r="DS46" s="238" t="n"/>
      <c r="DT46" s="238" t="n"/>
      <c r="DU46" s="238" t="n"/>
      <c r="DV46" s="238" t="n"/>
      <c r="DW46" s="238" t="n"/>
      <c r="DX46" s="238" t="n"/>
      <c r="DY46" s="238" t="n"/>
      <c r="DZ46" s="23" t="n"/>
      <c r="FQ46" s="212" t="n"/>
      <c r="FR46" s="212" t="n"/>
      <c r="FS46" s="212" t="n"/>
      <c r="FT46" s="212" t="n"/>
      <c r="FU46" s="212" t="n"/>
      <c r="FV46" s="212" t="n"/>
      <c r="FW46" s="212" t="n"/>
      <c r="FX46" s="212" t="n"/>
      <c r="FY46" s="212" t="n"/>
      <c r="FZ46" s="212" t="n"/>
    </row>
    <row r="47" ht="39.95" customFormat="1" customHeight="1" s="5">
      <c r="A47" s="182" t="inlineStr"/>
      <c r="B47" s="7" t="inlineStr">
        <is>
          <t>+7 FT 6 IN</t>
        </is>
      </c>
      <c r="C47" s="456" t="n"/>
      <c r="D47" s="13" t="n"/>
      <c r="H47" s="592" t="n"/>
      <c r="I47" s="593" t="n"/>
      <c r="M47" s="592" t="n"/>
      <c r="N47" s="593" t="n"/>
      <c r="R47" s="592" t="n"/>
      <c r="S47" s="593" t="n"/>
      <c r="W47" s="592" t="n"/>
      <c r="X47" s="593" t="n"/>
      <c r="AB47" s="592" t="n"/>
      <c r="AC47" s="593" t="n"/>
      <c r="AG47" s="592" t="n"/>
      <c r="AH47" s="593" t="n"/>
      <c r="AL47" s="592" t="n"/>
      <c r="AM47" s="593" t="n"/>
      <c r="AQ47" s="592" t="n"/>
      <c r="AR47" s="593" t="n"/>
      <c r="AV47" s="592" t="n"/>
      <c r="AW47" s="593" t="n"/>
      <c r="BA47" s="592" t="n"/>
      <c r="BB47" s="593" t="n"/>
      <c r="BF47" s="592" t="n"/>
      <c r="BG47" s="593" t="n"/>
      <c r="BK47" s="592" t="n"/>
      <c r="BL47" s="593" t="n"/>
      <c r="BP47" s="592" t="n"/>
      <c r="BQ47" s="593" t="n"/>
      <c r="BT47" s="592" t="n"/>
      <c r="BU47" s="437" t="n"/>
      <c r="BV47" s="437" t="n"/>
      <c r="BW47" s="238" t="n"/>
      <c r="BX47" s="238" t="n"/>
      <c r="BY47" s="238" t="n"/>
      <c r="BZ47" s="238" t="n"/>
      <c r="CA47" s="238" t="n"/>
      <c r="CB47" s="238" t="n"/>
      <c r="CC47" s="238" t="n"/>
      <c r="CD47" s="238" t="n"/>
      <c r="CE47" s="238" t="n"/>
      <c r="CF47" s="238" t="n"/>
      <c r="CG47" s="238" t="n"/>
      <c r="CH47" s="238" t="n"/>
      <c r="CI47" s="238" t="n"/>
      <c r="CJ47" s="238" t="n"/>
      <c r="CK47" s="238" t="n"/>
      <c r="CL47" s="238" t="n"/>
      <c r="CM47" s="238" t="n"/>
      <c r="CN47" s="238" t="n"/>
      <c r="CO47" s="238" t="n"/>
      <c r="CP47" s="238" t="n"/>
      <c r="CQ47" s="238" t="n"/>
      <c r="CR47" s="238" t="n"/>
      <c r="CS47" s="238" t="n"/>
      <c r="CT47" s="238" t="n"/>
      <c r="CU47" s="238" t="n"/>
      <c r="CV47" s="238" t="n"/>
      <c r="CW47" s="238" t="n"/>
      <c r="CX47" s="238" t="n"/>
      <c r="CY47" s="238" t="n"/>
      <c r="CZ47" s="238" t="n"/>
      <c r="DA47" s="238" t="n"/>
      <c r="DB47" s="238" t="n"/>
      <c r="DC47" s="238" t="n"/>
      <c r="DD47" s="238" t="n"/>
      <c r="DE47" s="238" t="n"/>
      <c r="DF47" s="238" t="n"/>
      <c r="DG47" s="238" t="n"/>
      <c r="DH47" s="238" t="n"/>
      <c r="DI47" s="238" t="n"/>
      <c r="DJ47" s="238" t="n"/>
      <c r="DK47" s="238" t="n"/>
      <c r="DL47" s="238" t="n"/>
      <c r="DM47" s="238" t="n"/>
      <c r="DN47" s="238" t="n"/>
      <c r="DO47" s="238" t="n"/>
      <c r="DP47" s="238" t="n"/>
      <c r="DQ47" s="238" t="n"/>
      <c r="DR47" s="238" t="n"/>
      <c r="DS47" s="238" t="n"/>
      <c r="DT47" s="238" t="n"/>
      <c r="DU47" s="238" t="n"/>
      <c r="DV47" s="238" t="n"/>
      <c r="DW47" s="238" t="n"/>
      <c r="DX47" s="238" t="n"/>
      <c r="DY47" s="238" t="n"/>
      <c r="DZ47" s="23" t="n"/>
      <c r="FQ47" s="212" t="n"/>
      <c r="FR47" s="212" t="n"/>
      <c r="FS47" s="212" t="n"/>
      <c r="FT47" s="212" t="n"/>
      <c r="FU47" s="212" t="n"/>
      <c r="FV47" s="212" t="n"/>
      <c r="FW47" s="212" t="n"/>
      <c r="FX47" s="212" t="n"/>
      <c r="FY47" s="212" t="n"/>
      <c r="FZ47" s="212" t="n"/>
    </row>
    <row r="48" ht="39.95" customFormat="1" customHeight="1" s="5">
      <c r="A48" s="456" t="n"/>
      <c r="B48" s="8" t="n"/>
      <c r="C48" s="456" t="n"/>
      <c r="D48" s="594" t="n"/>
      <c r="E48" s="595" t="n"/>
      <c r="F48" s="595" t="n"/>
      <c r="G48" s="595" t="n"/>
      <c r="H48" s="596" t="n"/>
      <c r="I48" s="597" t="n"/>
      <c r="J48" s="595" t="n"/>
      <c r="K48" s="595" t="n"/>
      <c r="L48" s="595" t="n"/>
      <c r="M48" s="596" t="n"/>
      <c r="N48" s="597" t="n"/>
      <c r="O48" s="595" t="n"/>
      <c r="P48" s="595" t="n"/>
      <c r="Q48" s="595" t="n"/>
      <c r="R48" s="596" t="n"/>
      <c r="S48" s="597" t="n"/>
      <c r="T48" s="595" t="n"/>
      <c r="U48" s="595" t="n"/>
      <c r="V48" s="595" t="n"/>
      <c r="W48" s="596" t="n"/>
      <c r="X48" s="597" t="n"/>
      <c r="Y48" s="595" t="n"/>
      <c r="Z48" s="595" t="n"/>
      <c r="AA48" s="595" t="n"/>
      <c r="AB48" s="596" t="n"/>
      <c r="AC48" s="597" t="n"/>
      <c r="AD48" s="595" t="n"/>
      <c r="AE48" s="595" t="n"/>
      <c r="AF48" s="595" t="n"/>
      <c r="AG48" s="596" t="n"/>
      <c r="AH48" s="597" t="n"/>
      <c r="AI48" s="595" t="n"/>
      <c r="AJ48" s="595" t="n"/>
      <c r="AK48" s="595" t="n"/>
      <c r="AL48" s="596" t="n"/>
      <c r="AM48" s="597" t="n"/>
      <c r="AN48" s="595" t="n"/>
      <c r="AO48" s="595" t="n"/>
      <c r="AP48" s="595" t="n"/>
      <c r="AQ48" s="596" t="n"/>
      <c r="AR48" s="597" t="n"/>
      <c r="AS48" s="595" t="n"/>
      <c r="AT48" s="595" t="n"/>
      <c r="AU48" s="595" t="n"/>
      <c r="AV48" s="596" t="n"/>
      <c r="AW48" s="597" t="n"/>
      <c r="AX48" s="595" t="n"/>
      <c r="AY48" s="595" t="n"/>
      <c r="AZ48" s="595" t="n"/>
      <c r="BA48" s="596" t="n"/>
      <c r="BB48" s="597" t="n"/>
      <c r="BC48" s="595" t="n"/>
      <c r="BD48" s="595" t="n"/>
      <c r="BE48" s="595" t="n"/>
      <c r="BF48" s="596" t="n"/>
      <c r="BG48" s="597" t="n"/>
      <c r="BH48" s="595" t="n"/>
      <c r="BI48" s="595" t="n"/>
      <c r="BJ48" s="595" t="n"/>
      <c r="BK48" s="596" t="n"/>
      <c r="BL48" s="597" t="n"/>
      <c r="BM48" s="595" t="n"/>
      <c r="BN48" s="595" t="n"/>
      <c r="BO48" s="595" t="n"/>
      <c r="BP48" s="596" t="n"/>
      <c r="BQ48" s="597" t="n"/>
      <c r="BR48" s="595" t="n"/>
      <c r="BS48" s="595" t="n"/>
      <c r="BT48" s="596" t="n"/>
      <c r="BU48" s="437" t="n"/>
      <c r="BV48" s="437" t="n"/>
      <c r="BW48" s="238" t="n"/>
      <c r="BX48" s="238" t="n"/>
      <c r="BY48" s="238" t="n"/>
      <c r="BZ48" s="238" t="n"/>
      <c r="CA48" s="238" t="n"/>
      <c r="CB48" s="238" t="n"/>
      <c r="CC48" s="238" t="n"/>
      <c r="CD48" s="238" t="n"/>
      <c r="CE48" s="238" t="n"/>
      <c r="CF48" s="238" t="n"/>
      <c r="CG48" s="238" t="n"/>
      <c r="CH48" s="238" t="n"/>
      <c r="CI48" s="238" t="n"/>
      <c r="CJ48" s="238" t="n"/>
      <c r="CK48" s="238" t="n"/>
      <c r="CL48" s="238" t="n"/>
      <c r="CM48" s="238" t="n"/>
      <c r="CN48" s="238" t="n"/>
      <c r="CO48" s="238" t="n"/>
      <c r="CP48" s="238" t="n"/>
      <c r="CQ48" s="238" t="n"/>
      <c r="CR48" s="238" t="n"/>
      <c r="CS48" s="238" t="n"/>
      <c r="CT48" s="238" t="n"/>
      <c r="CU48" s="238" t="n"/>
      <c r="CV48" s="238" t="n"/>
      <c r="CW48" s="238" t="n"/>
      <c r="CX48" s="238" t="n"/>
      <c r="CY48" s="238" t="n"/>
      <c r="CZ48" s="238" t="n"/>
      <c r="DA48" s="238" t="n"/>
      <c r="DB48" s="238" t="n"/>
      <c r="DC48" s="238" t="n"/>
      <c r="DD48" s="238" t="n"/>
      <c r="DE48" s="238" t="n"/>
      <c r="DF48" s="238" t="n"/>
      <c r="DG48" s="238" t="n"/>
      <c r="DH48" s="238" t="n"/>
      <c r="DI48" s="238" t="n"/>
      <c r="DJ48" s="238" t="n"/>
      <c r="DK48" s="238" t="n"/>
      <c r="DL48" s="238" t="n"/>
      <c r="DM48" s="238" t="n"/>
      <c r="DN48" s="238" t="n"/>
      <c r="DO48" s="238" t="n"/>
      <c r="DP48" s="238" t="n"/>
      <c r="DQ48" s="238" t="n"/>
      <c r="DR48" s="238" t="n"/>
      <c r="DS48" s="238" t="n"/>
      <c r="DT48" s="238" t="n"/>
      <c r="DU48" s="238" t="n"/>
      <c r="DV48" s="238" t="n"/>
      <c r="DW48" s="238" t="n"/>
      <c r="DX48" s="238" t="n"/>
      <c r="DY48" s="238" t="n"/>
      <c r="DZ48" s="23" t="n"/>
      <c r="FQ48" s="212" t="n"/>
      <c r="FR48" s="212" t="n"/>
      <c r="FS48" s="212" t="n"/>
      <c r="FT48" s="212" t="n"/>
      <c r="FU48" s="212" t="n"/>
      <c r="FV48" s="212" t="n"/>
      <c r="FW48" s="212" t="n"/>
      <c r="FX48" s="212" t="n"/>
      <c r="FY48" s="212" t="n"/>
      <c r="FZ48" s="212" t="n"/>
    </row>
    <row r="49" ht="39.95" customFormat="1" customHeight="1" s="5">
      <c r="A49" s="10" t="inlineStr">
        <is>
          <t>A</t>
        </is>
      </c>
      <c r="B49" s="6" t="n"/>
      <c r="C49" s="351" t="inlineStr">
        <is>
          <t>Year</t>
        </is>
      </c>
      <c r="D49" s="588" t="inlineStr">
        <is>
          <t>May 2055</t>
        </is>
      </c>
      <c r="E49" s="589" t="inlineStr">
        <is>
          <t>May 2055</t>
        </is>
      </c>
      <c r="F49" s="589" t="inlineStr">
        <is>
          <t>May 2055</t>
        </is>
      </c>
      <c r="G49" s="589" t="inlineStr">
        <is>
          <t>May 2055</t>
        </is>
      </c>
      <c r="H49" s="590" t="inlineStr">
        <is>
          <t>May 2055</t>
        </is>
      </c>
      <c r="I49" s="591" t="inlineStr">
        <is>
          <t>ND</t>
        </is>
      </c>
      <c r="J49" s="589" t="inlineStr">
        <is>
          <t>ND</t>
        </is>
      </c>
      <c r="K49" s="589" t="inlineStr">
        <is>
          <t>ND</t>
        </is>
      </c>
      <c r="L49" s="589" t="inlineStr">
        <is>
          <t>ND</t>
        </is>
      </c>
      <c r="M49" s="590" t="inlineStr">
        <is>
          <t>ND</t>
        </is>
      </c>
      <c r="N49" s="591" t="inlineStr">
        <is>
          <t>May 2055</t>
        </is>
      </c>
      <c r="O49" s="589" t="inlineStr">
        <is>
          <t>May 2055</t>
        </is>
      </c>
      <c r="P49" s="589" t="inlineStr">
        <is>
          <t>Aug 2043</t>
        </is>
      </c>
      <c r="Q49" s="589" t="inlineStr">
        <is>
          <t>Dec 2035</t>
        </is>
      </c>
      <c r="R49" s="590" t="inlineStr">
        <is>
          <t>Sep 2036</t>
        </is>
      </c>
      <c r="S49" s="591" t="inlineStr">
        <is>
          <t>Sep 2036</t>
        </is>
      </c>
      <c r="T49" s="589" t="inlineStr">
        <is>
          <t>Feb 2037</t>
        </is>
      </c>
      <c r="U49" s="589" t="inlineStr">
        <is>
          <t>Apr 2033</t>
        </is>
      </c>
      <c r="V49" s="589" t="inlineStr">
        <is>
          <t>May 2055</t>
        </is>
      </c>
      <c r="W49" s="590" t="inlineStr">
        <is>
          <t>Sep 2034</t>
        </is>
      </c>
      <c r="X49" s="591" t="inlineStr">
        <is>
          <t>Feb 2033</t>
        </is>
      </c>
      <c r="Y49" s="589" t="inlineStr">
        <is>
          <t>Oct 2032</t>
        </is>
      </c>
      <c r="Z49" s="589" t="inlineStr">
        <is>
          <t>May 2055</t>
        </is>
      </c>
      <c r="AA49" s="589" t="inlineStr">
        <is>
          <t>Aug 2040</t>
        </is>
      </c>
      <c r="AB49" s="590" t="inlineStr">
        <is>
          <t>ND</t>
        </is>
      </c>
      <c r="AC49" s="591" t="inlineStr">
        <is>
          <t>Apr 2050</t>
        </is>
      </c>
      <c r="AD49" s="589" t="inlineStr">
        <is>
          <t>Oct 2036</t>
        </is>
      </c>
      <c r="AE49" s="589" t="inlineStr">
        <is>
          <t>Jun 2037</t>
        </is>
      </c>
      <c r="AF49" s="589" t="inlineStr">
        <is>
          <t>ND</t>
        </is>
      </c>
      <c r="AG49" s="590" t="inlineStr">
        <is>
          <t>May 2055</t>
        </is>
      </c>
      <c r="AH49" s="591" t="inlineStr">
        <is>
          <t>May 2055</t>
        </is>
      </c>
      <c r="AI49" s="589" t="inlineStr">
        <is>
          <t>May 2055</t>
        </is>
      </c>
      <c r="AJ49" s="589" t="inlineStr">
        <is>
          <t>Jul 2040</t>
        </is>
      </c>
      <c r="AK49" s="589" t="inlineStr">
        <is>
          <t>May 2055</t>
        </is>
      </c>
      <c r="AL49" s="590" t="inlineStr">
        <is>
          <t>Jun 2033</t>
        </is>
      </c>
      <c r="AM49" s="591" t="inlineStr">
        <is>
          <t>May 2055</t>
        </is>
      </c>
      <c r="AN49" s="589" t="inlineStr">
        <is>
          <t>May 2055</t>
        </is>
      </c>
      <c r="AO49" s="589" t="inlineStr">
        <is>
          <t>ND</t>
        </is>
      </c>
      <c r="AP49" s="589" t="inlineStr">
        <is>
          <t>Mar 2046</t>
        </is>
      </c>
      <c r="AQ49" s="590" t="inlineStr">
        <is>
          <t>May 2055</t>
        </is>
      </c>
      <c r="AR49" s="591" t="inlineStr">
        <is>
          <t>Apr 2037</t>
        </is>
      </c>
      <c r="AS49" s="589" t="inlineStr">
        <is>
          <t>Jul 2048</t>
        </is>
      </c>
      <c r="AT49" s="589" t="inlineStr">
        <is>
          <t>May 2055</t>
        </is>
      </c>
      <c r="AU49" s="589" t="inlineStr">
        <is>
          <t>May 2055</t>
        </is>
      </c>
      <c r="AV49" s="590" t="inlineStr">
        <is>
          <t>ND</t>
        </is>
      </c>
      <c r="AW49" s="591" t="inlineStr">
        <is>
          <t>ND</t>
        </is>
      </c>
      <c r="AX49" s="589" t="inlineStr">
        <is>
          <t>ND</t>
        </is>
      </c>
      <c r="AY49" s="589" t="inlineStr">
        <is>
          <t>ND</t>
        </is>
      </c>
      <c r="AZ49" s="589" t="inlineStr">
        <is>
          <t>Dec 2042</t>
        </is>
      </c>
      <c r="BA49" s="590" t="inlineStr">
        <is>
          <t>May 2055</t>
        </is>
      </c>
      <c r="BB49" s="591" t="inlineStr">
        <is>
          <t>ND</t>
        </is>
      </c>
      <c r="BC49" s="589" t="inlineStr">
        <is>
          <t>May 2055</t>
        </is>
      </c>
      <c r="BD49" s="589" t="inlineStr">
        <is>
          <t>Aug 2046</t>
        </is>
      </c>
      <c r="BE49" s="589" t="inlineStr">
        <is>
          <t>May 2055</t>
        </is>
      </c>
      <c r="BF49" s="590" t="inlineStr">
        <is>
          <t>May 2055</t>
        </is>
      </c>
      <c r="BG49" s="591" t="inlineStr">
        <is>
          <t>May 2055</t>
        </is>
      </c>
      <c r="BH49" s="589" t="inlineStr">
        <is>
          <t>May 2055</t>
        </is>
      </c>
      <c r="BI49" s="589" t="inlineStr">
        <is>
          <t>May 2055</t>
        </is>
      </c>
      <c r="BJ49" s="589" t="inlineStr">
        <is>
          <t>May 2055</t>
        </is>
      </c>
      <c r="BK49" s="590" t="inlineStr">
        <is>
          <t>May 2055</t>
        </is>
      </c>
      <c r="BL49" s="591" t="inlineStr">
        <is>
          <t>ND</t>
        </is>
      </c>
      <c r="BM49" s="589" t="inlineStr">
        <is>
          <t>Apr 2041</t>
        </is>
      </c>
      <c r="BN49" s="589" t="inlineStr">
        <is>
          <t>ND</t>
        </is>
      </c>
      <c r="BO49" s="589" t="inlineStr">
        <is>
          <t>Sep 2045</t>
        </is>
      </c>
      <c r="BP49" s="590" t="inlineStr">
        <is>
          <t>ND</t>
        </is>
      </c>
      <c r="BQ49" s="591" t="inlineStr">
        <is>
          <t>May 2055</t>
        </is>
      </c>
      <c r="BR49" s="589" t="inlineStr">
        <is>
          <t>May 2055</t>
        </is>
      </c>
      <c r="BS49" s="589" t="inlineStr">
        <is>
          <t>Feb 2046</t>
        </is>
      </c>
      <c r="BT49" s="590" t="inlineStr">
        <is>
          <t>May 2055</t>
        </is>
      </c>
      <c r="BU49" s="437" t="n"/>
      <c r="BV49" s="437" t="n"/>
      <c r="BW49" s="238" t="n"/>
      <c r="BX49" s="238" t="n"/>
      <c r="BY49" s="238" t="n"/>
      <c r="BZ49" s="238" t="n"/>
      <c r="CA49" s="238" t="n"/>
      <c r="CB49" s="238" t="n"/>
      <c r="CC49" s="238" t="n"/>
      <c r="CD49" s="238" t="n"/>
      <c r="CE49" s="238" t="n"/>
      <c r="CF49" s="238" t="n"/>
      <c r="CG49" s="238" t="n"/>
      <c r="CH49" s="238" t="n"/>
      <c r="CI49" s="238" t="n"/>
      <c r="CJ49" s="238" t="n"/>
      <c r="CK49" s="238" t="n"/>
      <c r="CL49" s="238" t="n"/>
      <c r="CM49" s="238" t="n"/>
      <c r="CN49" s="238" t="n"/>
      <c r="CO49" s="238" t="n"/>
      <c r="CP49" s="238" t="n"/>
      <c r="CQ49" s="238" t="n"/>
      <c r="CR49" s="238" t="n"/>
      <c r="CS49" s="238" t="n"/>
      <c r="CT49" s="238" t="n"/>
      <c r="CU49" s="238" t="n"/>
      <c r="CV49" s="238" t="n"/>
      <c r="CW49" s="238" t="n"/>
      <c r="CX49" s="238" t="n"/>
      <c r="CY49" s="238" t="n"/>
      <c r="CZ49" s="238" t="n"/>
      <c r="DA49" s="238" t="n"/>
      <c r="DB49" s="238" t="n"/>
      <c r="DC49" s="238" t="n"/>
      <c r="DD49" s="238" t="n"/>
      <c r="DE49" s="238" t="n"/>
      <c r="DF49" s="238" t="n"/>
      <c r="DG49" s="238" t="n"/>
      <c r="DH49" s="238" t="n"/>
      <c r="DI49" s="238" t="n"/>
      <c r="DJ49" s="238" t="n"/>
      <c r="DK49" s="238" t="n"/>
      <c r="DL49" s="238" t="n"/>
      <c r="DM49" s="238" t="n"/>
      <c r="DN49" s="238" t="n"/>
      <c r="DO49" s="238" t="n"/>
      <c r="DP49" s="238" t="n"/>
      <c r="DQ49" s="238" t="n"/>
      <c r="DR49" s="238" t="n"/>
      <c r="DS49" s="238" t="n"/>
      <c r="DT49" s="238" t="n"/>
      <c r="DU49" s="238" t="n"/>
      <c r="DV49" s="238" t="n"/>
      <c r="DW49" s="238" t="n"/>
      <c r="DX49" s="238" t="n"/>
      <c r="DY49" s="238" t="n"/>
      <c r="DZ49" s="23" t="n"/>
      <c r="FQ49" s="212" t="n"/>
      <c r="FR49" s="212" t="n"/>
      <c r="FS49" s="212" t="n"/>
      <c r="FT49" s="212" t="n"/>
      <c r="FU49" s="212" t="n"/>
      <c r="FV49" s="212" t="n"/>
      <c r="FW49" s="212" t="n"/>
      <c r="FX49" s="212" t="n"/>
      <c r="FY49" s="212" t="n"/>
      <c r="FZ49" s="212" t="n"/>
    </row>
    <row r="50" ht="39.95" customFormat="1" customHeight="1" s="5">
      <c r="A50" s="182" t="inlineStr"/>
      <c r="B50" s="7" t="inlineStr">
        <is>
          <t>+6 FT</t>
        </is>
      </c>
      <c r="C50" s="456" t="n"/>
      <c r="D50" s="13" t="n"/>
      <c r="H50" s="592" t="n"/>
      <c r="I50" s="593" t="n"/>
      <c r="M50" s="592" t="n"/>
      <c r="N50" s="593" t="n"/>
      <c r="R50" s="592" t="n"/>
      <c r="S50" s="593" t="n"/>
      <c r="W50" s="592" t="n"/>
      <c r="X50" s="593" t="n"/>
      <c r="AB50" s="592" t="n"/>
      <c r="AC50" s="593" t="n"/>
      <c r="AG50" s="592" t="n"/>
      <c r="AH50" s="593" t="n"/>
      <c r="AL50" s="592" t="n"/>
      <c r="AM50" s="593" t="n"/>
      <c r="AQ50" s="592" t="n"/>
      <c r="AR50" s="593" t="n"/>
      <c r="AV50" s="592" t="n"/>
      <c r="AW50" s="593" t="n"/>
      <c r="BA50" s="592" t="n"/>
      <c r="BB50" s="593" t="n"/>
      <c r="BF50" s="592" t="n"/>
      <c r="BG50" s="593" t="n"/>
      <c r="BK50" s="592" t="n"/>
      <c r="BL50" s="593" t="n"/>
      <c r="BP50" s="592" t="n"/>
      <c r="BQ50" s="593" t="n"/>
      <c r="BT50" s="592" t="n"/>
      <c r="BU50" s="437" t="n"/>
      <c r="BV50" s="437" t="n"/>
      <c r="BW50" s="238" t="n"/>
      <c r="BX50" s="238" t="n"/>
      <c r="BY50" s="238" t="n"/>
      <c r="BZ50" s="238" t="n"/>
      <c r="CA50" s="238" t="n"/>
      <c r="CB50" s="238" t="n"/>
      <c r="CC50" s="238" t="n"/>
      <c r="CD50" s="238" t="n"/>
      <c r="CE50" s="238" t="n"/>
      <c r="CF50" s="238" t="n"/>
      <c r="CG50" s="238" t="n"/>
      <c r="CH50" s="238" t="n"/>
      <c r="CI50" s="238" t="n"/>
      <c r="CJ50" s="238" t="n"/>
      <c r="CK50" s="238" t="n"/>
      <c r="CL50" s="238" t="n"/>
      <c r="CM50" s="238" t="n"/>
      <c r="CN50" s="238" t="n"/>
      <c r="CO50" s="238" t="n"/>
      <c r="CP50" s="238" t="n"/>
      <c r="CQ50" s="238" t="n"/>
      <c r="CR50" s="238" t="n"/>
      <c r="CS50" s="238" t="n"/>
      <c r="CT50" s="238" t="n"/>
      <c r="CU50" s="238" t="n"/>
      <c r="CV50" s="238" t="n"/>
      <c r="CW50" s="238" t="n"/>
      <c r="CX50" s="238" t="n"/>
      <c r="CY50" s="238" t="n"/>
      <c r="CZ50" s="238" t="n"/>
      <c r="DA50" s="238" t="n"/>
      <c r="DB50" s="238" t="n"/>
      <c r="DC50" s="238" t="n"/>
      <c r="DD50" s="238" t="n"/>
      <c r="DE50" s="238" t="n"/>
      <c r="DF50" s="238" t="n"/>
      <c r="DG50" s="238" t="n"/>
      <c r="DH50" s="238" t="n"/>
      <c r="DI50" s="238" t="n"/>
      <c r="DJ50" s="238" t="n"/>
      <c r="DK50" s="238" t="n"/>
      <c r="DL50" s="238" t="n"/>
      <c r="DM50" s="238" t="n"/>
      <c r="DN50" s="238" t="n"/>
      <c r="DO50" s="238" t="n"/>
      <c r="DP50" s="238" t="n"/>
      <c r="DQ50" s="238" t="n"/>
      <c r="DR50" s="238" t="n"/>
      <c r="DS50" s="238" t="n"/>
      <c r="DT50" s="238" t="n"/>
      <c r="DU50" s="238" t="n"/>
      <c r="DV50" s="238" t="n"/>
      <c r="DW50" s="238" t="n"/>
      <c r="DX50" s="238" t="n"/>
      <c r="DY50" s="238" t="n"/>
      <c r="DZ50" s="23" t="n"/>
      <c r="FQ50" s="212" t="n"/>
      <c r="FR50" s="212" t="n"/>
      <c r="FS50" s="212" t="n"/>
      <c r="FT50" s="212" t="n"/>
      <c r="FU50" s="212" t="n"/>
      <c r="FV50" s="212" t="n"/>
      <c r="FW50" s="212" t="n"/>
      <c r="FX50" s="212" t="n"/>
      <c r="FY50" s="212" t="n"/>
      <c r="FZ50" s="212" t="n"/>
    </row>
    <row r="51" ht="39.95" customFormat="1" customHeight="1" s="5">
      <c r="A51" s="456" t="n"/>
      <c r="B51" s="8" t="n"/>
      <c r="C51" s="456" t="n"/>
      <c r="D51" s="594" t="n"/>
      <c r="E51" s="595" t="n"/>
      <c r="F51" s="595" t="n"/>
      <c r="G51" s="595" t="n"/>
      <c r="H51" s="596" t="n"/>
      <c r="I51" s="597" t="n"/>
      <c r="J51" s="595" t="n"/>
      <c r="K51" s="595" t="n"/>
      <c r="L51" s="595" t="n"/>
      <c r="M51" s="596" t="n"/>
      <c r="N51" s="597" t="n"/>
      <c r="O51" s="595" t="n"/>
      <c r="P51" s="595" t="n"/>
      <c r="Q51" s="595" t="n"/>
      <c r="R51" s="596" t="n"/>
      <c r="S51" s="597" t="n"/>
      <c r="T51" s="595" t="n"/>
      <c r="U51" s="595" t="n"/>
      <c r="V51" s="595" t="n"/>
      <c r="W51" s="596" t="n"/>
      <c r="X51" s="597" t="n"/>
      <c r="Y51" s="595" t="n"/>
      <c r="Z51" s="595" t="n"/>
      <c r="AA51" s="595" t="n"/>
      <c r="AB51" s="596" t="n"/>
      <c r="AC51" s="597" t="n"/>
      <c r="AD51" s="595" t="n"/>
      <c r="AE51" s="595" t="n"/>
      <c r="AF51" s="595" t="n"/>
      <c r="AG51" s="596" t="n"/>
      <c r="AH51" s="597" t="n"/>
      <c r="AI51" s="595" t="n"/>
      <c r="AJ51" s="595" t="n"/>
      <c r="AK51" s="595" t="n"/>
      <c r="AL51" s="596" t="n"/>
      <c r="AM51" s="597" t="n"/>
      <c r="AN51" s="595" t="n"/>
      <c r="AO51" s="595" t="n"/>
      <c r="AP51" s="595" t="n"/>
      <c r="AQ51" s="596" t="n"/>
      <c r="AR51" s="597" t="n"/>
      <c r="AS51" s="595" t="n"/>
      <c r="AT51" s="595" t="n"/>
      <c r="AU51" s="595" t="n"/>
      <c r="AV51" s="596" t="n"/>
      <c r="AW51" s="597" t="n"/>
      <c r="AX51" s="595" t="n"/>
      <c r="AY51" s="595" t="n"/>
      <c r="AZ51" s="595" t="n"/>
      <c r="BA51" s="596" t="n"/>
      <c r="BB51" s="597" t="n"/>
      <c r="BC51" s="595" t="n"/>
      <c r="BD51" s="595" t="n"/>
      <c r="BE51" s="595" t="n"/>
      <c r="BF51" s="596" t="n"/>
      <c r="BG51" s="597" t="n"/>
      <c r="BH51" s="595" t="n"/>
      <c r="BI51" s="595" t="n"/>
      <c r="BJ51" s="595" t="n"/>
      <c r="BK51" s="596" t="n"/>
      <c r="BL51" s="597" t="n"/>
      <c r="BM51" s="595" t="n"/>
      <c r="BN51" s="595" t="n"/>
      <c r="BO51" s="595" t="n"/>
      <c r="BP51" s="596" t="n"/>
      <c r="BQ51" s="597" t="n"/>
      <c r="BR51" s="595" t="n"/>
      <c r="BS51" s="595" t="n"/>
      <c r="BT51" s="596" t="n"/>
      <c r="BU51" s="437" t="n"/>
      <c r="BV51" s="437" t="n"/>
      <c r="BW51" s="238" t="n"/>
      <c r="BX51" s="238" t="n"/>
      <c r="BY51" s="238" t="n"/>
      <c r="BZ51" s="238" t="n"/>
      <c r="CA51" s="238" t="n"/>
      <c r="CB51" s="238" t="n"/>
      <c r="CC51" s="238" t="n"/>
      <c r="CD51" s="238" t="n"/>
      <c r="CE51" s="238" t="n"/>
      <c r="CF51" s="238" t="n"/>
      <c r="CG51" s="238" t="n"/>
      <c r="CH51" s="238" t="n"/>
      <c r="CI51" s="238" t="n"/>
      <c r="CJ51" s="238" t="n"/>
      <c r="CK51" s="238" t="n"/>
      <c r="CL51" s="238" t="n"/>
      <c r="CM51" s="238" t="n"/>
      <c r="CN51" s="238" t="n"/>
      <c r="CO51" s="238" t="n"/>
      <c r="CP51" s="238" t="n"/>
      <c r="CQ51" s="238" t="n"/>
      <c r="CR51" s="238" t="n"/>
      <c r="CS51" s="238" t="n"/>
      <c r="CT51" s="238" t="n"/>
      <c r="CU51" s="238" t="n"/>
      <c r="CV51" s="238" t="n"/>
      <c r="CW51" s="238" t="n"/>
      <c r="CX51" s="238" t="n"/>
      <c r="CY51" s="238" t="n"/>
      <c r="CZ51" s="238" t="n"/>
      <c r="DA51" s="238" t="n"/>
      <c r="DB51" s="238" t="n"/>
      <c r="DC51" s="238" t="n"/>
      <c r="DD51" s="238" t="n"/>
      <c r="DE51" s="238" t="n"/>
      <c r="DF51" s="238" t="n"/>
      <c r="DG51" s="238" t="n"/>
      <c r="DH51" s="238" t="n"/>
      <c r="DI51" s="238" t="n"/>
      <c r="DJ51" s="238" t="n"/>
      <c r="DK51" s="238" t="n"/>
      <c r="DL51" s="238" t="n"/>
      <c r="DM51" s="238" t="n"/>
      <c r="DN51" s="238" t="n"/>
      <c r="DO51" s="238" t="n"/>
      <c r="DP51" s="238" t="n"/>
      <c r="DQ51" s="238" t="n"/>
      <c r="DR51" s="238" t="n"/>
      <c r="DS51" s="238" t="n"/>
      <c r="DT51" s="238" t="n"/>
      <c r="DU51" s="238" t="n"/>
      <c r="DV51" s="238" t="n"/>
      <c r="DW51" s="238" t="n"/>
      <c r="DX51" s="238" t="n"/>
      <c r="DY51" s="238" t="n"/>
      <c r="DZ51" s="23" t="n"/>
      <c r="FQ51" s="212" t="n"/>
      <c r="FR51" s="212" t="n"/>
      <c r="FS51" s="212" t="n"/>
      <c r="FT51" s="212" t="n"/>
      <c r="FU51" s="212" t="n"/>
      <c r="FV51" s="212" t="n"/>
      <c r="FW51" s="212" t="n"/>
      <c r="FX51" s="212" t="n"/>
      <c r="FY51" s="212" t="n"/>
      <c r="FZ51" s="212" t="n"/>
    </row>
    <row r="52" ht="39.95" customFormat="1" customHeight="1" s="5">
      <c r="A52" s="10" t="inlineStr">
        <is>
          <t>A</t>
        </is>
      </c>
      <c r="B52" s="6" t="n"/>
      <c r="C52" s="351" t="inlineStr">
        <is>
          <t>Year</t>
        </is>
      </c>
      <c r="D52" s="588" t="inlineStr">
        <is>
          <t>Nov 2037</t>
        </is>
      </c>
      <c r="E52" s="589" t="inlineStr">
        <is>
          <t>May 2055</t>
        </is>
      </c>
      <c r="F52" s="589" t="inlineStr">
        <is>
          <t>Jun 2047</t>
        </is>
      </c>
      <c r="G52" s="589" t="inlineStr">
        <is>
          <t>Sep 2048</t>
        </is>
      </c>
      <c r="H52" s="590" t="inlineStr">
        <is>
          <t>Nov 2054</t>
        </is>
      </c>
      <c r="I52" s="591" t="inlineStr">
        <is>
          <t>May 2055</t>
        </is>
      </c>
      <c r="J52" s="589" t="inlineStr">
        <is>
          <t>May 2055</t>
        </is>
      </c>
      <c r="K52" s="589" t="inlineStr">
        <is>
          <t>May 2055</t>
        </is>
      </c>
      <c r="L52" s="589" t="inlineStr">
        <is>
          <t>Mar 2053</t>
        </is>
      </c>
      <c r="M52" s="590" t="inlineStr">
        <is>
          <t>May 2055</t>
        </is>
      </c>
      <c r="N52" s="591" t="inlineStr">
        <is>
          <t>May 2055</t>
        </is>
      </c>
      <c r="O52" s="589" t="inlineStr">
        <is>
          <t>Oct 2051</t>
        </is>
      </c>
      <c r="P52" s="589" t="inlineStr">
        <is>
          <t>Apr 2042</t>
        </is>
      </c>
      <c r="Q52" s="589" t="inlineStr">
        <is>
          <t>Oct 2047</t>
        </is>
      </c>
      <c r="R52" s="590" t="inlineStr">
        <is>
          <t>Jan 2047</t>
        </is>
      </c>
      <c r="S52" s="591" t="inlineStr">
        <is>
          <t>Feb 2050</t>
        </is>
      </c>
      <c r="T52" s="589" t="inlineStr">
        <is>
          <t>Aug 2039</t>
        </is>
      </c>
      <c r="U52" s="589" t="inlineStr">
        <is>
          <t>Apr 2037</t>
        </is>
      </c>
      <c r="V52" s="589" t="inlineStr">
        <is>
          <t>May 2055</t>
        </is>
      </c>
      <c r="W52" s="590" t="inlineStr">
        <is>
          <t>Sep 2042</t>
        </is>
      </c>
      <c r="X52" s="591" t="inlineStr">
        <is>
          <t>ND</t>
        </is>
      </c>
      <c r="Y52" s="589" t="inlineStr">
        <is>
          <t>Jul 2048</t>
        </is>
      </c>
      <c r="Z52" s="589" t="inlineStr">
        <is>
          <t>Sep 2046</t>
        </is>
      </c>
      <c r="AA52" s="589" t="inlineStr">
        <is>
          <t>Jan 2045</t>
        </is>
      </c>
      <c r="AB52" s="590" t="inlineStr">
        <is>
          <t>May 2055</t>
        </is>
      </c>
      <c r="AC52" s="591" t="inlineStr">
        <is>
          <t>Dec 2046</t>
        </is>
      </c>
      <c r="AD52" s="589" t="inlineStr">
        <is>
          <t>May 2055</t>
        </is>
      </c>
      <c r="AE52" s="589" t="inlineStr">
        <is>
          <t>May 2055</t>
        </is>
      </c>
      <c r="AF52" s="589" t="inlineStr">
        <is>
          <t>Dec 2044</t>
        </is>
      </c>
      <c r="AG52" s="590" t="inlineStr">
        <is>
          <t>May 2051</t>
        </is>
      </c>
      <c r="AH52" s="591" t="inlineStr">
        <is>
          <t>Jan 2045</t>
        </is>
      </c>
      <c r="AI52" s="589" t="inlineStr">
        <is>
          <t>May 2055</t>
        </is>
      </c>
      <c r="AJ52" s="589" t="inlineStr">
        <is>
          <t>May 2055</t>
        </is>
      </c>
      <c r="AK52" s="589" t="inlineStr">
        <is>
          <t>Oct 2046</t>
        </is>
      </c>
      <c r="AL52" s="590" t="inlineStr">
        <is>
          <t>May 2055</t>
        </is>
      </c>
      <c r="AM52" s="591" t="inlineStr">
        <is>
          <t>May 2055</t>
        </is>
      </c>
      <c r="AN52" s="589" t="inlineStr">
        <is>
          <t>May 2055</t>
        </is>
      </c>
      <c r="AO52" s="589" t="inlineStr">
        <is>
          <t>May 2055</t>
        </is>
      </c>
      <c r="AP52" s="589" t="inlineStr">
        <is>
          <t>ND</t>
        </is>
      </c>
      <c r="AQ52" s="590" t="inlineStr">
        <is>
          <t>May 2055</t>
        </is>
      </c>
      <c r="AR52" s="591" t="inlineStr">
        <is>
          <t>May 2055</t>
        </is>
      </c>
      <c r="AS52" s="589" t="inlineStr">
        <is>
          <t>Jul 2042</t>
        </is>
      </c>
      <c r="AT52" s="589" t="inlineStr">
        <is>
          <t>Mar 2053</t>
        </is>
      </c>
      <c r="AU52" s="589" t="inlineStr">
        <is>
          <t>May 2055</t>
        </is>
      </c>
      <c r="AV52" s="590" t="inlineStr">
        <is>
          <t>May 2055</t>
        </is>
      </c>
      <c r="AW52" s="591" t="inlineStr">
        <is>
          <t>May 2055</t>
        </is>
      </c>
      <c r="AX52" s="589" t="inlineStr">
        <is>
          <t>ND</t>
        </is>
      </c>
      <c r="AY52" s="589" t="inlineStr">
        <is>
          <t>May 2055</t>
        </is>
      </c>
      <c r="AZ52" s="589" t="inlineStr">
        <is>
          <t>ND</t>
        </is>
      </c>
      <c r="BA52" s="590" t="inlineStr">
        <is>
          <t>May 2055</t>
        </is>
      </c>
      <c r="BB52" s="591" t="inlineStr">
        <is>
          <t>May 2055</t>
        </is>
      </c>
      <c r="BC52" s="589" t="inlineStr">
        <is>
          <t>May 2055</t>
        </is>
      </c>
      <c r="BD52" s="589" t="inlineStr">
        <is>
          <t>May 2055</t>
        </is>
      </c>
      <c r="BE52" s="589" t="inlineStr">
        <is>
          <t>May 2055</t>
        </is>
      </c>
      <c r="BF52" s="590" t="inlineStr">
        <is>
          <t>May 2055</t>
        </is>
      </c>
      <c r="BG52" s="591" t="inlineStr">
        <is>
          <t>May 2055</t>
        </is>
      </c>
      <c r="BH52" s="589" t="inlineStr">
        <is>
          <t>May 2055</t>
        </is>
      </c>
      <c r="BI52" s="589" t="inlineStr">
        <is>
          <t>May 2055</t>
        </is>
      </c>
      <c r="BJ52" s="589" t="inlineStr">
        <is>
          <t>May 2055</t>
        </is>
      </c>
      <c r="BK52" s="590" t="inlineStr">
        <is>
          <t>May 2055</t>
        </is>
      </c>
      <c r="BL52" s="591" t="inlineStr">
        <is>
          <t>May 2055</t>
        </is>
      </c>
      <c r="BM52" s="589" t="inlineStr">
        <is>
          <t>May 2055</t>
        </is>
      </c>
      <c r="BN52" s="589" t="inlineStr">
        <is>
          <t>ND</t>
        </is>
      </c>
      <c r="BO52" s="589" t="inlineStr">
        <is>
          <t>Apr 2038</t>
        </is>
      </c>
      <c r="BP52" s="590" t="inlineStr">
        <is>
          <t>May 2055</t>
        </is>
      </c>
      <c r="BQ52" s="591" t="inlineStr">
        <is>
          <t>May 2055</t>
        </is>
      </c>
      <c r="BR52" s="589" t="inlineStr">
        <is>
          <t>May 2055</t>
        </is>
      </c>
      <c r="BS52" s="589" t="inlineStr">
        <is>
          <t>Aug 2039</t>
        </is>
      </c>
      <c r="BT52" s="590" t="inlineStr">
        <is>
          <t>Apr 2036</t>
        </is>
      </c>
      <c r="BU52" s="437" t="n"/>
      <c r="BV52" s="437" t="n"/>
      <c r="BW52" s="238" t="n"/>
      <c r="BX52" s="238" t="n"/>
      <c r="BY52" s="238" t="n"/>
      <c r="BZ52" s="238" t="n"/>
      <c r="CA52" s="238" t="n"/>
      <c r="CB52" s="238" t="n"/>
      <c r="CC52" s="238" t="n"/>
      <c r="CD52" s="238" t="n"/>
      <c r="CE52" s="238" t="n"/>
      <c r="CF52" s="238" t="n"/>
      <c r="CG52" s="238" t="n"/>
      <c r="CH52" s="238" t="n"/>
      <c r="CI52" s="238" t="n"/>
      <c r="CJ52" s="238" t="n"/>
      <c r="CK52" s="238" t="n"/>
      <c r="CL52" s="238" t="n"/>
      <c r="CM52" s="238" t="n"/>
      <c r="CN52" s="238" t="n"/>
      <c r="CO52" s="238" t="n"/>
      <c r="CP52" s="238" t="n"/>
      <c r="CQ52" s="238" t="n"/>
      <c r="CR52" s="238" t="n"/>
      <c r="CS52" s="238" t="n"/>
      <c r="CT52" s="238" t="n"/>
      <c r="CU52" s="238" t="n"/>
      <c r="CV52" s="238" t="n"/>
      <c r="CW52" s="238" t="n"/>
      <c r="CX52" s="238" t="n"/>
      <c r="CY52" s="238" t="n"/>
      <c r="CZ52" s="238" t="n"/>
      <c r="DA52" s="238" t="n"/>
      <c r="DB52" s="238" t="n"/>
      <c r="DC52" s="238" t="n"/>
      <c r="DD52" s="238" t="n"/>
      <c r="DE52" s="238" t="n"/>
      <c r="DF52" s="238" t="n"/>
      <c r="DG52" s="238" t="n"/>
      <c r="DH52" s="238" t="n"/>
      <c r="DI52" s="238" t="n"/>
      <c r="DJ52" s="238" t="n"/>
      <c r="DK52" s="238" t="n"/>
      <c r="DL52" s="238" t="n"/>
      <c r="DM52" s="238" t="n"/>
      <c r="DN52" s="238" t="n"/>
      <c r="DO52" s="238" t="n"/>
      <c r="DP52" s="238" t="n"/>
      <c r="DQ52" s="238" t="n"/>
      <c r="DR52" s="238" t="n"/>
      <c r="DS52" s="238" t="n"/>
      <c r="DT52" s="238" t="n"/>
      <c r="DU52" s="238" t="n"/>
      <c r="DV52" s="238" t="n"/>
      <c r="DW52" s="238" t="n"/>
      <c r="DX52" s="238" t="n"/>
      <c r="DY52" s="238" t="n"/>
      <c r="DZ52" s="23" t="n"/>
      <c r="FQ52" s="212" t="n"/>
      <c r="FR52" s="212" t="n"/>
      <c r="FS52" s="212" t="n"/>
      <c r="FT52" s="212" t="n"/>
      <c r="FU52" s="212" t="n"/>
      <c r="FV52" s="212" t="n"/>
      <c r="FW52" s="212" t="n"/>
      <c r="FX52" s="212" t="n"/>
      <c r="FY52" s="212" t="n"/>
      <c r="FZ52" s="212" t="n"/>
    </row>
    <row r="53" ht="39.95" customFormat="1" customHeight="1" s="5">
      <c r="A53" s="182" t="inlineStr"/>
      <c r="B53" s="7" t="inlineStr">
        <is>
          <t>+4 FT 6 IN</t>
        </is>
      </c>
      <c r="C53" s="456" t="n"/>
      <c r="D53" s="13" t="n"/>
      <c r="H53" s="592" t="n"/>
      <c r="I53" s="593" t="n"/>
      <c r="M53" s="592" t="n"/>
      <c r="N53" s="593" t="n"/>
      <c r="R53" s="592" t="n"/>
      <c r="S53" s="593" t="n"/>
      <c r="W53" s="592" t="n"/>
      <c r="X53" s="593" t="n"/>
      <c r="AB53" s="592" t="n"/>
      <c r="AC53" s="593" t="n"/>
      <c r="AG53" s="592" t="n"/>
      <c r="AH53" s="593" t="n"/>
      <c r="AL53" s="592" t="n"/>
      <c r="AM53" s="593" t="n"/>
      <c r="AQ53" s="592" t="n"/>
      <c r="AR53" s="593" t="n"/>
      <c r="AV53" s="592" t="n"/>
      <c r="AW53" s="593" t="n"/>
      <c r="BA53" s="592" t="n"/>
      <c r="BB53" s="593" t="n"/>
      <c r="BF53" s="592" t="n"/>
      <c r="BG53" s="593" t="n"/>
      <c r="BK53" s="592" t="n"/>
      <c r="BL53" s="593" t="n"/>
      <c r="BP53" s="592" t="n"/>
      <c r="BQ53" s="593" t="n"/>
      <c r="BT53" s="592" t="n"/>
      <c r="BU53" s="437" t="n"/>
      <c r="BV53" s="437" t="n"/>
      <c r="BW53" s="238" t="n"/>
      <c r="BX53" s="238" t="n"/>
      <c r="BY53" s="238" t="n"/>
      <c r="BZ53" s="238" t="n"/>
      <c r="CA53" s="238" t="n"/>
      <c r="CB53" s="238" t="n"/>
      <c r="CC53" s="238" t="n"/>
      <c r="CD53" s="238" t="n"/>
      <c r="CE53" s="238" t="n"/>
      <c r="CF53" s="238" t="n"/>
      <c r="CG53" s="238" t="n"/>
      <c r="CH53" s="238" t="n"/>
      <c r="CI53" s="238" t="n"/>
      <c r="CJ53" s="238" t="n"/>
      <c r="CK53" s="238" t="n"/>
      <c r="CL53" s="238" t="n"/>
      <c r="CM53" s="238" t="n"/>
      <c r="CN53" s="238" t="n"/>
      <c r="CO53" s="238" t="n"/>
      <c r="CP53" s="238" t="n"/>
      <c r="CQ53" s="238" t="n"/>
      <c r="CR53" s="238" t="n"/>
      <c r="CS53" s="238" t="n"/>
      <c r="CT53" s="238" t="n"/>
      <c r="CU53" s="238" t="n"/>
      <c r="CV53" s="238" t="n"/>
      <c r="CW53" s="238" t="n"/>
      <c r="CX53" s="238" t="n"/>
      <c r="CY53" s="238" t="n"/>
      <c r="CZ53" s="238" t="n"/>
      <c r="DA53" s="238" t="n"/>
      <c r="DB53" s="238" t="n"/>
      <c r="DC53" s="238" t="n"/>
      <c r="DD53" s="238" t="n"/>
      <c r="DE53" s="238" t="n"/>
      <c r="DF53" s="238" t="n"/>
      <c r="DG53" s="238" t="n"/>
      <c r="DH53" s="238" t="n"/>
      <c r="DI53" s="238" t="n"/>
      <c r="DJ53" s="238" t="n"/>
      <c r="DK53" s="238" t="n"/>
      <c r="DL53" s="238" t="n"/>
      <c r="DM53" s="238" t="n"/>
      <c r="DN53" s="238" t="n"/>
      <c r="DO53" s="238" t="n"/>
      <c r="DP53" s="238" t="n"/>
      <c r="DQ53" s="238" t="n"/>
      <c r="DR53" s="238" t="n"/>
      <c r="DS53" s="238" t="n"/>
      <c r="DT53" s="238" t="n"/>
      <c r="DU53" s="238" t="n"/>
      <c r="DV53" s="238" t="n"/>
      <c r="DW53" s="238" t="n"/>
      <c r="DX53" s="238" t="n"/>
      <c r="DY53" s="238" t="n"/>
      <c r="DZ53" s="23" t="n"/>
      <c r="FQ53" s="212" t="n"/>
      <c r="FR53" s="212" t="n"/>
      <c r="FS53" s="212" t="n"/>
      <c r="FT53" s="212" t="n"/>
      <c r="FU53" s="212" t="n"/>
      <c r="FV53" s="212" t="n"/>
      <c r="FW53" s="212" t="n"/>
      <c r="FX53" s="212" t="n"/>
      <c r="FY53" s="212" t="n"/>
      <c r="FZ53" s="212" t="n"/>
    </row>
    <row r="54" ht="39.95" customFormat="1" customHeight="1" s="5">
      <c r="A54" s="456" t="n"/>
      <c r="B54" s="8" t="n"/>
      <c r="C54" s="456" t="n"/>
      <c r="D54" s="594" t="n"/>
      <c r="E54" s="595" t="n"/>
      <c r="F54" s="595" t="n"/>
      <c r="G54" s="595" t="n"/>
      <c r="H54" s="596" t="n"/>
      <c r="I54" s="597" t="n"/>
      <c r="J54" s="595" t="n"/>
      <c r="K54" s="595" t="n"/>
      <c r="L54" s="595" t="n"/>
      <c r="M54" s="596" t="n"/>
      <c r="N54" s="597" t="n"/>
      <c r="O54" s="595" t="n"/>
      <c r="P54" s="595" t="n"/>
      <c r="Q54" s="595" t="n"/>
      <c r="R54" s="596" t="n"/>
      <c r="S54" s="597" t="n"/>
      <c r="T54" s="595" t="n"/>
      <c r="U54" s="595" t="n"/>
      <c r="V54" s="595" t="n"/>
      <c r="W54" s="596" t="n"/>
      <c r="X54" s="597" t="n"/>
      <c r="Y54" s="595" t="n"/>
      <c r="Z54" s="595" t="n"/>
      <c r="AA54" s="595" t="n"/>
      <c r="AB54" s="596" t="n"/>
      <c r="AC54" s="597" t="n"/>
      <c r="AD54" s="595" t="n"/>
      <c r="AE54" s="595" t="n"/>
      <c r="AF54" s="595" t="n"/>
      <c r="AG54" s="596" t="n"/>
      <c r="AH54" s="597" t="n"/>
      <c r="AI54" s="595" t="n"/>
      <c r="AJ54" s="595" t="n"/>
      <c r="AK54" s="595" t="n"/>
      <c r="AL54" s="596" t="n"/>
      <c r="AM54" s="597" t="n"/>
      <c r="AN54" s="595" t="n"/>
      <c r="AO54" s="595" t="n"/>
      <c r="AP54" s="595" t="n"/>
      <c r="AQ54" s="596" t="n"/>
      <c r="AR54" s="597" t="n"/>
      <c r="AS54" s="595" t="n"/>
      <c r="AT54" s="595" t="n"/>
      <c r="AU54" s="595" t="n"/>
      <c r="AV54" s="596" t="n"/>
      <c r="AW54" s="597" t="n"/>
      <c r="AX54" s="595" t="n"/>
      <c r="AY54" s="595" t="n"/>
      <c r="AZ54" s="595" t="n"/>
      <c r="BA54" s="596" t="n"/>
      <c r="BB54" s="597" t="n"/>
      <c r="BC54" s="595" t="n"/>
      <c r="BD54" s="595" t="n"/>
      <c r="BE54" s="595" t="n"/>
      <c r="BF54" s="596" t="n"/>
      <c r="BG54" s="597" t="n"/>
      <c r="BH54" s="595" t="n"/>
      <c r="BI54" s="595" t="n"/>
      <c r="BJ54" s="595" t="n"/>
      <c r="BK54" s="596" t="n"/>
      <c r="BL54" s="597" t="n"/>
      <c r="BM54" s="595" t="n"/>
      <c r="BN54" s="595" t="n"/>
      <c r="BO54" s="595" t="n"/>
      <c r="BP54" s="596" t="n"/>
      <c r="BQ54" s="597" t="n"/>
      <c r="BR54" s="595" t="n"/>
      <c r="BS54" s="595" t="n"/>
      <c r="BT54" s="596" t="n"/>
      <c r="BU54" s="437" t="n"/>
      <c r="BV54" s="437" t="n"/>
      <c r="BW54" s="238" t="n"/>
      <c r="BX54" s="238" t="n"/>
      <c r="BY54" s="238" t="n"/>
      <c r="BZ54" s="238" t="n"/>
      <c r="CA54" s="238" t="n"/>
      <c r="CB54" s="238" t="n"/>
      <c r="CC54" s="238" t="n"/>
      <c r="CD54" s="238" t="n"/>
      <c r="CE54" s="238" t="n"/>
      <c r="CF54" s="238" t="n"/>
      <c r="CG54" s="238" t="n"/>
      <c r="CH54" s="238" t="n"/>
      <c r="CI54" s="238" t="n"/>
      <c r="CJ54" s="238" t="n"/>
      <c r="CK54" s="238" t="n"/>
      <c r="CL54" s="238" t="n"/>
      <c r="CM54" s="238" t="n"/>
      <c r="CN54" s="238" t="n"/>
      <c r="CO54" s="238" t="n"/>
      <c r="CP54" s="238" t="n"/>
      <c r="CQ54" s="238" t="n"/>
      <c r="CR54" s="238" t="n"/>
      <c r="CS54" s="238" t="n"/>
      <c r="CT54" s="238" t="n"/>
      <c r="CU54" s="238" t="n"/>
      <c r="CV54" s="238" t="n"/>
      <c r="CW54" s="238" t="n"/>
      <c r="CX54" s="238" t="n"/>
      <c r="CY54" s="238" t="n"/>
      <c r="CZ54" s="238" t="n"/>
      <c r="DA54" s="238" t="n"/>
      <c r="DB54" s="238" t="n"/>
      <c r="DC54" s="238" t="n"/>
      <c r="DD54" s="238" t="n"/>
      <c r="DE54" s="238" t="n"/>
      <c r="DF54" s="238" t="n"/>
      <c r="DG54" s="238" t="n"/>
      <c r="DH54" s="238" t="n"/>
      <c r="DI54" s="238" t="n"/>
      <c r="DJ54" s="238" t="n"/>
      <c r="DK54" s="238" t="n"/>
      <c r="DL54" s="238" t="n"/>
      <c r="DM54" s="238" t="n"/>
      <c r="DN54" s="238" t="n"/>
      <c r="DO54" s="238" t="n"/>
      <c r="DP54" s="238" t="n"/>
      <c r="DQ54" s="238" t="n"/>
      <c r="DR54" s="238" t="n"/>
      <c r="DS54" s="238" t="n"/>
      <c r="DT54" s="238" t="n"/>
      <c r="DU54" s="238" t="n"/>
      <c r="DV54" s="238" t="n"/>
      <c r="DW54" s="238" t="n"/>
      <c r="DX54" s="238" t="n"/>
      <c r="DY54" s="238" t="n"/>
      <c r="DZ54" s="23" t="n"/>
      <c r="FQ54" s="212" t="n"/>
      <c r="FR54" s="212" t="n"/>
      <c r="FS54" s="212" t="n"/>
      <c r="FT54" s="212" t="n"/>
      <c r="FU54" s="212" t="n"/>
      <c r="FV54" s="212" t="n"/>
      <c r="FW54" s="212" t="n"/>
      <c r="FX54" s="212" t="n"/>
      <c r="FY54" s="212" t="n"/>
      <c r="FZ54" s="212" t="n"/>
    </row>
    <row r="55" ht="39.95" customFormat="1" customHeight="1" s="5">
      <c r="A55" s="10" t="inlineStr">
        <is>
          <t>A</t>
        </is>
      </c>
      <c r="B55" s="6" t="n"/>
      <c r="C55" s="351" t="inlineStr">
        <is>
          <t>Year</t>
        </is>
      </c>
      <c r="D55" s="588" t="inlineStr">
        <is>
          <t>May 2054</t>
        </is>
      </c>
      <c r="E55" s="589" t="inlineStr">
        <is>
          <t>May 2055</t>
        </is>
      </c>
      <c r="F55" s="589" t="inlineStr">
        <is>
          <t>May 2055</t>
        </is>
      </c>
      <c r="G55" s="589" t="inlineStr">
        <is>
          <t>May 2055</t>
        </is>
      </c>
      <c r="H55" s="590" t="inlineStr">
        <is>
          <t>May 2055</t>
        </is>
      </c>
      <c r="I55" s="591" t="inlineStr">
        <is>
          <t>May 2055</t>
        </is>
      </c>
      <c r="J55" s="589" t="inlineStr">
        <is>
          <t>Jul 2051</t>
        </is>
      </c>
      <c r="K55" s="589" t="inlineStr">
        <is>
          <t>ND</t>
        </is>
      </c>
      <c r="L55" s="589" t="inlineStr">
        <is>
          <t>ND</t>
        </is>
      </c>
      <c r="M55" s="590" t="inlineStr">
        <is>
          <t>May 2055</t>
        </is>
      </c>
      <c r="N55" s="591" t="inlineStr">
        <is>
          <t>May 2055</t>
        </is>
      </c>
      <c r="O55" s="589" t="inlineStr">
        <is>
          <t>May 2055</t>
        </is>
      </c>
      <c r="P55" s="589" t="inlineStr">
        <is>
          <t>Sep 2041</t>
        </is>
      </c>
      <c r="Q55" s="589" t="inlineStr">
        <is>
          <t>May 2055</t>
        </is>
      </c>
      <c r="R55" s="590" t="inlineStr">
        <is>
          <t>Jan 2039</t>
        </is>
      </c>
      <c r="S55" s="591" t="inlineStr">
        <is>
          <t>Apr 2041</t>
        </is>
      </c>
      <c r="T55" s="589" t="inlineStr">
        <is>
          <t>May 2055</t>
        </is>
      </c>
      <c r="U55" s="589" t="inlineStr">
        <is>
          <t>Nov 2040</t>
        </is>
      </c>
      <c r="V55" s="589" t="inlineStr">
        <is>
          <t>Jul 2042</t>
        </is>
      </c>
      <c r="W55" s="590" t="inlineStr">
        <is>
          <t>ND</t>
        </is>
      </c>
      <c r="X55" s="591" t="inlineStr">
        <is>
          <t>ND</t>
        </is>
      </c>
      <c r="Y55" s="589" t="inlineStr">
        <is>
          <t>Aug 2039</t>
        </is>
      </c>
      <c r="Z55" s="589" t="inlineStr">
        <is>
          <t>Dec 2046</t>
        </is>
      </c>
      <c r="AA55" s="589" t="inlineStr">
        <is>
          <t>May 2055</t>
        </is>
      </c>
      <c r="AB55" s="590" t="inlineStr">
        <is>
          <t>Nov 2040</t>
        </is>
      </c>
      <c r="AC55" s="591" t="inlineStr">
        <is>
          <t>Feb 2055</t>
        </is>
      </c>
      <c r="AD55" s="589" t="inlineStr">
        <is>
          <t>May 2055</t>
        </is>
      </c>
      <c r="AE55" s="589" t="inlineStr">
        <is>
          <t>May 2055</t>
        </is>
      </c>
      <c r="AF55" s="589" t="inlineStr">
        <is>
          <t>ND</t>
        </is>
      </c>
      <c r="AG55" s="590" t="inlineStr">
        <is>
          <t>Oct 2045</t>
        </is>
      </c>
      <c r="AH55" s="591" t="inlineStr">
        <is>
          <t>Jun 2035</t>
        </is>
      </c>
      <c r="AI55" s="589" t="inlineStr">
        <is>
          <t>Feb 2038</t>
        </is>
      </c>
      <c r="AJ55" s="589" t="inlineStr">
        <is>
          <t>May 2055</t>
        </is>
      </c>
      <c r="AK55" s="589" t="inlineStr">
        <is>
          <t>Aug 2052</t>
        </is>
      </c>
      <c r="AL55" s="590" t="inlineStr">
        <is>
          <t>May 2055</t>
        </is>
      </c>
      <c r="AM55" s="591" t="inlineStr">
        <is>
          <t>May 2055</t>
        </is>
      </c>
      <c r="AN55" s="589" t="inlineStr">
        <is>
          <t>ND</t>
        </is>
      </c>
      <c r="AO55" s="589" t="inlineStr">
        <is>
          <t>May 2055</t>
        </is>
      </c>
      <c r="AP55" s="589" t="inlineStr">
        <is>
          <t>May 2055</t>
        </is>
      </c>
      <c r="AQ55" s="590" t="inlineStr">
        <is>
          <t>May 2055</t>
        </is>
      </c>
      <c r="AR55" s="591" t="inlineStr">
        <is>
          <t>May 2055</t>
        </is>
      </c>
      <c r="AS55" s="589" t="inlineStr">
        <is>
          <t>Feb 2040</t>
        </is>
      </c>
      <c r="AT55" s="589" t="inlineStr">
        <is>
          <t>May 2055</t>
        </is>
      </c>
      <c r="AU55" s="589" t="inlineStr">
        <is>
          <t>May 2055</t>
        </is>
      </c>
      <c r="AV55" s="590" t="inlineStr">
        <is>
          <t>May 2055</t>
        </is>
      </c>
      <c r="AW55" s="591" t="inlineStr">
        <is>
          <t>May 2055</t>
        </is>
      </c>
      <c r="AX55" s="589" t="inlineStr">
        <is>
          <t>May 2055</t>
        </is>
      </c>
      <c r="AY55" s="589" t="inlineStr">
        <is>
          <t>May 2055</t>
        </is>
      </c>
      <c r="AZ55" s="589" t="inlineStr">
        <is>
          <t>May 2055</t>
        </is>
      </c>
      <c r="BA55" s="590" t="inlineStr">
        <is>
          <t>May 2055</t>
        </is>
      </c>
      <c r="BB55" s="591" t="inlineStr">
        <is>
          <t>May 2055</t>
        </is>
      </c>
      <c r="BC55" s="589" t="inlineStr">
        <is>
          <t>Apr 2046</t>
        </is>
      </c>
      <c r="BD55" s="589" t="inlineStr">
        <is>
          <t>Sep 2052</t>
        </is>
      </c>
      <c r="BE55" s="589" t="inlineStr">
        <is>
          <t>May 2055</t>
        </is>
      </c>
      <c r="BF55" s="590" t="inlineStr">
        <is>
          <t>May 2055</t>
        </is>
      </c>
      <c r="BG55" s="591" t="inlineStr">
        <is>
          <t>May 2055</t>
        </is>
      </c>
      <c r="BH55" s="589" t="inlineStr">
        <is>
          <t>May 2055</t>
        </is>
      </c>
      <c r="BI55" s="589" t="inlineStr">
        <is>
          <t>May 2055</t>
        </is>
      </c>
      <c r="BJ55" s="589" t="inlineStr">
        <is>
          <t>May 2055</t>
        </is>
      </c>
      <c r="BK55" s="590" t="inlineStr">
        <is>
          <t>May 2055</t>
        </is>
      </c>
      <c r="BL55" s="591" t="inlineStr">
        <is>
          <t>May 2055</t>
        </is>
      </c>
      <c r="BM55" s="589" t="inlineStr">
        <is>
          <t>May 2055</t>
        </is>
      </c>
      <c r="BN55" s="589" t="inlineStr">
        <is>
          <t>May 2055</t>
        </is>
      </c>
      <c r="BO55" s="589" t="inlineStr">
        <is>
          <t>May 2055</t>
        </is>
      </c>
      <c r="BP55" s="590" t="inlineStr">
        <is>
          <t>Oct 2048</t>
        </is>
      </c>
      <c r="BQ55" s="591" t="inlineStr">
        <is>
          <t>Aug 2048</t>
        </is>
      </c>
      <c r="BR55" s="589" t="inlineStr">
        <is>
          <t>May 2055</t>
        </is>
      </c>
      <c r="BS55" s="589" t="inlineStr">
        <is>
          <t>May 2055</t>
        </is>
      </c>
      <c r="BT55" s="590" t="inlineStr">
        <is>
          <t>May 2055</t>
        </is>
      </c>
      <c r="BU55" s="437" t="n"/>
      <c r="BV55" s="437" t="n"/>
      <c r="BW55" s="238" t="n"/>
      <c r="BX55" s="238" t="n"/>
      <c r="BY55" s="238" t="n"/>
      <c r="BZ55" s="238" t="n"/>
      <c r="CA55" s="238" t="n"/>
      <c r="CB55" s="238" t="n"/>
      <c r="CC55" s="238" t="n"/>
      <c r="CD55" s="238" t="n"/>
      <c r="CE55" s="238" t="n"/>
      <c r="CF55" s="238" t="n"/>
      <c r="CG55" s="238" t="n"/>
      <c r="CH55" s="238" t="n"/>
      <c r="CI55" s="238" t="n"/>
      <c r="CJ55" s="238" t="n"/>
      <c r="CK55" s="238" t="n"/>
      <c r="CL55" s="238" t="n"/>
      <c r="CM55" s="238" t="n"/>
      <c r="CN55" s="238" t="n"/>
      <c r="CO55" s="238" t="n"/>
      <c r="CP55" s="238" t="n"/>
      <c r="CQ55" s="238" t="n"/>
      <c r="CR55" s="238" t="n"/>
      <c r="CS55" s="238" t="n"/>
      <c r="CT55" s="238" t="n"/>
      <c r="CU55" s="238" t="n"/>
      <c r="CV55" s="238" t="n"/>
      <c r="CW55" s="238" t="n"/>
      <c r="CX55" s="238" t="n"/>
      <c r="CY55" s="238" t="n"/>
      <c r="CZ55" s="238" t="n"/>
      <c r="DA55" s="238" t="n"/>
      <c r="DB55" s="238" t="n"/>
      <c r="DC55" s="238" t="n"/>
      <c r="DD55" s="238" t="n"/>
      <c r="DE55" s="238" t="n"/>
      <c r="DF55" s="238" t="n"/>
      <c r="DG55" s="238" t="n"/>
      <c r="DH55" s="238" t="n"/>
      <c r="DI55" s="238" t="n"/>
      <c r="DJ55" s="238" t="n"/>
      <c r="DK55" s="238" t="n"/>
      <c r="DL55" s="238" t="n"/>
      <c r="DM55" s="238" t="n"/>
      <c r="DN55" s="238" t="n"/>
      <c r="DO55" s="238" t="n"/>
      <c r="DP55" s="238" t="n"/>
      <c r="DQ55" s="238" t="n"/>
      <c r="DR55" s="238" t="n"/>
      <c r="DS55" s="238" t="n"/>
      <c r="DT55" s="238" t="n"/>
      <c r="DU55" s="238" t="n"/>
      <c r="DV55" s="238" t="n"/>
      <c r="DW55" s="238" t="n"/>
      <c r="DX55" s="238" t="n"/>
      <c r="DY55" s="238" t="n"/>
      <c r="DZ55" s="23" t="n"/>
      <c r="FQ55" s="212" t="n"/>
      <c r="FR55" s="212" t="n"/>
      <c r="FS55" s="212" t="n"/>
      <c r="FT55" s="212" t="n"/>
      <c r="FU55" s="212" t="n"/>
      <c r="FV55" s="212" t="n"/>
      <c r="FW55" s="212" t="n"/>
      <c r="FX55" s="212" t="n"/>
      <c r="FY55" s="212" t="n"/>
      <c r="FZ55" s="212" t="n"/>
    </row>
    <row r="56" ht="39.95" customFormat="1" customHeight="1" s="5">
      <c r="A56" s="182" t="inlineStr"/>
      <c r="B56" s="7" t="inlineStr">
        <is>
          <t>+3 FT</t>
        </is>
      </c>
      <c r="C56" s="456" t="n"/>
      <c r="D56" s="13" t="n"/>
      <c r="H56" s="592" t="n"/>
      <c r="I56" s="593" t="n"/>
      <c r="M56" s="592" t="n"/>
      <c r="N56" s="593" t="n"/>
      <c r="R56" s="592" t="n"/>
      <c r="S56" s="593" t="n"/>
      <c r="W56" s="592" t="n"/>
      <c r="X56" s="593" t="n"/>
      <c r="AB56" s="592" t="n"/>
      <c r="AC56" s="593" t="n"/>
      <c r="AG56" s="592" t="n"/>
      <c r="AH56" s="593" t="n"/>
      <c r="AL56" s="592" t="n"/>
      <c r="AM56" s="593" t="n"/>
      <c r="AQ56" s="592" t="n"/>
      <c r="AR56" s="593" t="n"/>
      <c r="AV56" s="592" t="n"/>
      <c r="AW56" s="593" t="n"/>
      <c r="BA56" s="592" t="n"/>
      <c r="BB56" s="593" t="n"/>
      <c r="BF56" s="592" t="n"/>
      <c r="BG56" s="593" t="n"/>
      <c r="BK56" s="592" t="n"/>
      <c r="BL56" s="593" t="n"/>
      <c r="BP56" s="592" t="n"/>
      <c r="BQ56" s="593" t="n"/>
      <c r="BT56" s="592" t="n"/>
      <c r="BU56" s="437" t="n"/>
      <c r="BV56" s="437" t="n"/>
      <c r="BW56" s="238" t="n"/>
      <c r="BX56" s="238" t="n"/>
      <c r="BY56" s="238" t="n"/>
      <c r="BZ56" s="238" t="n"/>
      <c r="CA56" s="238" t="n"/>
      <c r="CB56" s="238" t="n"/>
      <c r="CC56" s="238" t="n"/>
      <c r="CD56" s="238" t="n"/>
      <c r="CE56" s="238" t="n"/>
      <c r="CF56" s="238" t="n"/>
      <c r="CG56" s="238" t="n"/>
      <c r="CH56" s="238" t="n"/>
      <c r="CI56" s="238" t="n"/>
      <c r="CJ56" s="238" t="n"/>
      <c r="CK56" s="238" t="n"/>
      <c r="CL56" s="238" t="n"/>
      <c r="CM56" s="238" t="n"/>
      <c r="CN56" s="238" t="n"/>
      <c r="CO56" s="238" t="n"/>
      <c r="CP56" s="238" t="n"/>
      <c r="CQ56" s="238" t="n"/>
      <c r="CR56" s="238" t="n"/>
      <c r="CS56" s="238" t="n"/>
      <c r="CT56" s="238" t="n"/>
      <c r="CU56" s="238" t="n"/>
      <c r="CV56" s="238" t="n"/>
      <c r="CW56" s="238" t="n"/>
      <c r="CX56" s="238" t="n"/>
      <c r="CY56" s="238" t="n"/>
      <c r="CZ56" s="238" t="n"/>
      <c r="DA56" s="238" t="n"/>
      <c r="DB56" s="238" t="n"/>
      <c r="DC56" s="238" t="n"/>
      <c r="DD56" s="238" t="n"/>
      <c r="DE56" s="238" t="n"/>
      <c r="DF56" s="238" t="n"/>
      <c r="DG56" s="238" t="n"/>
      <c r="DH56" s="238" t="n"/>
      <c r="DI56" s="238" t="n"/>
      <c r="DJ56" s="238" t="n"/>
      <c r="DK56" s="238" t="n"/>
      <c r="DL56" s="238" t="n"/>
      <c r="DM56" s="238" t="n"/>
      <c r="DN56" s="238" t="n"/>
      <c r="DO56" s="238" t="n"/>
      <c r="DP56" s="238" t="n"/>
      <c r="DQ56" s="238" t="n"/>
      <c r="DR56" s="238" t="n"/>
      <c r="DS56" s="238" t="n"/>
      <c r="DT56" s="238" t="n"/>
      <c r="DU56" s="238" t="n"/>
      <c r="DV56" s="238" t="n"/>
      <c r="DW56" s="238" t="n"/>
      <c r="DX56" s="238" t="n"/>
      <c r="DY56" s="238" t="n"/>
      <c r="DZ56" s="23" t="n"/>
      <c r="FQ56" s="212" t="n"/>
      <c r="FR56" s="212" t="n"/>
      <c r="FS56" s="212" t="n"/>
      <c r="FT56" s="212" t="n"/>
      <c r="FU56" s="212" t="n"/>
      <c r="FV56" s="212" t="n"/>
      <c r="FW56" s="212" t="n"/>
      <c r="FX56" s="212" t="n"/>
      <c r="FY56" s="212" t="n"/>
      <c r="FZ56" s="212" t="n"/>
    </row>
    <row r="57" ht="39.95" customFormat="1" customHeight="1" s="5">
      <c r="A57" s="456" t="n"/>
      <c r="B57" s="8" t="n"/>
      <c r="C57" s="456" t="n"/>
      <c r="D57" s="594" t="n"/>
      <c r="E57" s="595" t="n"/>
      <c r="F57" s="595" t="n"/>
      <c r="G57" s="595" t="n"/>
      <c r="H57" s="596" t="n"/>
      <c r="I57" s="597" t="n"/>
      <c r="J57" s="595" t="n"/>
      <c r="K57" s="595" t="n"/>
      <c r="L57" s="595" t="n"/>
      <c r="M57" s="596" t="n"/>
      <c r="N57" s="597" t="n"/>
      <c r="O57" s="595" t="n"/>
      <c r="P57" s="595" t="n"/>
      <c r="Q57" s="595" t="n"/>
      <c r="R57" s="596" t="n"/>
      <c r="S57" s="597" t="n"/>
      <c r="T57" s="595" t="n"/>
      <c r="U57" s="595" t="n"/>
      <c r="V57" s="595" t="n"/>
      <c r="W57" s="596" t="n"/>
      <c r="X57" s="597" t="n"/>
      <c r="Y57" s="595" t="n"/>
      <c r="Z57" s="595" t="n"/>
      <c r="AA57" s="595" t="n"/>
      <c r="AB57" s="596" t="n"/>
      <c r="AC57" s="597" t="n"/>
      <c r="AD57" s="595" t="n"/>
      <c r="AE57" s="595" t="n"/>
      <c r="AF57" s="595" t="n"/>
      <c r="AG57" s="596" t="n"/>
      <c r="AH57" s="597" t="n"/>
      <c r="AI57" s="595" t="n"/>
      <c r="AJ57" s="595" t="n"/>
      <c r="AK57" s="595" t="n"/>
      <c r="AL57" s="596" t="n"/>
      <c r="AM57" s="597" t="n"/>
      <c r="AN57" s="595" t="n"/>
      <c r="AO57" s="595" t="n"/>
      <c r="AP57" s="595" t="n"/>
      <c r="AQ57" s="596" t="n"/>
      <c r="AR57" s="597" t="n"/>
      <c r="AS57" s="595" t="n"/>
      <c r="AT57" s="595" t="n"/>
      <c r="AU57" s="595" t="n"/>
      <c r="AV57" s="596" t="n"/>
      <c r="AW57" s="597" t="n"/>
      <c r="AX57" s="595" t="n"/>
      <c r="AY57" s="595" t="n"/>
      <c r="AZ57" s="595" t="n"/>
      <c r="BA57" s="596" t="n"/>
      <c r="BB57" s="597" t="n"/>
      <c r="BC57" s="595" t="n"/>
      <c r="BD57" s="595" t="n"/>
      <c r="BE57" s="595" t="n"/>
      <c r="BF57" s="596" t="n"/>
      <c r="BG57" s="597" t="n"/>
      <c r="BH57" s="595" t="n"/>
      <c r="BI57" s="595" t="n"/>
      <c r="BJ57" s="595" t="n"/>
      <c r="BK57" s="596" t="n"/>
      <c r="BL57" s="597" t="n"/>
      <c r="BM57" s="595" t="n"/>
      <c r="BN57" s="595" t="n"/>
      <c r="BO57" s="595" t="n"/>
      <c r="BP57" s="596" t="n"/>
      <c r="BQ57" s="597" t="n"/>
      <c r="BR57" s="595" t="n"/>
      <c r="BS57" s="595" t="n"/>
      <c r="BT57" s="596" t="n"/>
      <c r="BU57" s="437" t="n"/>
      <c r="BV57" s="437" t="n"/>
      <c r="BW57" s="238" t="n"/>
      <c r="BX57" s="238" t="n"/>
      <c r="BY57" s="238" t="n"/>
      <c r="BZ57" s="238" t="n"/>
      <c r="CA57" s="238" t="n"/>
      <c r="CB57" s="238" t="n"/>
      <c r="CC57" s="238" t="n"/>
      <c r="CD57" s="238" t="n"/>
      <c r="CE57" s="238" t="n"/>
      <c r="CF57" s="238" t="n"/>
      <c r="CG57" s="238" t="n"/>
      <c r="CH57" s="238" t="n"/>
      <c r="CI57" s="238" t="n"/>
      <c r="CJ57" s="238" t="n"/>
      <c r="CK57" s="238" t="n"/>
      <c r="CL57" s="238" t="n"/>
      <c r="CM57" s="238" t="n"/>
      <c r="CN57" s="238" t="n"/>
      <c r="CO57" s="238" t="n"/>
      <c r="CP57" s="238" t="n"/>
      <c r="CQ57" s="238" t="n"/>
      <c r="CR57" s="238" t="n"/>
      <c r="CS57" s="238" t="n"/>
      <c r="CT57" s="238" t="n"/>
      <c r="CU57" s="238" t="n"/>
      <c r="CV57" s="238" t="n"/>
      <c r="CW57" s="238" t="n"/>
      <c r="CX57" s="238" t="n"/>
      <c r="CY57" s="238" t="n"/>
      <c r="CZ57" s="238" t="n"/>
      <c r="DA57" s="238" t="n"/>
      <c r="DB57" s="238" t="n"/>
      <c r="DC57" s="238" t="n"/>
      <c r="DD57" s="238" t="n"/>
      <c r="DE57" s="238" t="n"/>
      <c r="DF57" s="238" t="n"/>
      <c r="DG57" s="238" t="n"/>
      <c r="DH57" s="238" t="n"/>
      <c r="DI57" s="238" t="n"/>
      <c r="DJ57" s="238" t="n"/>
      <c r="DK57" s="238" t="n"/>
      <c r="DL57" s="238" t="n"/>
      <c r="DM57" s="238" t="n"/>
      <c r="DN57" s="238" t="n"/>
      <c r="DO57" s="238" t="n"/>
      <c r="DP57" s="238" t="n"/>
      <c r="DQ57" s="238" t="n"/>
      <c r="DR57" s="238" t="n"/>
      <c r="DS57" s="238" t="n"/>
      <c r="DT57" s="238" t="n"/>
      <c r="DU57" s="238" t="n"/>
      <c r="DV57" s="238" t="n"/>
      <c r="DW57" s="238" t="n"/>
      <c r="DX57" s="238" t="n"/>
      <c r="DY57" s="238" t="n"/>
      <c r="DZ57" s="23" t="n"/>
      <c r="FQ57" s="212" t="n"/>
      <c r="FR57" s="212" t="n"/>
      <c r="FS57" s="212" t="n"/>
      <c r="FT57" s="212" t="n"/>
      <c r="FU57" s="212" t="n"/>
      <c r="FV57" s="212" t="n"/>
      <c r="FW57" s="212" t="n"/>
      <c r="FX57" s="212" t="n"/>
      <c r="FY57" s="212" t="n"/>
      <c r="FZ57" s="212" t="n"/>
    </row>
    <row r="58" ht="39.95" customFormat="1" customHeight="1" s="5">
      <c r="A58" s="10" t="inlineStr">
        <is>
          <t>A</t>
        </is>
      </c>
      <c r="B58" s="6" t="n"/>
      <c r="C58" s="351" t="inlineStr">
        <is>
          <t>Year</t>
        </is>
      </c>
      <c r="D58" s="588" t="inlineStr">
        <is>
          <t>Aug 2030</t>
        </is>
      </c>
      <c r="E58" s="589" t="inlineStr">
        <is>
          <t>Nov 2046</t>
        </is>
      </c>
      <c r="F58" s="589" t="inlineStr">
        <is>
          <t>May 2055</t>
        </is>
      </c>
      <c r="G58" s="589" t="inlineStr">
        <is>
          <t>Jul 2039</t>
        </is>
      </c>
      <c r="H58" s="590" t="inlineStr">
        <is>
          <t>May 2055</t>
        </is>
      </c>
      <c r="I58" s="591" t="inlineStr">
        <is>
          <t>May 2055</t>
        </is>
      </c>
      <c r="J58" s="589" t="inlineStr">
        <is>
          <t>May 2055</t>
        </is>
      </c>
      <c r="K58" s="589" t="inlineStr">
        <is>
          <t>May 2055</t>
        </is>
      </c>
      <c r="L58" s="589" t="inlineStr">
        <is>
          <t>May 2055</t>
        </is>
      </c>
      <c r="M58" s="590" t="inlineStr">
        <is>
          <t>May 2055</t>
        </is>
      </c>
      <c r="N58" s="591" t="inlineStr">
        <is>
          <t>May 2055</t>
        </is>
      </c>
      <c r="O58" s="589" t="inlineStr">
        <is>
          <t>May 2055</t>
        </is>
      </c>
      <c r="P58" s="589" t="inlineStr">
        <is>
          <t>Apr 2050</t>
        </is>
      </c>
      <c r="Q58" s="589" t="inlineStr">
        <is>
          <t>May 2055</t>
        </is>
      </c>
      <c r="R58" s="590" t="inlineStr">
        <is>
          <t>May 2055</t>
        </is>
      </c>
      <c r="S58" s="591" t="inlineStr">
        <is>
          <t>May 2055</t>
        </is>
      </c>
      <c r="T58" s="589" t="inlineStr">
        <is>
          <t>Apr 2041</t>
        </is>
      </c>
      <c r="U58" s="589" t="inlineStr">
        <is>
          <t>May 2055</t>
        </is>
      </c>
      <c r="V58" s="589" t="inlineStr">
        <is>
          <t>May 2055</t>
        </is>
      </c>
      <c r="W58" s="590" t="inlineStr">
        <is>
          <t>Aug 2053</t>
        </is>
      </c>
      <c r="X58" s="591" t="inlineStr">
        <is>
          <t>Jul 2054</t>
        </is>
      </c>
      <c r="Y58" s="589" t="inlineStr">
        <is>
          <t>May 2055</t>
        </is>
      </c>
      <c r="Z58" s="589" t="inlineStr">
        <is>
          <t>Oct 2046</t>
        </is>
      </c>
      <c r="AA58" s="589" t="inlineStr">
        <is>
          <t>May 2055</t>
        </is>
      </c>
      <c r="AB58" s="590" t="inlineStr">
        <is>
          <t>Aug 2041</t>
        </is>
      </c>
      <c r="AC58" s="591" t="inlineStr">
        <is>
          <t>May 2055</t>
        </is>
      </c>
      <c r="AD58" s="589" t="inlineStr">
        <is>
          <t>ND</t>
        </is>
      </c>
      <c r="AE58" s="589" t="inlineStr">
        <is>
          <t>May 2055</t>
        </is>
      </c>
      <c r="AF58" s="589" t="inlineStr">
        <is>
          <t>Sep 2037</t>
        </is>
      </c>
      <c r="AG58" s="590" t="inlineStr">
        <is>
          <t>May 2055</t>
        </is>
      </c>
      <c r="AH58" s="591" t="inlineStr">
        <is>
          <t>May 2055</t>
        </is>
      </c>
      <c r="AI58" s="589" t="inlineStr">
        <is>
          <t>Nov 2043</t>
        </is>
      </c>
      <c r="AJ58" s="589" t="inlineStr">
        <is>
          <t>Sep 2042</t>
        </is>
      </c>
      <c r="AK58" s="589" t="inlineStr">
        <is>
          <t>Mar 2048</t>
        </is>
      </c>
      <c r="AL58" s="590" t="inlineStr">
        <is>
          <t>May 2055</t>
        </is>
      </c>
      <c r="AM58" s="591" t="inlineStr">
        <is>
          <t>Jun 2047</t>
        </is>
      </c>
      <c r="AN58" s="589" t="inlineStr">
        <is>
          <t>May 2051</t>
        </is>
      </c>
      <c r="AO58" s="589" t="inlineStr">
        <is>
          <t>May 2050</t>
        </is>
      </c>
      <c r="AP58" s="589" t="inlineStr">
        <is>
          <t>May 2054</t>
        </is>
      </c>
      <c r="AQ58" s="590" t="inlineStr">
        <is>
          <t>Jul 2049</t>
        </is>
      </c>
      <c r="AR58" s="591" t="inlineStr">
        <is>
          <t>Mar 2040</t>
        </is>
      </c>
      <c r="AS58" s="589" t="inlineStr">
        <is>
          <t>Jan 2055</t>
        </is>
      </c>
      <c r="AT58" s="589" t="inlineStr">
        <is>
          <t>Oct 2052</t>
        </is>
      </c>
      <c r="AU58" s="589" t="inlineStr">
        <is>
          <t>Jun 2051</t>
        </is>
      </c>
      <c r="AV58" s="590" t="inlineStr">
        <is>
          <t>Oct 2048</t>
        </is>
      </c>
      <c r="AW58" s="591" t="inlineStr">
        <is>
          <t>Nov 2044</t>
        </is>
      </c>
      <c r="AX58" s="589" t="inlineStr">
        <is>
          <t>Jun 2049</t>
        </is>
      </c>
      <c r="AY58" s="589" t="inlineStr">
        <is>
          <t>Jan 2054</t>
        </is>
      </c>
      <c r="AZ58" s="589" t="inlineStr">
        <is>
          <t>Nov 2039</t>
        </is>
      </c>
      <c r="BA58" s="590" t="inlineStr">
        <is>
          <t>May 2055</t>
        </is>
      </c>
      <c r="BB58" s="591" t="inlineStr">
        <is>
          <t>Apr 2050</t>
        </is>
      </c>
      <c r="BC58" s="589" t="inlineStr">
        <is>
          <t>May 2055</t>
        </is>
      </c>
      <c r="BD58" s="589" t="inlineStr">
        <is>
          <t>May 2055</t>
        </is>
      </c>
      <c r="BE58" s="589" t="inlineStr">
        <is>
          <t>May 2055</t>
        </is>
      </c>
      <c r="BF58" s="590" t="inlineStr">
        <is>
          <t>May 2055</t>
        </is>
      </c>
      <c r="BG58" s="591" t="inlineStr">
        <is>
          <t>May 2055</t>
        </is>
      </c>
      <c r="BH58" s="589" t="inlineStr">
        <is>
          <t>May 2055</t>
        </is>
      </c>
      <c r="BI58" s="589" t="inlineStr">
        <is>
          <t>May 2055</t>
        </is>
      </c>
      <c r="BJ58" s="589" t="inlineStr">
        <is>
          <t>May 2055</t>
        </is>
      </c>
      <c r="BK58" s="590" t="inlineStr">
        <is>
          <t>May 2055</t>
        </is>
      </c>
      <c r="BL58" s="591" t="inlineStr">
        <is>
          <t>May 2055</t>
        </is>
      </c>
      <c r="BM58" s="589" t="inlineStr">
        <is>
          <t>May 2055</t>
        </is>
      </c>
      <c r="BN58" s="589" t="inlineStr">
        <is>
          <t>May 2055</t>
        </is>
      </c>
      <c r="BO58" s="589" t="inlineStr">
        <is>
          <t>ND</t>
        </is>
      </c>
      <c r="BP58" s="590" t="inlineStr">
        <is>
          <t>May 2055</t>
        </is>
      </c>
      <c r="BQ58" s="591" t="inlineStr">
        <is>
          <t>Nov 2047</t>
        </is>
      </c>
      <c r="BR58" s="589" t="inlineStr">
        <is>
          <t>May 2055</t>
        </is>
      </c>
      <c r="BS58" s="589" t="inlineStr">
        <is>
          <t>ND</t>
        </is>
      </c>
      <c r="BT58" s="590" t="inlineStr">
        <is>
          <t>May 2055</t>
        </is>
      </c>
      <c r="BU58" s="437" t="n"/>
      <c r="BV58" s="437" t="n"/>
      <c r="BW58" s="238" t="n"/>
      <c r="BX58" s="238" t="n"/>
      <c r="BY58" s="238" t="n"/>
      <c r="BZ58" s="238" t="n"/>
      <c r="CA58" s="238" t="n"/>
      <c r="CB58" s="238" t="n"/>
      <c r="CC58" s="238" t="n"/>
      <c r="CD58" s="238" t="n"/>
      <c r="CE58" s="238" t="n"/>
      <c r="CF58" s="238" t="n"/>
      <c r="CG58" s="238" t="n"/>
      <c r="CH58" s="238" t="n"/>
      <c r="CI58" s="238" t="n"/>
      <c r="CJ58" s="238" t="n"/>
      <c r="CK58" s="238" t="n"/>
      <c r="CL58" s="238" t="n"/>
      <c r="CM58" s="238" t="n"/>
      <c r="CN58" s="238" t="n"/>
      <c r="CO58" s="238" t="n"/>
      <c r="CP58" s="238" t="n"/>
      <c r="CQ58" s="238" t="n"/>
      <c r="CR58" s="238" t="n"/>
      <c r="CS58" s="238" t="n"/>
      <c r="CT58" s="238" t="n"/>
      <c r="CU58" s="238" t="n"/>
      <c r="CV58" s="238" t="n"/>
      <c r="CW58" s="238" t="n"/>
      <c r="CX58" s="238" t="n"/>
      <c r="CY58" s="238" t="n"/>
      <c r="CZ58" s="238" t="n"/>
      <c r="DA58" s="238" t="n"/>
      <c r="DB58" s="238" t="n"/>
      <c r="DC58" s="238" t="n"/>
      <c r="DD58" s="238" t="n"/>
      <c r="DE58" s="238" t="n"/>
      <c r="DF58" s="238" t="n"/>
      <c r="DG58" s="238" t="n"/>
      <c r="DH58" s="238" t="n"/>
      <c r="DI58" s="238" t="n"/>
      <c r="DJ58" s="238" t="n"/>
      <c r="DK58" s="238" t="n"/>
      <c r="DL58" s="238" t="n"/>
      <c r="DM58" s="238" t="n"/>
      <c r="DN58" s="238" t="n"/>
      <c r="DO58" s="238" t="n"/>
      <c r="DP58" s="238" t="n"/>
      <c r="DQ58" s="238" t="n"/>
      <c r="DR58" s="238" t="n"/>
      <c r="DS58" s="238" t="n"/>
      <c r="DT58" s="238" t="n"/>
      <c r="DU58" s="238" t="n"/>
      <c r="DV58" s="238" t="n"/>
      <c r="DW58" s="238" t="n"/>
      <c r="DX58" s="238" t="n"/>
      <c r="DY58" s="238" t="n"/>
      <c r="DZ58" s="23" t="n"/>
      <c r="FQ58" s="212" t="n"/>
      <c r="FR58" s="212" t="n"/>
      <c r="FS58" s="212" t="n"/>
      <c r="FT58" s="212" t="n"/>
      <c r="FU58" s="212" t="n"/>
      <c r="FV58" s="212" t="n"/>
      <c r="FW58" s="212" t="n"/>
      <c r="FX58" s="212" t="n"/>
      <c r="FY58" s="212" t="n"/>
      <c r="FZ58" s="212" t="n"/>
    </row>
    <row r="59" ht="39.95" customFormat="1" customHeight="1" s="5">
      <c r="A59" s="182" t="inlineStr"/>
      <c r="B59" s="7" t="inlineStr">
        <is>
          <t>+1 FT 6 IN</t>
        </is>
      </c>
      <c r="C59" s="456" t="n"/>
      <c r="D59" s="13" t="n"/>
      <c r="H59" s="592" t="n"/>
      <c r="I59" s="593" t="n"/>
      <c r="M59" s="592" t="n"/>
      <c r="N59" s="593" t="n"/>
      <c r="R59" s="592" t="n"/>
      <c r="S59" s="593" t="n"/>
      <c r="W59" s="592" t="n"/>
      <c r="X59" s="593" t="n"/>
      <c r="AB59" s="592" t="n"/>
      <c r="AC59" s="593" t="n"/>
      <c r="AG59" s="592" t="n"/>
      <c r="AH59" s="593" t="n"/>
      <c r="AL59" s="592" t="n"/>
      <c r="AM59" s="593" t="n"/>
      <c r="AQ59" s="592" t="n"/>
      <c r="AR59" s="593" t="n"/>
      <c r="AV59" s="592" t="n"/>
      <c r="AW59" s="593" t="n"/>
      <c r="BA59" s="592" t="n"/>
      <c r="BB59" s="593" t="n"/>
      <c r="BF59" s="592" t="n"/>
      <c r="BG59" s="593" t="n"/>
      <c r="BK59" s="592" t="n"/>
      <c r="BL59" s="593" t="n"/>
      <c r="BP59" s="592" t="n"/>
      <c r="BQ59" s="593" t="n"/>
      <c r="BT59" s="592" t="n"/>
      <c r="BU59" s="437" t="n"/>
      <c r="BV59" s="437" t="n"/>
      <c r="BW59" s="238" t="n"/>
      <c r="BX59" s="238" t="n"/>
      <c r="BY59" s="238" t="n"/>
      <c r="BZ59" s="238" t="n"/>
      <c r="CA59" s="238" t="n"/>
      <c r="CB59" s="238" t="n"/>
      <c r="CC59" s="238" t="n"/>
      <c r="CD59" s="238" t="n"/>
      <c r="CE59" s="238" t="n"/>
      <c r="CF59" s="238" t="n"/>
      <c r="CG59" s="238" t="n"/>
      <c r="CH59" s="238" t="n"/>
      <c r="CI59" s="238" t="n"/>
      <c r="CJ59" s="238" t="n"/>
      <c r="CK59" s="238" t="n"/>
      <c r="CL59" s="238" t="n"/>
      <c r="CM59" s="238" t="n"/>
      <c r="CN59" s="238" t="n"/>
      <c r="CO59" s="238" t="n"/>
      <c r="CP59" s="238" t="n"/>
      <c r="CQ59" s="238" t="n"/>
      <c r="CR59" s="238" t="n"/>
      <c r="CS59" s="238" t="n"/>
      <c r="CT59" s="238" t="n"/>
      <c r="CU59" s="238" t="n"/>
      <c r="CV59" s="238" t="n"/>
      <c r="CW59" s="238" t="n"/>
      <c r="CX59" s="238" t="n"/>
      <c r="CY59" s="238" t="n"/>
      <c r="CZ59" s="238" t="n"/>
      <c r="DA59" s="238" t="n"/>
      <c r="DB59" s="238" t="n"/>
      <c r="DC59" s="238" t="n"/>
      <c r="DD59" s="238" t="n"/>
      <c r="DE59" s="238" t="n"/>
      <c r="DF59" s="238" t="n"/>
      <c r="DG59" s="238" t="n"/>
      <c r="DH59" s="238" t="n"/>
      <c r="DI59" s="238" t="n"/>
      <c r="DJ59" s="238" t="n"/>
      <c r="DK59" s="238" t="n"/>
      <c r="DL59" s="238" t="n"/>
      <c r="DM59" s="238" t="n"/>
      <c r="DN59" s="238" t="n"/>
      <c r="DO59" s="238" t="n"/>
      <c r="DP59" s="238" t="n"/>
      <c r="DQ59" s="238" t="n"/>
      <c r="DR59" s="238" t="n"/>
      <c r="DS59" s="238" t="n"/>
      <c r="DT59" s="238" t="n"/>
      <c r="DU59" s="238" t="n"/>
      <c r="DV59" s="238" t="n"/>
      <c r="DW59" s="238" t="n"/>
      <c r="DX59" s="238" t="n"/>
      <c r="DY59" s="238" t="n"/>
      <c r="DZ59" s="23" t="n"/>
      <c r="FQ59" s="212" t="n"/>
      <c r="FR59" s="212" t="n"/>
      <c r="FS59" s="212" t="n"/>
      <c r="FT59" s="212" t="n"/>
      <c r="FU59" s="212" t="n"/>
      <c r="FV59" s="212" t="n"/>
      <c r="FW59" s="212" t="n"/>
      <c r="FX59" s="212" t="n"/>
      <c r="FY59" s="212" t="n"/>
      <c r="FZ59" s="212" t="n"/>
    </row>
    <row r="60" ht="39.95" customFormat="1" customHeight="1" s="5">
      <c r="A60" s="456" t="n"/>
      <c r="B60" s="8" t="n"/>
      <c r="C60" s="456" t="n"/>
      <c r="D60" s="594" t="n"/>
      <c r="E60" s="595" t="n"/>
      <c r="F60" s="595" t="n"/>
      <c r="G60" s="595" t="n"/>
      <c r="H60" s="596" t="n"/>
      <c r="I60" s="597" t="n"/>
      <c r="J60" s="595" t="n"/>
      <c r="K60" s="595" t="n"/>
      <c r="L60" s="595" t="n"/>
      <c r="M60" s="596" t="n"/>
      <c r="N60" s="597" t="n"/>
      <c r="O60" s="595" t="n"/>
      <c r="P60" s="595" t="n"/>
      <c r="Q60" s="595" t="n"/>
      <c r="R60" s="596" t="n"/>
      <c r="S60" s="597" t="n"/>
      <c r="T60" s="595" t="n"/>
      <c r="U60" s="595" t="n"/>
      <c r="V60" s="595" t="n"/>
      <c r="W60" s="596" t="n"/>
      <c r="X60" s="597" t="n"/>
      <c r="Y60" s="595" t="n"/>
      <c r="Z60" s="595" t="n"/>
      <c r="AA60" s="595" t="n"/>
      <c r="AB60" s="596" t="n"/>
      <c r="AC60" s="597" t="n"/>
      <c r="AD60" s="595" t="n"/>
      <c r="AE60" s="595" t="n"/>
      <c r="AF60" s="595" t="n"/>
      <c r="AG60" s="596" t="n"/>
      <c r="AH60" s="597" t="n"/>
      <c r="AI60" s="595" t="n"/>
      <c r="AJ60" s="595" t="n"/>
      <c r="AK60" s="595" t="n"/>
      <c r="AL60" s="596" t="n"/>
      <c r="AM60" s="597" t="n"/>
      <c r="AN60" s="595" t="n"/>
      <c r="AO60" s="595" t="n"/>
      <c r="AP60" s="595" t="n"/>
      <c r="AQ60" s="596" t="n"/>
      <c r="AR60" s="597" t="n"/>
      <c r="AS60" s="595" t="n"/>
      <c r="AT60" s="595" t="n"/>
      <c r="AU60" s="595" t="n"/>
      <c r="AV60" s="596" t="n"/>
      <c r="AW60" s="597" t="n"/>
      <c r="AX60" s="595" t="n"/>
      <c r="AY60" s="595" t="n"/>
      <c r="AZ60" s="595" t="n"/>
      <c r="BA60" s="596" t="n"/>
      <c r="BB60" s="597" t="n"/>
      <c r="BC60" s="595" t="n"/>
      <c r="BD60" s="595" t="n"/>
      <c r="BE60" s="595" t="n"/>
      <c r="BF60" s="596" t="n"/>
      <c r="BG60" s="597" t="n"/>
      <c r="BH60" s="595" t="n"/>
      <c r="BI60" s="595" t="n"/>
      <c r="BJ60" s="595" t="n"/>
      <c r="BK60" s="596" t="n"/>
      <c r="BL60" s="597" t="n"/>
      <c r="BM60" s="595" t="n"/>
      <c r="BN60" s="595" t="n"/>
      <c r="BO60" s="595" t="n"/>
      <c r="BP60" s="596" t="n"/>
      <c r="BQ60" s="597" t="n"/>
      <c r="BR60" s="595" t="n"/>
      <c r="BS60" s="595" t="n"/>
      <c r="BT60" s="596" t="n"/>
      <c r="BU60" s="437" t="n"/>
      <c r="BV60" s="437" t="n"/>
      <c r="BW60" s="238" t="n"/>
      <c r="BX60" s="238" t="n"/>
      <c r="BY60" s="238" t="n"/>
      <c r="BZ60" s="238" t="n"/>
      <c r="CA60" s="238" t="n"/>
      <c r="CB60" s="238" t="n"/>
      <c r="CC60" s="238" t="n"/>
      <c r="CD60" s="238" t="n"/>
      <c r="CE60" s="238" t="n"/>
      <c r="CF60" s="238" t="n"/>
      <c r="CG60" s="238" t="n"/>
      <c r="CH60" s="238" t="n"/>
      <c r="CI60" s="238" t="n"/>
      <c r="CJ60" s="238" t="n"/>
      <c r="CK60" s="238" t="n"/>
      <c r="CL60" s="238" t="n"/>
      <c r="CM60" s="238" t="n"/>
      <c r="CN60" s="238" t="n"/>
      <c r="CO60" s="238" t="n"/>
      <c r="CP60" s="238" t="n"/>
      <c r="CQ60" s="238" t="n"/>
      <c r="CR60" s="238" t="n"/>
      <c r="CS60" s="238" t="n"/>
      <c r="CT60" s="238" t="n"/>
      <c r="CU60" s="238" t="n"/>
      <c r="CV60" s="238" t="n"/>
      <c r="CW60" s="238" t="n"/>
      <c r="CX60" s="238" t="n"/>
      <c r="CY60" s="238" t="n"/>
      <c r="CZ60" s="238" t="n"/>
      <c r="DA60" s="238" t="n"/>
      <c r="DB60" s="238" t="n"/>
      <c r="DC60" s="238" t="n"/>
      <c r="DD60" s="238" t="n"/>
      <c r="DE60" s="238" t="n"/>
      <c r="DF60" s="238" t="n"/>
      <c r="DG60" s="238" t="n"/>
      <c r="DH60" s="238" t="n"/>
      <c r="DI60" s="238" t="n"/>
      <c r="DJ60" s="238" t="n"/>
      <c r="DK60" s="238" t="n"/>
      <c r="DL60" s="238" t="n"/>
      <c r="DM60" s="238" t="n"/>
      <c r="DN60" s="238" t="n"/>
      <c r="DO60" s="238" t="n"/>
      <c r="DP60" s="238" t="n"/>
      <c r="DQ60" s="238" t="n"/>
      <c r="DR60" s="238" t="n"/>
      <c r="DS60" s="238" t="n"/>
      <c r="DT60" s="238" t="n"/>
      <c r="DU60" s="238" t="n"/>
      <c r="DV60" s="238" t="n"/>
      <c r="DW60" s="238" t="n"/>
      <c r="DX60" s="238" t="n"/>
      <c r="DY60" s="238" t="n"/>
      <c r="DZ60" s="23" t="n"/>
      <c r="FQ60" s="212" t="n"/>
      <c r="FR60" s="212" t="n"/>
      <c r="FS60" s="212" t="n"/>
      <c r="FT60" s="212" t="n"/>
      <c r="FU60" s="212" t="n"/>
      <c r="FV60" s="212" t="n"/>
      <c r="FW60" s="212" t="n"/>
      <c r="FX60" s="212" t="n"/>
      <c r="FY60" s="212" t="n"/>
      <c r="FZ60" s="212" t="n"/>
    </row>
    <row r="61" ht="39.95" customFormat="1" customHeight="1" s="5">
      <c r="A61" s="10" t="inlineStr">
        <is>
          <t>A</t>
        </is>
      </c>
      <c r="B61" s="6" t="n"/>
      <c r="C61" s="351" t="inlineStr">
        <is>
          <t>Year</t>
        </is>
      </c>
      <c r="D61" s="588" t="inlineStr">
        <is>
          <t>May 2055</t>
        </is>
      </c>
      <c r="E61" s="589" t="inlineStr">
        <is>
          <t>May 2055</t>
        </is>
      </c>
      <c r="F61" s="589" t="inlineStr">
        <is>
          <t>May 2055</t>
        </is>
      </c>
      <c r="G61" s="589" t="inlineStr">
        <is>
          <t>May 2055</t>
        </is>
      </c>
      <c r="H61" s="590" t="inlineStr">
        <is>
          <t>May 2055</t>
        </is>
      </c>
      <c r="I61" s="591" t="inlineStr">
        <is>
          <t>May 2055</t>
        </is>
      </c>
      <c r="J61" s="589" t="inlineStr">
        <is>
          <t>ND</t>
        </is>
      </c>
      <c r="K61" s="589" t="inlineStr">
        <is>
          <t>May 2055</t>
        </is>
      </c>
      <c r="L61" s="589" t="inlineStr">
        <is>
          <t>May 2055</t>
        </is>
      </c>
      <c r="M61" s="590" t="inlineStr">
        <is>
          <t>ND</t>
        </is>
      </c>
      <c r="N61" s="591" t="inlineStr">
        <is>
          <t>ND</t>
        </is>
      </c>
      <c r="O61" s="589" t="inlineStr">
        <is>
          <t>May 2055</t>
        </is>
      </c>
      <c r="P61" s="589" t="inlineStr">
        <is>
          <t>May 2055</t>
        </is>
      </c>
      <c r="Q61" s="589" t="inlineStr">
        <is>
          <t>ND</t>
        </is>
      </c>
      <c r="R61" s="590" t="inlineStr">
        <is>
          <t>May 2055</t>
        </is>
      </c>
      <c r="S61" s="591" t="inlineStr">
        <is>
          <t>May 2055</t>
        </is>
      </c>
      <c r="T61" s="589" t="inlineStr">
        <is>
          <t>May 2055</t>
        </is>
      </c>
      <c r="U61" s="589" t="inlineStr">
        <is>
          <t>ND</t>
        </is>
      </c>
      <c r="V61" s="589" t="inlineStr">
        <is>
          <t>ND</t>
        </is>
      </c>
      <c r="W61" s="590" t="inlineStr">
        <is>
          <t>May 2055</t>
        </is>
      </c>
      <c r="X61" s="591" t="inlineStr">
        <is>
          <t>ND</t>
        </is>
      </c>
      <c r="Y61" s="589" t="inlineStr">
        <is>
          <t>ND</t>
        </is>
      </c>
      <c r="Z61" s="589" t="inlineStr">
        <is>
          <t>May 2055</t>
        </is>
      </c>
      <c r="AA61" s="589" t="inlineStr">
        <is>
          <t>May 2055</t>
        </is>
      </c>
      <c r="AB61" s="590" t="inlineStr">
        <is>
          <t>ND</t>
        </is>
      </c>
      <c r="AC61" s="591" t="inlineStr">
        <is>
          <t>May 2055</t>
        </is>
      </c>
      <c r="AD61" s="589" t="inlineStr">
        <is>
          <t>May 2055</t>
        </is>
      </c>
      <c r="AE61" s="589" t="inlineStr">
        <is>
          <t>May 2055</t>
        </is>
      </c>
      <c r="AF61" s="589" t="inlineStr">
        <is>
          <t>ND</t>
        </is>
      </c>
      <c r="AG61" s="590" t="inlineStr">
        <is>
          <t>ND</t>
        </is>
      </c>
      <c r="AH61" s="591" t="inlineStr">
        <is>
          <t>May 2055</t>
        </is>
      </c>
      <c r="AI61" s="589" t="inlineStr">
        <is>
          <t>May 2055</t>
        </is>
      </c>
      <c r="AJ61" s="589" t="inlineStr">
        <is>
          <t>May 2055</t>
        </is>
      </c>
      <c r="AK61" s="589" t="inlineStr">
        <is>
          <t>Dec 2049</t>
        </is>
      </c>
      <c r="AL61" s="590" t="inlineStr">
        <is>
          <t>Jul 2050</t>
        </is>
      </c>
      <c r="AM61" s="591" t="inlineStr">
        <is>
          <t>ND</t>
        </is>
      </c>
      <c r="AN61" s="589" t="inlineStr">
        <is>
          <t>May 2055</t>
        </is>
      </c>
      <c r="AO61" s="589" t="inlineStr">
        <is>
          <t>Aug 2047</t>
        </is>
      </c>
      <c r="AP61" s="589" t="inlineStr">
        <is>
          <t>ND</t>
        </is>
      </c>
      <c r="AQ61" s="590" t="inlineStr">
        <is>
          <t>ND</t>
        </is>
      </c>
      <c r="AR61" s="591" t="inlineStr">
        <is>
          <t>May 2055</t>
        </is>
      </c>
      <c r="AS61" s="589" t="inlineStr">
        <is>
          <t>May 2055</t>
        </is>
      </c>
      <c r="AT61" s="589" t="inlineStr">
        <is>
          <t>May 2055</t>
        </is>
      </c>
      <c r="AU61" s="589" t="inlineStr">
        <is>
          <t>ND</t>
        </is>
      </c>
      <c r="AV61" s="590" t="inlineStr">
        <is>
          <t>May 2055</t>
        </is>
      </c>
      <c r="AW61" s="591" t="inlineStr">
        <is>
          <t>May 2055</t>
        </is>
      </c>
      <c r="AX61" s="589" t="inlineStr">
        <is>
          <t>May 2055</t>
        </is>
      </c>
      <c r="AY61" s="589" t="inlineStr">
        <is>
          <t>ND</t>
        </is>
      </c>
      <c r="AZ61" s="589" t="inlineStr">
        <is>
          <t>May 2055</t>
        </is>
      </c>
      <c r="BA61" s="590" t="inlineStr">
        <is>
          <t>May 2055</t>
        </is>
      </c>
      <c r="BB61" s="591" t="inlineStr">
        <is>
          <t>May 2055</t>
        </is>
      </c>
      <c r="BC61" s="589" t="inlineStr">
        <is>
          <t>Dec 2046</t>
        </is>
      </c>
      <c r="BD61" s="589" t="inlineStr">
        <is>
          <t>May 2055</t>
        </is>
      </c>
      <c r="BE61" s="589" t="inlineStr">
        <is>
          <t>May 2055</t>
        </is>
      </c>
      <c r="BF61" s="590" t="inlineStr">
        <is>
          <t>Aug 2044</t>
        </is>
      </c>
      <c r="BG61" s="591" t="inlineStr">
        <is>
          <t>ND</t>
        </is>
      </c>
      <c r="BH61" s="589" t="inlineStr">
        <is>
          <t>ND</t>
        </is>
      </c>
      <c r="BI61" s="589" t="inlineStr">
        <is>
          <t>ND</t>
        </is>
      </c>
      <c r="BJ61" s="589" t="inlineStr">
        <is>
          <t>ND</t>
        </is>
      </c>
      <c r="BK61" s="590" t="inlineStr">
        <is>
          <t>May 2055</t>
        </is>
      </c>
      <c r="BL61" s="591" t="inlineStr">
        <is>
          <t>ND</t>
        </is>
      </c>
      <c r="BM61" s="589" t="inlineStr">
        <is>
          <t>ND</t>
        </is>
      </c>
      <c r="BN61" s="589" t="inlineStr">
        <is>
          <t>May 2055</t>
        </is>
      </c>
      <c r="BO61" s="589" t="inlineStr">
        <is>
          <t>ND</t>
        </is>
      </c>
      <c r="BP61" s="590" t="inlineStr">
        <is>
          <t>May 2055</t>
        </is>
      </c>
      <c r="BQ61" s="591" t="inlineStr">
        <is>
          <t>May 2055</t>
        </is>
      </c>
      <c r="BR61" s="589" t="inlineStr">
        <is>
          <t>May 2055</t>
        </is>
      </c>
      <c r="BS61" s="589" t="inlineStr">
        <is>
          <t>ND</t>
        </is>
      </c>
      <c r="BT61" s="590" t="inlineStr">
        <is>
          <t>ND</t>
        </is>
      </c>
      <c r="BU61" s="437" t="n"/>
      <c r="BV61" s="437" t="n"/>
      <c r="BW61" s="238" t="n"/>
      <c r="BX61" s="238" t="n"/>
      <c r="BY61" s="238" t="n"/>
      <c r="BZ61" s="238" t="n"/>
      <c r="CA61" s="238" t="n"/>
      <c r="CB61" s="238" t="n"/>
      <c r="CC61" s="238" t="n"/>
      <c r="CD61" s="238" t="n"/>
      <c r="CE61" s="238" t="n"/>
      <c r="CF61" s="238" t="n"/>
      <c r="CG61" s="238" t="n"/>
      <c r="CH61" s="238" t="n"/>
      <c r="CI61" s="238" t="n"/>
      <c r="CJ61" s="238" t="n"/>
      <c r="CK61" s="238" t="n"/>
      <c r="CL61" s="238" t="n"/>
      <c r="CM61" s="238" t="n"/>
      <c r="CN61" s="238" t="n"/>
      <c r="CO61" s="238" t="n"/>
      <c r="CP61" s="238" t="n"/>
      <c r="CQ61" s="238" t="n"/>
      <c r="CR61" s="238" t="n"/>
      <c r="CS61" s="238" t="n"/>
      <c r="CT61" s="238" t="n"/>
      <c r="CU61" s="238" t="n"/>
      <c r="CV61" s="238" t="n"/>
      <c r="CW61" s="238" t="n"/>
      <c r="CX61" s="238" t="n"/>
      <c r="CY61" s="238" t="n"/>
      <c r="CZ61" s="238" t="n"/>
      <c r="DA61" s="238" t="n"/>
      <c r="DB61" s="238" t="n"/>
      <c r="DC61" s="238" t="n"/>
      <c r="DD61" s="238" t="n"/>
      <c r="DE61" s="238" t="n"/>
      <c r="DF61" s="238" t="n"/>
      <c r="DG61" s="238" t="n"/>
      <c r="DH61" s="238" t="n"/>
      <c r="DI61" s="238" t="n"/>
      <c r="DJ61" s="238" t="n"/>
      <c r="DK61" s="238" t="n"/>
      <c r="DL61" s="238" t="n"/>
      <c r="DM61" s="238" t="n"/>
      <c r="DN61" s="238" t="n"/>
      <c r="DO61" s="238" t="n"/>
      <c r="DP61" s="238" t="n"/>
      <c r="DQ61" s="238" t="n"/>
      <c r="DR61" s="238" t="n"/>
      <c r="DS61" s="238" t="n"/>
      <c r="DT61" s="238" t="n"/>
      <c r="DU61" s="238" t="n"/>
      <c r="DV61" s="238" t="n"/>
      <c r="DW61" s="238" t="n"/>
      <c r="DX61" s="238" t="n"/>
      <c r="DY61" s="238" t="n"/>
      <c r="DZ61" s="23" t="n"/>
      <c r="FQ61" s="212" t="n"/>
      <c r="FR61" s="212" t="n"/>
      <c r="FS61" s="212" t="n"/>
      <c r="FT61" s="212" t="n"/>
      <c r="FU61" s="212" t="n"/>
      <c r="FV61" s="212" t="n"/>
      <c r="FW61" s="212" t="n"/>
      <c r="FX61" s="212" t="n"/>
      <c r="FY61" s="212" t="n"/>
      <c r="FZ61" s="212" t="n"/>
    </row>
    <row r="62" ht="39.95" customFormat="1" customHeight="1" s="5">
      <c r="A62" s="182" t="inlineStr"/>
      <c r="B62" s="7" t="inlineStr">
        <is>
          <t>0 REFERENCE</t>
        </is>
      </c>
      <c r="C62" s="456" t="n"/>
      <c r="D62" s="13" t="n"/>
      <c r="H62" s="592" t="n"/>
      <c r="I62" s="593" t="n"/>
      <c r="M62" s="592" t="n"/>
      <c r="N62" s="593" t="n"/>
      <c r="R62" s="592" t="n"/>
      <c r="S62" s="593" t="n"/>
      <c r="W62" s="592" t="n"/>
      <c r="X62" s="593" t="n"/>
      <c r="AB62" s="592" t="n"/>
      <c r="AC62" s="593" t="n"/>
      <c r="AG62" s="592" t="n"/>
      <c r="AH62" s="593" t="n"/>
      <c r="AL62" s="592" t="n"/>
      <c r="AM62" s="593" t="n"/>
      <c r="AQ62" s="592" t="n"/>
      <c r="AR62" s="593" t="n"/>
      <c r="AV62" s="592" t="n"/>
      <c r="AW62" s="593" t="n"/>
      <c r="BA62" s="592" t="n"/>
      <c r="BB62" s="593" t="n"/>
      <c r="BF62" s="592" t="n"/>
      <c r="BG62" s="593" t="n"/>
      <c r="BK62" s="592" t="n"/>
      <c r="BL62" s="593" t="n"/>
      <c r="BP62" s="592" t="n"/>
      <c r="BQ62" s="593" t="n"/>
      <c r="BT62" s="592" t="n"/>
      <c r="BU62" s="437" t="n"/>
      <c r="BV62" s="437" t="n"/>
      <c r="BW62" s="238" t="n"/>
      <c r="BX62" s="238" t="n"/>
      <c r="BY62" s="238" t="n"/>
      <c r="BZ62" s="238" t="n"/>
      <c r="CA62" s="238" t="n"/>
      <c r="CB62" s="238" t="n"/>
      <c r="CC62" s="238" t="n"/>
      <c r="CD62" s="238" t="n"/>
      <c r="CE62" s="238" t="n"/>
      <c r="CF62" s="238" t="n"/>
      <c r="CG62" s="238" t="n"/>
      <c r="CH62" s="238" t="n"/>
      <c r="CI62" s="238" t="n"/>
      <c r="CJ62" s="238" t="n"/>
      <c r="CK62" s="238" t="n"/>
      <c r="CL62" s="238" t="n"/>
      <c r="CM62" s="238" t="n"/>
      <c r="CN62" s="238" t="n"/>
      <c r="CO62" s="238" t="n"/>
      <c r="CP62" s="238" t="n"/>
      <c r="CQ62" s="238" t="n"/>
      <c r="CR62" s="238" t="n"/>
      <c r="CS62" s="238" t="n"/>
      <c r="CT62" s="238" t="n"/>
      <c r="CU62" s="238" t="n"/>
      <c r="CV62" s="238" t="n"/>
      <c r="CW62" s="238" t="n"/>
      <c r="CX62" s="238" t="n"/>
      <c r="CY62" s="238" t="n"/>
      <c r="CZ62" s="238" t="n"/>
      <c r="DA62" s="238" t="n"/>
      <c r="DB62" s="238" t="n"/>
      <c r="DC62" s="238" t="n"/>
      <c r="DD62" s="238" t="n"/>
      <c r="DE62" s="238" t="n"/>
      <c r="DF62" s="238" t="n"/>
      <c r="DG62" s="238" t="n"/>
      <c r="DH62" s="238" t="n"/>
      <c r="DI62" s="238" t="n"/>
      <c r="DJ62" s="238" t="n"/>
      <c r="DK62" s="238" t="n"/>
      <c r="DL62" s="238" t="n"/>
      <c r="DM62" s="238" t="n"/>
      <c r="DN62" s="238" t="n"/>
      <c r="DO62" s="238" t="n"/>
      <c r="DP62" s="238" t="n"/>
      <c r="DQ62" s="238" t="n"/>
      <c r="DR62" s="238" t="n"/>
      <c r="DS62" s="238" t="n"/>
      <c r="DT62" s="238" t="n"/>
      <c r="DU62" s="238" t="n"/>
      <c r="DV62" s="238" t="n"/>
      <c r="DW62" s="238" t="n"/>
      <c r="DX62" s="238" t="n"/>
      <c r="DY62" s="238" t="n"/>
      <c r="DZ62" s="23" t="n"/>
      <c r="FQ62" s="212" t="n"/>
      <c r="FR62" s="212" t="n"/>
      <c r="FS62" s="212" t="n"/>
      <c r="FT62" s="212" t="n"/>
      <c r="FU62" s="212" t="n"/>
      <c r="FV62" s="212" t="n"/>
      <c r="FW62" s="212" t="n"/>
      <c r="FX62" s="212" t="n"/>
      <c r="FY62" s="212" t="n"/>
      <c r="FZ62" s="212" t="n"/>
    </row>
    <row r="63" ht="39.95" customFormat="1" customHeight="1" s="5">
      <c r="A63" s="456" t="n"/>
      <c r="B63" s="8" t="n"/>
      <c r="C63" s="456" t="n"/>
      <c r="D63" s="594" t="n"/>
      <c r="E63" s="595" t="n"/>
      <c r="F63" s="595" t="n"/>
      <c r="G63" s="595" t="n"/>
      <c r="H63" s="596" t="n"/>
      <c r="I63" s="597" t="n"/>
      <c r="J63" s="595" t="n"/>
      <c r="K63" s="595" t="n"/>
      <c r="L63" s="595" t="n"/>
      <c r="M63" s="596" t="n"/>
      <c r="N63" s="597" t="n"/>
      <c r="O63" s="595" t="n"/>
      <c r="P63" s="595" t="n"/>
      <c r="Q63" s="595" t="n"/>
      <c r="R63" s="596" t="n"/>
      <c r="S63" s="597" t="n"/>
      <c r="T63" s="595" t="n"/>
      <c r="U63" s="595" t="n"/>
      <c r="V63" s="595" t="n"/>
      <c r="W63" s="596" t="n"/>
      <c r="X63" s="597" t="n"/>
      <c r="Y63" s="595" t="n"/>
      <c r="Z63" s="595" t="n"/>
      <c r="AA63" s="595" t="n"/>
      <c r="AB63" s="596" t="n"/>
      <c r="AC63" s="597" t="n"/>
      <c r="AD63" s="595" t="n"/>
      <c r="AE63" s="595" t="n"/>
      <c r="AF63" s="595" t="n"/>
      <c r="AG63" s="596" t="n"/>
      <c r="AH63" s="597" t="n"/>
      <c r="AI63" s="595" t="n"/>
      <c r="AJ63" s="595" t="n"/>
      <c r="AK63" s="595" t="n"/>
      <c r="AL63" s="596" t="n"/>
      <c r="AM63" s="597" t="n"/>
      <c r="AN63" s="595" t="n"/>
      <c r="AO63" s="595" t="n"/>
      <c r="AP63" s="595" t="n"/>
      <c r="AQ63" s="596" t="n"/>
      <c r="AR63" s="597" t="n"/>
      <c r="AS63" s="595" t="n"/>
      <c r="AT63" s="595" t="n"/>
      <c r="AU63" s="595" t="n"/>
      <c r="AV63" s="596" t="n"/>
      <c r="AW63" s="597" t="n"/>
      <c r="AX63" s="595" t="n"/>
      <c r="AY63" s="595" t="n"/>
      <c r="AZ63" s="595" t="n"/>
      <c r="BA63" s="596" t="n"/>
      <c r="BB63" s="597" t="n"/>
      <c r="BC63" s="595" t="n"/>
      <c r="BD63" s="595" t="n"/>
      <c r="BE63" s="595" t="n"/>
      <c r="BF63" s="596" t="n"/>
      <c r="BG63" s="597" t="n"/>
      <c r="BH63" s="595" t="n"/>
      <c r="BI63" s="595" t="n"/>
      <c r="BJ63" s="595" t="n"/>
      <c r="BK63" s="596" t="n"/>
      <c r="BL63" s="597" t="n"/>
      <c r="BM63" s="595" t="n"/>
      <c r="BN63" s="595" t="n"/>
      <c r="BO63" s="595" t="n"/>
      <c r="BP63" s="596" t="n"/>
      <c r="BQ63" s="597" t="n"/>
      <c r="BR63" s="595" t="n"/>
      <c r="BS63" s="595" t="n"/>
      <c r="BT63" s="596" t="n"/>
      <c r="BU63" s="437" t="n"/>
      <c r="BV63" s="437" t="n"/>
      <c r="BW63" s="238" t="n"/>
      <c r="BX63" s="238" t="n"/>
      <c r="BY63" s="238" t="n"/>
      <c r="BZ63" s="238" t="n"/>
      <c r="CA63" s="238" t="n"/>
      <c r="CB63" s="238" t="n"/>
      <c r="CC63" s="238" t="n"/>
      <c r="CD63" s="238" t="n"/>
      <c r="CE63" s="238" t="n"/>
      <c r="CF63" s="238" t="n"/>
      <c r="CG63" s="238" t="n"/>
      <c r="CH63" s="238" t="n"/>
      <c r="CI63" s="238" t="n"/>
      <c r="CJ63" s="238" t="n"/>
      <c r="CK63" s="238" t="n"/>
      <c r="CL63" s="238" t="n"/>
      <c r="CM63" s="238" t="n"/>
      <c r="CN63" s="238" t="n"/>
      <c r="CO63" s="238" t="n"/>
      <c r="CP63" s="238" t="n"/>
      <c r="CQ63" s="238" t="n"/>
      <c r="CR63" s="238" t="n"/>
      <c r="CS63" s="238" t="n"/>
      <c r="CT63" s="238" t="n"/>
      <c r="CU63" s="238" t="n"/>
      <c r="CV63" s="238" t="n"/>
      <c r="CW63" s="238" t="n"/>
      <c r="CX63" s="238" t="n"/>
      <c r="CY63" s="238" t="n"/>
      <c r="CZ63" s="238" t="n"/>
      <c r="DA63" s="238" t="n"/>
      <c r="DB63" s="238" t="n"/>
      <c r="DC63" s="238" t="n"/>
      <c r="DD63" s="238" t="n"/>
      <c r="DE63" s="238" t="n"/>
      <c r="DF63" s="238" t="n"/>
      <c r="DG63" s="238" t="n"/>
      <c r="DH63" s="238" t="n"/>
      <c r="DI63" s="238" t="n"/>
      <c r="DJ63" s="238" t="n"/>
      <c r="DK63" s="238" t="n"/>
      <c r="DL63" s="238" t="n"/>
      <c r="DM63" s="238" t="n"/>
      <c r="DN63" s="238" t="n"/>
      <c r="DO63" s="238" t="n"/>
      <c r="DP63" s="238" t="n"/>
      <c r="DQ63" s="238" t="n"/>
      <c r="DR63" s="238" t="n"/>
      <c r="DS63" s="238" t="n"/>
      <c r="DT63" s="238" t="n"/>
      <c r="DU63" s="238" t="n"/>
      <c r="DV63" s="238" t="n"/>
      <c r="DW63" s="238" t="n"/>
      <c r="DX63" s="238" t="n"/>
      <c r="DY63" s="238" t="n"/>
      <c r="DZ63" s="23" t="n"/>
      <c r="FQ63" s="212" t="n"/>
      <c r="FR63" s="212" t="n"/>
      <c r="FS63" s="212" t="n"/>
      <c r="FT63" s="212" t="n"/>
      <c r="FU63" s="212" t="n"/>
      <c r="FV63" s="212" t="n"/>
      <c r="FW63" s="212" t="n"/>
      <c r="FX63" s="212" t="n"/>
      <c r="FY63" s="212" t="n"/>
      <c r="FZ63" s="212" t="n"/>
    </row>
    <row r="64" ht="39.95" customFormat="1" customHeight="1" s="5">
      <c r="A64" s="10" t="inlineStr">
        <is>
          <t>A</t>
        </is>
      </c>
      <c r="B64" s="6" t="inlineStr">
        <is>
          <t>POSITION 'A'</t>
        </is>
      </c>
      <c r="C64" s="351" t="inlineStr">
        <is>
          <t>Year</t>
        </is>
      </c>
      <c r="D64" s="588" t="inlineStr">
        <is>
          <t>ND</t>
        </is>
      </c>
      <c r="E64" s="589" t="inlineStr">
        <is>
          <t>May 2055</t>
        </is>
      </c>
      <c r="F64" s="589" t="inlineStr">
        <is>
          <t>ND</t>
        </is>
      </c>
      <c r="G64" s="589" t="inlineStr">
        <is>
          <t>Nov 2051</t>
        </is>
      </c>
      <c r="H64" s="590" t="inlineStr">
        <is>
          <t>Aug 2042</t>
        </is>
      </c>
      <c r="I64" s="591" t="inlineStr">
        <is>
          <t>May 2055</t>
        </is>
      </c>
      <c r="J64" s="589" t="inlineStr">
        <is>
          <t>May 2055</t>
        </is>
      </c>
      <c r="K64" s="589" t="inlineStr">
        <is>
          <t>ND</t>
        </is>
      </c>
      <c r="L64" s="589" t="inlineStr">
        <is>
          <t>ND</t>
        </is>
      </c>
      <c r="M64" s="590" t="inlineStr">
        <is>
          <t>ND</t>
        </is>
      </c>
      <c r="N64" s="591" t="inlineStr">
        <is>
          <t>May 2055</t>
        </is>
      </c>
      <c r="O64" s="589" t="inlineStr">
        <is>
          <t>May 2054</t>
        </is>
      </c>
      <c r="P64" s="589" t="inlineStr">
        <is>
          <t>Aug 2053</t>
        </is>
      </c>
      <c r="Q64" s="589" t="inlineStr">
        <is>
          <t>Sep 2051</t>
        </is>
      </c>
      <c r="R64" s="590" t="inlineStr">
        <is>
          <t>May 2055</t>
        </is>
      </c>
      <c r="S64" s="591" t="inlineStr">
        <is>
          <t>May 2055</t>
        </is>
      </c>
      <c r="T64" s="589" t="inlineStr">
        <is>
          <t>ND</t>
        </is>
      </c>
      <c r="U64" s="589" t="inlineStr">
        <is>
          <t>ND</t>
        </is>
      </c>
      <c r="V64" s="589" t="inlineStr">
        <is>
          <t>May 2055</t>
        </is>
      </c>
      <c r="W64" s="590" t="inlineStr">
        <is>
          <t>May 2055</t>
        </is>
      </c>
      <c r="X64" s="591" t="inlineStr">
        <is>
          <t>Apr 2055</t>
        </is>
      </c>
      <c r="Y64" s="589" t="inlineStr">
        <is>
          <t>May 2055</t>
        </is>
      </c>
      <c r="Z64" s="589" t="inlineStr">
        <is>
          <t>Jun 2049</t>
        </is>
      </c>
      <c r="AA64" s="589" t="inlineStr">
        <is>
          <t>May 2055</t>
        </is>
      </c>
      <c r="AB64" s="590" t="inlineStr">
        <is>
          <t>ND</t>
        </is>
      </c>
      <c r="AC64" s="591" t="inlineStr">
        <is>
          <t>ND</t>
        </is>
      </c>
      <c r="AD64" s="589" t="inlineStr">
        <is>
          <t>ND</t>
        </is>
      </c>
      <c r="AE64" s="589" t="inlineStr">
        <is>
          <t>ND</t>
        </is>
      </c>
      <c r="AF64" s="589" t="inlineStr">
        <is>
          <t>ND</t>
        </is>
      </c>
      <c r="AG64" s="590" t="inlineStr">
        <is>
          <t>ND</t>
        </is>
      </c>
      <c r="AH64" s="591" t="inlineStr">
        <is>
          <t>ND</t>
        </is>
      </c>
      <c r="AI64" s="589" t="inlineStr">
        <is>
          <t>May 2055</t>
        </is>
      </c>
      <c r="AJ64" s="589" t="inlineStr">
        <is>
          <t>Mar 2041</t>
        </is>
      </c>
      <c r="AK64" s="589" t="inlineStr">
        <is>
          <t>May 2055</t>
        </is>
      </c>
      <c r="AL64" s="590" t="inlineStr">
        <is>
          <t>May 2055</t>
        </is>
      </c>
      <c r="AM64" s="591" t="inlineStr">
        <is>
          <t>ND</t>
        </is>
      </c>
      <c r="AN64" s="589" t="inlineStr">
        <is>
          <t>May 2055</t>
        </is>
      </c>
      <c r="AO64" s="589" t="inlineStr">
        <is>
          <t>May 2055</t>
        </is>
      </c>
      <c r="AP64" s="589" t="inlineStr">
        <is>
          <t>May 2055</t>
        </is>
      </c>
      <c r="AQ64" s="590" t="inlineStr">
        <is>
          <t>Jun 2052</t>
        </is>
      </c>
      <c r="AR64" s="591" t="inlineStr">
        <is>
          <t>Jul 2051</t>
        </is>
      </c>
      <c r="AS64" s="589" t="inlineStr">
        <is>
          <t>May 2055</t>
        </is>
      </c>
      <c r="AT64" s="589" t="inlineStr">
        <is>
          <t>ND</t>
        </is>
      </c>
      <c r="AU64" s="589" t="inlineStr">
        <is>
          <t>ND</t>
        </is>
      </c>
      <c r="AV64" s="590" t="inlineStr">
        <is>
          <t>Jan 2050</t>
        </is>
      </c>
      <c r="AW64" s="591" t="inlineStr">
        <is>
          <t>Dec 2045</t>
        </is>
      </c>
      <c r="AX64" s="589" t="inlineStr">
        <is>
          <t>Dec 2047</t>
        </is>
      </c>
      <c r="AY64" s="589" t="inlineStr">
        <is>
          <t>May 2055</t>
        </is>
      </c>
      <c r="AZ64" s="589" t="inlineStr">
        <is>
          <t>May 2055</t>
        </is>
      </c>
      <c r="BA64" s="590" t="inlineStr">
        <is>
          <t>May 2055</t>
        </is>
      </c>
      <c r="BB64" s="591" t="inlineStr">
        <is>
          <t>ND</t>
        </is>
      </c>
      <c r="BC64" s="589" t="inlineStr">
        <is>
          <t>ND</t>
        </is>
      </c>
      <c r="BD64" s="589" t="inlineStr">
        <is>
          <t>ND</t>
        </is>
      </c>
      <c r="BE64" s="589" t="inlineStr">
        <is>
          <t>ND</t>
        </is>
      </c>
      <c r="BF64" s="590" t="inlineStr">
        <is>
          <t>May 2055</t>
        </is>
      </c>
      <c r="BG64" s="591" t="inlineStr">
        <is>
          <t>Jul 2039</t>
        </is>
      </c>
      <c r="BH64" s="589" t="inlineStr">
        <is>
          <t>May 2055</t>
        </is>
      </c>
      <c r="BI64" s="589" t="inlineStr">
        <is>
          <t>May 2055</t>
        </is>
      </c>
      <c r="BJ64" s="589" t="inlineStr">
        <is>
          <t>Nov 2052</t>
        </is>
      </c>
      <c r="BK64" s="590" t="inlineStr">
        <is>
          <t>ND</t>
        </is>
      </c>
      <c r="BL64" s="591" t="inlineStr">
        <is>
          <t>ND</t>
        </is>
      </c>
      <c r="BM64" s="589" t="inlineStr">
        <is>
          <t>ND</t>
        </is>
      </c>
      <c r="BN64" s="589" t="inlineStr">
        <is>
          <t>ND</t>
        </is>
      </c>
      <c r="BO64" s="589" t="inlineStr">
        <is>
          <t>ND</t>
        </is>
      </c>
      <c r="BP64" s="590" t="inlineStr">
        <is>
          <t>ND</t>
        </is>
      </c>
      <c r="BQ64" s="591" t="inlineStr">
        <is>
          <t>ND</t>
        </is>
      </c>
      <c r="BR64" s="589" t="inlineStr">
        <is>
          <t>ND</t>
        </is>
      </c>
      <c r="BS64" s="589" t="inlineStr">
        <is>
          <t>ND</t>
        </is>
      </c>
      <c r="BT64" s="590" t="inlineStr">
        <is>
          <t>ND</t>
        </is>
      </c>
      <c r="BU64" s="437" t="n"/>
      <c r="BV64" s="437" t="n"/>
      <c r="BW64" s="238" t="n"/>
      <c r="BX64" s="238" t="n"/>
      <c r="BY64" s="238" t="n"/>
      <c r="BZ64" s="238" t="n"/>
      <c r="CA64" s="238" t="n"/>
      <c r="CB64" s="238" t="n"/>
      <c r="CC64" s="238" t="n"/>
      <c r="CD64" s="238" t="n"/>
      <c r="CE64" s="238" t="n"/>
      <c r="CF64" s="238" t="n"/>
      <c r="CG64" s="238" t="n"/>
      <c r="CH64" s="238" t="n"/>
      <c r="CI64" s="238" t="n"/>
      <c r="CJ64" s="238" t="n"/>
      <c r="CK64" s="238" t="n"/>
      <c r="CL64" s="238" t="n"/>
      <c r="CM64" s="238" t="n"/>
      <c r="CN64" s="238" t="n"/>
      <c r="CO64" s="238" t="n"/>
      <c r="CP64" s="238" t="n"/>
      <c r="CQ64" s="238" t="n"/>
      <c r="CR64" s="238" t="n"/>
      <c r="CS64" s="238" t="n"/>
      <c r="CT64" s="238" t="n"/>
      <c r="CU64" s="238" t="n"/>
      <c r="CV64" s="238" t="n"/>
      <c r="CW64" s="238" t="n"/>
      <c r="CX64" s="238" t="n"/>
      <c r="CY64" s="238" t="n"/>
      <c r="CZ64" s="238" t="n"/>
      <c r="DA64" s="238" t="n"/>
      <c r="DB64" s="238" t="n"/>
      <c r="DC64" s="238" t="n"/>
      <c r="DD64" s="238" t="n"/>
      <c r="DE64" s="238" t="n"/>
      <c r="DF64" s="238" t="n"/>
      <c r="DG64" s="238" t="n"/>
      <c r="DH64" s="238" t="n"/>
      <c r="DI64" s="238" t="n"/>
      <c r="DJ64" s="238" t="n"/>
      <c r="DK64" s="238" t="n"/>
      <c r="DL64" s="238" t="n"/>
      <c r="DM64" s="238" t="n"/>
      <c r="DN64" s="238" t="n"/>
      <c r="DO64" s="238" t="n"/>
      <c r="DP64" s="238" t="n"/>
      <c r="DQ64" s="238" t="n"/>
      <c r="DR64" s="238" t="n"/>
      <c r="DS64" s="238" t="n"/>
      <c r="DT64" s="238" t="n"/>
      <c r="DU64" s="238" t="n"/>
      <c r="DV64" s="238" t="n"/>
      <c r="DW64" s="238" t="n"/>
      <c r="DX64" s="238" t="n"/>
      <c r="DY64" s="238" t="n"/>
      <c r="DZ64" s="23" t="n"/>
      <c r="FQ64" s="212" t="n"/>
      <c r="FR64" s="212" t="n"/>
      <c r="FS64" s="212" t="n"/>
      <c r="FT64" s="212" t="n"/>
      <c r="FU64" s="212" t="n"/>
      <c r="FV64" s="212" t="n"/>
      <c r="FW64" s="212" t="n"/>
      <c r="FX64" s="212" t="n"/>
      <c r="FY64" s="212" t="n"/>
      <c r="FZ64" s="212" t="n"/>
    </row>
    <row r="65" ht="39.95" customFormat="1" customHeight="1" s="5">
      <c r="A65" s="182" t="inlineStr"/>
      <c r="B65" s="7" t="inlineStr">
        <is>
          <t xml:space="preserve">OF THE </t>
        </is>
      </c>
      <c r="C65" s="456" t="n"/>
      <c r="D65" s="13" t="n"/>
      <c r="H65" s="592" t="n"/>
      <c r="I65" s="593" t="n"/>
      <c r="M65" s="592" t="n"/>
      <c r="N65" s="593" t="n"/>
      <c r="R65" s="592" t="n"/>
      <c r="S65" s="593" t="n"/>
      <c r="W65" s="592" t="n"/>
      <c r="X65" s="593" t="n"/>
      <c r="AB65" s="592" t="n"/>
      <c r="AC65" s="593" t="n"/>
      <c r="AG65" s="592" t="n"/>
      <c r="AH65" s="593" t="n"/>
      <c r="AL65" s="592" t="n"/>
      <c r="AM65" s="593" t="n"/>
      <c r="AQ65" s="592" t="n"/>
      <c r="AR65" s="593" t="n"/>
      <c r="AV65" s="592" t="n"/>
      <c r="AW65" s="593" t="n"/>
      <c r="BA65" s="592" t="n"/>
      <c r="BB65" s="593" t="n"/>
      <c r="BF65" s="592" t="n"/>
      <c r="BG65" s="593" t="n"/>
      <c r="BK65" s="592" t="n"/>
      <c r="BL65" s="593" t="n"/>
      <c r="BP65" s="592" t="n"/>
      <c r="BQ65" s="593" t="n"/>
      <c r="BT65" s="592" t="n"/>
      <c r="BU65" s="437" t="n"/>
      <c r="BV65" s="437" t="n"/>
      <c r="BW65" s="238" t="n"/>
      <c r="BX65" s="238" t="n"/>
      <c r="BY65" s="238" t="n"/>
      <c r="BZ65" s="238" t="n"/>
      <c r="CA65" s="238" t="n"/>
      <c r="CB65" s="238" t="n"/>
      <c r="CC65" s="238" t="n"/>
      <c r="CD65" s="238" t="n"/>
      <c r="CE65" s="238" t="n"/>
      <c r="CF65" s="238" t="n"/>
      <c r="CG65" s="238" t="n"/>
      <c r="CH65" s="238" t="n"/>
      <c r="CI65" s="238" t="n"/>
      <c r="CJ65" s="238" t="n"/>
      <c r="CK65" s="238" t="n"/>
      <c r="CL65" s="238" t="n"/>
      <c r="CM65" s="238" t="n"/>
      <c r="CN65" s="238" t="n"/>
      <c r="CO65" s="238" t="n"/>
      <c r="CP65" s="238" t="n"/>
      <c r="CQ65" s="238" t="n"/>
      <c r="CR65" s="238" t="n"/>
      <c r="CS65" s="238" t="n"/>
      <c r="CT65" s="238" t="n"/>
      <c r="CU65" s="238" t="n"/>
      <c r="CV65" s="238" t="n"/>
      <c r="CW65" s="238" t="n"/>
      <c r="CX65" s="238" t="n"/>
      <c r="CY65" s="238" t="n"/>
      <c r="CZ65" s="238" t="n"/>
      <c r="DA65" s="238" t="n"/>
      <c r="DB65" s="238" t="n"/>
      <c r="DC65" s="238" t="n"/>
      <c r="DD65" s="238" t="n"/>
      <c r="DE65" s="238" t="n"/>
      <c r="DF65" s="238" t="n"/>
      <c r="DG65" s="238" t="n"/>
      <c r="DH65" s="238" t="n"/>
      <c r="DI65" s="238" t="n"/>
      <c r="DJ65" s="238" t="n"/>
      <c r="DK65" s="238" t="n"/>
      <c r="DL65" s="238" t="n"/>
      <c r="DM65" s="238" t="n"/>
      <c r="DN65" s="238" t="n"/>
      <c r="DO65" s="238" t="n"/>
      <c r="DP65" s="238" t="n"/>
      <c r="DQ65" s="238" t="n"/>
      <c r="DR65" s="238" t="n"/>
      <c r="DS65" s="238" t="n"/>
      <c r="DT65" s="238" t="n"/>
      <c r="DU65" s="238" t="n"/>
      <c r="DV65" s="238" t="n"/>
      <c r="DW65" s="238" t="n"/>
      <c r="DX65" s="238" t="n"/>
      <c r="DY65" s="238" t="n"/>
      <c r="DZ65" s="23" t="n"/>
      <c r="FQ65" s="212" t="n"/>
      <c r="FR65" s="212" t="n"/>
      <c r="FS65" s="212" t="n"/>
      <c r="FT65" s="212" t="n"/>
      <c r="FU65" s="212" t="n"/>
      <c r="FV65" s="212" t="n"/>
      <c r="FW65" s="212" t="n"/>
      <c r="FX65" s="212" t="n"/>
      <c r="FY65" s="212" t="n"/>
      <c r="FZ65" s="212" t="n"/>
    </row>
    <row r="66" ht="39.95" customFormat="1" customHeight="1" s="5">
      <c r="A66" s="456" t="n"/>
      <c r="B66" s="8" t="inlineStr">
        <is>
          <t>SECONDARIES</t>
        </is>
      </c>
      <c r="C66" s="456" t="n"/>
      <c r="D66" s="594" t="n"/>
      <c r="E66" s="595" t="n"/>
      <c r="F66" s="595" t="n"/>
      <c r="G66" s="595" t="n"/>
      <c r="H66" s="596" t="n"/>
      <c r="I66" s="597" t="n"/>
      <c r="J66" s="595" t="n"/>
      <c r="K66" s="595" t="n"/>
      <c r="L66" s="595" t="n"/>
      <c r="M66" s="596" t="n"/>
      <c r="N66" s="597" t="n"/>
      <c r="O66" s="595" t="n"/>
      <c r="P66" s="595" t="n"/>
      <c r="Q66" s="595" t="n"/>
      <c r="R66" s="596" t="n"/>
      <c r="S66" s="597" t="n"/>
      <c r="T66" s="595" t="n"/>
      <c r="U66" s="595" t="n"/>
      <c r="V66" s="595" t="n"/>
      <c r="W66" s="596" t="n"/>
      <c r="X66" s="597" t="n"/>
      <c r="Y66" s="595" t="n"/>
      <c r="Z66" s="595" t="n"/>
      <c r="AA66" s="595" t="n"/>
      <c r="AB66" s="596" t="n"/>
      <c r="AC66" s="597" t="n"/>
      <c r="AD66" s="595" t="n"/>
      <c r="AE66" s="595" t="n"/>
      <c r="AF66" s="595" t="n"/>
      <c r="AG66" s="596" t="n"/>
      <c r="AH66" s="597" t="n"/>
      <c r="AI66" s="595" t="n"/>
      <c r="AJ66" s="595" t="n"/>
      <c r="AK66" s="595" t="n"/>
      <c r="AL66" s="596" t="n"/>
      <c r="AM66" s="597" t="n"/>
      <c r="AN66" s="595" t="n"/>
      <c r="AO66" s="595" t="n"/>
      <c r="AP66" s="595" t="n"/>
      <c r="AQ66" s="596" t="n"/>
      <c r="AR66" s="597" t="n"/>
      <c r="AS66" s="595" t="n"/>
      <c r="AT66" s="595" t="n"/>
      <c r="AU66" s="595" t="n"/>
      <c r="AV66" s="596" t="n"/>
      <c r="AW66" s="597" t="n"/>
      <c r="AX66" s="595" t="n"/>
      <c r="AY66" s="595" t="n"/>
      <c r="AZ66" s="595" t="n"/>
      <c r="BA66" s="596" t="n"/>
      <c r="BB66" s="597" t="n"/>
      <c r="BC66" s="595" t="n"/>
      <c r="BD66" s="595" t="n"/>
      <c r="BE66" s="595" t="n"/>
      <c r="BF66" s="596" t="n"/>
      <c r="BG66" s="597" t="n"/>
      <c r="BH66" s="595" t="n"/>
      <c r="BI66" s="595" t="n"/>
      <c r="BJ66" s="595" t="n"/>
      <c r="BK66" s="596" t="n"/>
      <c r="BL66" s="597" t="n"/>
      <c r="BM66" s="595" t="n"/>
      <c r="BN66" s="595" t="n"/>
      <c r="BO66" s="595" t="n"/>
      <c r="BP66" s="596" t="n"/>
      <c r="BQ66" s="597" t="n"/>
      <c r="BR66" s="595" t="n"/>
      <c r="BS66" s="595" t="n"/>
      <c r="BT66" s="596" t="n"/>
      <c r="BU66" s="437" t="n"/>
      <c r="BV66" s="437" t="n"/>
      <c r="BW66" s="238" t="n"/>
      <c r="BX66" s="238" t="n"/>
      <c r="BY66" s="238" t="n"/>
      <c r="BZ66" s="238" t="n"/>
      <c r="CA66" s="238" t="n"/>
      <c r="CB66" s="238" t="n"/>
      <c r="CC66" s="238" t="n"/>
      <c r="CD66" s="238" t="n"/>
      <c r="CE66" s="238" t="n"/>
      <c r="CF66" s="238" t="n"/>
      <c r="CG66" s="238" t="n"/>
      <c r="CH66" s="238" t="n"/>
      <c r="CI66" s="238" t="n"/>
      <c r="CJ66" s="238" t="n"/>
      <c r="CK66" s="238" t="n"/>
      <c r="CL66" s="238" t="n"/>
      <c r="CM66" s="238" t="n"/>
      <c r="CN66" s="238" t="n"/>
      <c r="CO66" s="238" t="n"/>
      <c r="CP66" s="238" t="n"/>
      <c r="CQ66" s="238" t="n"/>
      <c r="CR66" s="238" t="n"/>
      <c r="CS66" s="238" t="n"/>
      <c r="CT66" s="238" t="n"/>
      <c r="CU66" s="238" t="n"/>
      <c r="CV66" s="238" t="n"/>
      <c r="CW66" s="238" t="n"/>
      <c r="CX66" s="238" t="n"/>
      <c r="CY66" s="238" t="n"/>
      <c r="CZ66" s="238" t="n"/>
      <c r="DA66" s="238" t="n"/>
      <c r="DB66" s="238" t="n"/>
      <c r="DC66" s="238" t="n"/>
      <c r="DD66" s="238" t="n"/>
      <c r="DE66" s="238" t="n"/>
      <c r="DF66" s="238" t="n"/>
      <c r="DG66" s="238" t="n"/>
      <c r="DH66" s="238" t="n"/>
      <c r="DI66" s="238" t="n"/>
      <c r="DJ66" s="238" t="n"/>
      <c r="DK66" s="238" t="n"/>
      <c r="DL66" s="238" t="n"/>
      <c r="DM66" s="238" t="n"/>
      <c r="DN66" s="238" t="n"/>
      <c r="DO66" s="238" t="n"/>
      <c r="DP66" s="238" t="n"/>
      <c r="DQ66" s="238" t="n"/>
      <c r="DR66" s="238" t="n"/>
      <c r="DS66" s="238" t="n"/>
      <c r="DT66" s="238" t="n"/>
      <c r="DU66" s="238" t="n"/>
      <c r="DV66" s="238" t="n"/>
      <c r="DW66" s="238" t="n"/>
      <c r="DX66" s="238" t="n"/>
      <c r="DY66" s="238" t="n"/>
      <c r="DZ66" s="23" t="n"/>
      <c r="FQ66" s="212" t="n"/>
      <c r="FR66" s="212" t="n"/>
      <c r="FS66" s="212" t="n"/>
      <c r="FT66" s="212" t="n"/>
      <c r="FU66" s="212" t="n"/>
      <c r="FV66" s="212" t="n"/>
      <c r="FW66" s="212" t="n"/>
      <c r="FX66" s="212" t="n"/>
      <c r="FY66" s="212" t="n"/>
      <c r="FZ66" s="212" t="n"/>
    </row>
    <row r="67" ht="39.95" customFormat="1" customHeight="1" s="5">
      <c r="A67" s="10" t="inlineStr">
        <is>
          <t>A</t>
        </is>
      </c>
      <c r="B67" s="6" t="inlineStr">
        <is>
          <t>POSITION 'B'</t>
        </is>
      </c>
      <c r="C67" s="351" t="inlineStr">
        <is>
          <t>Year</t>
        </is>
      </c>
      <c r="D67" s="588" t="inlineStr">
        <is>
          <t>ND</t>
        </is>
      </c>
      <c r="E67" s="589" t="inlineStr">
        <is>
          <t>May 2055</t>
        </is>
      </c>
      <c r="F67" s="589" t="inlineStr">
        <is>
          <t>May 2055</t>
        </is>
      </c>
      <c r="G67" s="589" t="inlineStr">
        <is>
          <t>May 2055</t>
        </is>
      </c>
      <c r="H67" s="590" t="inlineStr">
        <is>
          <t>May 2055</t>
        </is>
      </c>
      <c r="I67" s="591" t="inlineStr">
        <is>
          <t>May 2055</t>
        </is>
      </c>
      <c r="J67" s="589" t="inlineStr">
        <is>
          <t>May 2055</t>
        </is>
      </c>
      <c r="K67" s="589" t="inlineStr">
        <is>
          <t>ND</t>
        </is>
      </c>
      <c r="L67" s="589" t="inlineStr">
        <is>
          <t>ND</t>
        </is>
      </c>
      <c r="M67" s="590" t="inlineStr">
        <is>
          <t>ND</t>
        </is>
      </c>
      <c r="N67" s="591" t="inlineStr">
        <is>
          <t>May 2055</t>
        </is>
      </c>
      <c r="O67" s="589" t="inlineStr">
        <is>
          <t>Feb 2054</t>
        </is>
      </c>
      <c r="P67" s="589" t="inlineStr">
        <is>
          <t>Jun 2053</t>
        </is>
      </c>
      <c r="Q67" s="589" t="inlineStr">
        <is>
          <t>May 2055</t>
        </is>
      </c>
      <c r="R67" s="590" t="inlineStr">
        <is>
          <t>May 2055</t>
        </is>
      </c>
      <c r="S67" s="591" t="inlineStr">
        <is>
          <t>May 2055</t>
        </is>
      </c>
      <c r="T67" s="589" t="inlineStr">
        <is>
          <t>ND</t>
        </is>
      </c>
      <c r="U67" s="589" t="inlineStr">
        <is>
          <t>ND</t>
        </is>
      </c>
      <c r="V67" s="589" t="inlineStr">
        <is>
          <t>May 2055</t>
        </is>
      </c>
      <c r="W67" s="590" t="inlineStr">
        <is>
          <t>May 2055</t>
        </is>
      </c>
      <c r="X67" s="591" t="inlineStr">
        <is>
          <t>May 2055</t>
        </is>
      </c>
      <c r="Y67" s="589" t="inlineStr">
        <is>
          <t>May 2055</t>
        </is>
      </c>
      <c r="Z67" s="589" t="inlineStr">
        <is>
          <t>May 2055</t>
        </is>
      </c>
      <c r="AA67" s="589" t="inlineStr">
        <is>
          <t>May 2055</t>
        </is>
      </c>
      <c r="AB67" s="590" t="inlineStr">
        <is>
          <t>ND</t>
        </is>
      </c>
      <c r="AC67" s="591" t="inlineStr">
        <is>
          <t>ND</t>
        </is>
      </c>
      <c r="AD67" s="589" t="inlineStr">
        <is>
          <t>ND</t>
        </is>
      </c>
      <c r="AE67" s="589" t="inlineStr">
        <is>
          <t>ND</t>
        </is>
      </c>
      <c r="AF67" s="589" t="inlineStr">
        <is>
          <t>ND</t>
        </is>
      </c>
      <c r="AG67" s="590" t="inlineStr">
        <is>
          <t>ND</t>
        </is>
      </c>
      <c r="AH67" s="591" t="inlineStr">
        <is>
          <t>ND</t>
        </is>
      </c>
      <c r="AI67" s="589" t="inlineStr">
        <is>
          <t>Mar 2055</t>
        </is>
      </c>
      <c r="AJ67" s="589" t="inlineStr">
        <is>
          <t>May 2055</t>
        </is>
      </c>
      <c r="AK67" s="589" t="inlineStr">
        <is>
          <t>May 2055</t>
        </is>
      </c>
      <c r="AL67" s="590" t="inlineStr">
        <is>
          <t>May 2055</t>
        </is>
      </c>
      <c r="AM67" s="591" t="inlineStr">
        <is>
          <t>ND</t>
        </is>
      </c>
      <c r="AN67" s="589" t="inlineStr">
        <is>
          <t>May 2055</t>
        </is>
      </c>
      <c r="AO67" s="589" t="inlineStr">
        <is>
          <t>May 2055</t>
        </is>
      </c>
      <c r="AP67" s="589" t="inlineStr">
        <is>
          <t>May 2055</t>
        </is>
      </c>
      <c r="AQ67" s="590" t="inlineStr">
        <is>
          <t>May 2055</t>
        </is>
      </c>
      <c r="AR67" s="591" t="inlineStr">
        <is>
          <t>May 2055</t>
        </is>
      </c>
      <c r="AS67" s="589" t="inlineStr">
        <is>
          <t>ND</t>
        </is>
      </c>
      <c r="AT67" s="589" t="inlineStr">
        <is>
          <t>ND</t>
        </is>
      </c>
      <c r="AU67" s="589" t="inlineStr">
        <is>
          <t>ND</t>
        </is>
      </c>
      <c r="AV67" s="590" t="inlineStr">
        <is>
          <t>May 2055</t>
        </is>
      </c>
      <c r="AW67" s="591" t="inlineStr">
        <is>
          <t>Mar 2048</t>
        </is>
      </c>
      <c r="AX67" s="589" t="inlineStr">
        <is>
          <t>May 2055</t>
        </is>
      </c>
      <c r="AY67" s="589" t="inlineStr">
        <is>
          <t>May 2055</t>
        </is>
      </c>
      <c r="AZ67" s="589" t="inlineStr">
        <is>
          <t>Feb 2049</t>
        </is>
      </c>
      <c r="BA67" s="590" t="inlineStr">
        <is>
          <t>Jun 2039</t>
        </is>
      </c>
      <c r="BB67" s="591" t="inlineStr">
        <is>
          <t>ND</t>
        </is>
      </c>
      <c r="BC67" s="589" t="inlineStr">
        <is>
          <t>ND</t>
        </is>
      </c>
      <c r="BD67" s="589" t="inlineStr">
        <is>
          <t>ND</t>
        </is>
      </c>
      <c r="BE67" s="589" t="inlineStr">
        <is>
          <t>May 2055</t>
        </is>
      </c>
      <c r="BF67" s="590" t="inlineStr">
        <is>
          <t>May 2055</t>
        </is>
      </c>
      <c r="BG67" s="591" t="inlineStr">
        <is>
          <t>Jan 2054</t>
        </is>
      </c>
      <c r="BH67" s="589" t="inlineStr">
        <is>
          <t>May 2055</t>
        </is>
      </c>
      <c r="BI67" s="589" t="inlineStr">
        <is>
          <t>May 2055</t>
        </is>
      </c>
      <c r="BJ67" s="589" t="inlineStr">
        <is>
          <t>Mar 2050</t>
        </is>
      </c>
      <c r="BK67" s="590" t="inlineStr">
        <is>
          <t>ND</t>
        </is>
      </c>
      <c r="BL67" s="591" t="inlineStr">
        <is>
          <t>ND</t>
        </is>
      </c>
      <c r="BM67" s="589" t="inlineStr">
        <is>
          <t>ND</t>
        </is>
      </c>
      <c r="BN67" s="589" t="inlineStr">
        <is>
          <t>ND</t>
        </is>
      </c>
      <c r="BO67" s="589" t="inlineStr">
        <is>
          <t>ND</t>
        </is>
      </c>
      <c r="BP67" s="590" t="inlineStr">
        <is>
          <t>ND</t>
        </is>
      </c>
      <c r="BQ67" s="591" t="inlineStr">
        <is>
          <t>ND</t>
        </is>
      </c>
      <c r="BR67" s="589" t="inlineStr">
        <is>
          <t>ND</t>
        </is>
      </c>
      <c r="BS67" s="589" t="inlineStr">
        <is>
          <t>ND</t>
        </is>
      </c>
      <c r="BT67" s="590" t="inlineStr">
        <is>
          <t>ND</t>
        </is>
      </c>
      <c r="BU67" s="437" t="n"/>
      <c r="BV67" s="437" t="n"/>
      <c r="BW67" s="238" t="n"/>
      <c r="BX67" s="238" t="n"/>
      <c r="BY67" s="238" t="n"/>
      <c r="BZ67" s="238" t="n"/>
      <c r="CA67" s="238" t="n"/>
      <c r="CB67" s="238" t="n"/>
      <c r="CC67" s="238" t="n"/>
      <c r="CD67" s="238" t="n"/>
      <c r="CE67" s="238" t="n"/>
      <c r="CF67" s="238" t="n"/>
      <c r="CG67" s="238" t="n"/>
      <c r="CH67" s="238" t="n"/>
      <c r="CI67" s="238" t="n"/>
      <c r="CJ67" s="238" t="n"/>
      <c r="CK67" s="238" t="n"/>
      <c r="CL67" s="238" t="n"/>
      <c r="CM67" s="238" t="n"/>
      <c r="CN67" s="238" t="n"/>
      <c r="CO67" s="238" t="n"/>
      <c r="CP67" s="238" t="n"/>
      <c r="CQ67" s="238" t="n"/>
      <c r="CR67" s="238" t="n"/>
      <c r="CS67" s="238" t="n"/>
      <c r="CT67" s="238" t="n"/>
      <c r="CU67" s="238" t="n"/>
      <c r="CV67" s="238" t="n"/>
      <c r="CW67" s="238" t="n"/>
      <c r="CX67" s="238" t="n"/>
      <c r="CY67" s="238" t="n"/>
      <c r="CZ67" s="238" t="n"/>
      <c r="DA67" s="238" t="n"/>
      <c r="DB67" s="238" t="n"/>
      <c r="DC67" s="238" t="n"/>
      <c r="DD67" s="238" t="n"/>
      <c r="DE67" s="238" t="n"/>
      <c r="DF67" s="238" t="n"/>
      <c r="DG67" s="238" t="n"/>
      <c r="DH67" s="238" t="n"/>
      <c r="DI67" s="238" t="n"/>
      <c r="DJ67" s="238" t="n"/>
      <c r="DK67" s="238" t="n"/>
      <c r="DL67" s="238" t="n"/>
      <c r="DM67" s="238" t="n"/>
      <c r="DN67" s="238" t="n"/>
      <c r="DO67" s="238" t="n"/>
      <c r="DP67" s="238" t="n"/>
      <c r="DQ67" s="238" t="n"/>
      <c r="DR67" s="238" t="n"/>
      <c r="DS67" s="238" t="n"/>
      <c r="DT67" s="238" t="n"/>
      <c r="DU67" s="238" t="n"/>
      <c r="DV67" s="238" t="n"/>
      <c r="DW67" s="238" t="n"/>
      <c r="DX67" s="238" t="n"/>
      <c r="DY67" s="238" t="n"/>
      <c r="DZ67" s="23" t="n"/>
      <c r="FQ67" s="212" t="n"/>
      <c r="FR67" s="212" t="n"/>
      <c r="FS67" s="212" t="n"/>
      <c r="FT67" s="212" t="n"/>
      <c r="FU67" s="212" t="n"/>
      <c r="FV67" s="212" t="n"/>
      <c r="FW67" s="212" t="n"/>
      <c r="FX67" s="212" t="n"/>
      <c r="FY67" s="212" t="n"/>
      <c r="FZ67" s="212" t="n"/>
    </row>
    <row r="68" ht="39.95" customFormat="1" customHeight="1" s="5">
      <c r="A68" s="182" t="inlineStr"/>
      <c r="B68" s="7" t="inlineStr">
        <is>
          <t xml:space="preserve">OF THE </t>
        </is>
      </c>
      <c r="C68" s="456" t="n"/>
      <c r="D68" s="13" t="n"/>
      <c r="H68" s="592" t="n"/>
      <c r="I68" s="593" t="n"/>
      <c r="M68" s="592" t="n"/>
      <c r="N68" s="593" t="n"/>
      <c r="R68" s="592" t="n"/>
      <c r="S68" s="593" t="n"/>
      <c r="W68" s="592" t="n"/>
      <c r="X68" s="593" t="n"/>
      <c r="AB68" s="592" t="n"/>
      <c r="AC68" s="593" t="n"/>
      <c r="AG68" s="592" t="n"/>
      <c r="AH68" s="593" t="n"/>
      <c r="AL68" s="592" t="n"/>
      <c r="AM68" s="593" t="n"/>
      <c r="AQ68" s="592" t="n"/>
      <c r="AR68" s="593" t="n"/>
      <c r="AV68" s="592" t="n"/>
      <c r="AW68" s="593" t="n"/>
      <c r="BA68" s="592" t="n"/>
      <c r="BB68" s="593" t="n"/>
      <c r="BF68" s="592" t="n"/>
      <c r="BG68" s="593" t="n"/>
      <c r="BK68" s="592" t="n"/>
      <c r="BL68" s="593" t="n"/>
      <c r="BP68" s="592" t="n"/>
      <c r="BQ68" s="593" t="n"/>
      <c r="BT68" s="592" t="n"/>
      <c r="BU68" s="437" t="n"/>
      <c r="BV68" s="437" t="n"/>
      <c r="BW68" s="238" t="n"/>
      <c r="BX68" s="238" t="n"/>
      <c r="BY68" s="238" t="n"/>
      <c r="BZ68" s="238" t="n"/>
      <c r="CA68" s="238" t="n"/>
      <c r="CB68" s="238" t="n"/>
      <c r="CC68" s="238" t="n"/>
      <c r="CD68" s="238" t="n"/>
      <c r="CE68" s="238" t="n"/>
      <c r="CF68" s="238" t="n"/>
      <c r="CG68" s="238" t="n"/>
      <c r="CH68" s="238" t="n"/>
      <c r="CI68" s="238" t="n"/>
      <c r="CJ68" s="238" t="n"/>
      <c r="CK68" s="238" t="n"/>
      <c r="CL68" s="238" t="n"/>
      <c r="CM68" s="238" t="n"/>
      <c r="CN68" s="238" t="n"/>
      <c r="CO68" s="238" t="n"/>
      <c r="CP68" s="238" t="n"/>
      <c r="CQ68" s="238" t="n"/>
      <c r="CR68" s="238" t="n"/>
      <c r="CS68" s="238" t="n"/>
      <c r="CT68" s="238" t="n"/>
      <c r="CU68" s="238" t="n"/>
      <c r="CV68" s="238" t="n"/>
      <c r="CW68" s="238" t="n"/>
      <c r="CX68" s="238" t="n"/>
      <c r="CY68" s="238" t="n"/>
      <c r="CZ68" s="238" t="n"/>
      <c r="DA68" s="238" t="n"/>
      <c r="DB68" s="238" t="n"/>
      <c r="DC68" s="238" t="n"/>
      <c r="DD68" s="238" t="n"/>
      <c r="DE68" s="238" t="n"/>
      <c r="DF68" s="238" t="n"/>
      <c r="DG68" s="238" t="n"/>
      <c r="DH68" s="238" t="n"/>
      <c r="DI68" s="238" t="n"/>
      <c r="DJ68" s="238" t="n"/>
      <c r="DK68" s="238" t="n"/>
      <c r="DL68" s="238" t="n"/>
      <c r="DM68" s="238" t="n"/>
      <c r="DN68" s="238" t="n"/>
      <c r="DO68" s="238" t="n"/>
      <c r="DP68" s="238" t="n"/>
      <c r="DQ68" s="238" t="n"/>
      <c r="DR68" s="238" t="n"/>
      <c r="DS68" s="238" t="n"/>
      <c r="DT68" s="238" t="n"/>
      <c r="DU68" s="238" t="n"/>
      <c r="DV68" s="238" t="n"/>
      <c r="DW68" s="238" t="n"/>
      <c r="DX68" s="238" t="n"/>
      <c r="DY68" s="238" t="n"/>
      <c r="DZ68" s="23" t="n"/>
      <c r="FQ68" s="212" t="n"/>
      <c r="FR68" s="212" t="n"/>
      <c r="FS68" s="212" t="n"/>
      <c r="FT68" s="212" t="n"/>
      <c r="FU68" s="212" t="n"/>
      <c r="FV68" s="212" t="n"/>
      <c r="FW68" s="212" t="n"/>
      <c r="FX68" s="212" t="n"/>
      <c r="FY68" s="212" t="n"/>
      <c r="FZ68" s="212" t="n"/>
    </row>
    <row r="69" ht="39.95" customFormat="1" customHeight="1" s="5">
      <c r="A69" s="456" t="n"/>
      <c r="B69" s="8" t="inlineStr">
        <is>
          <t>SECONDARIES</t>
        </is>
      </c>
      <c r="C69" s="456" t="n"/>
      <c r="D69" s="594" t="n"/>
      <c r="E69" s="595" t="n"/>
      <c r="F69" s="595" t="n"/>
      <c r="G69" s="595" t="n"/>
      <c r="H69" s="596" t="n"/>
      <c r="I69" s="597" t="n"/>
      <c r="J69" s="595" t="n"/>
      <c r="K69" s="595" t="n"/>
      <c r="L69" s="595" t="n"/>
      <c r="M69" s="596" t="n"/>
      <c r="N69" s="597" t="n"/>
      <c r="O69" s="595" t="n"/>
      <c r="P69" s="595" t="n"/>
      <c r="Q69" s="595" t="n"/>
      <c r="R69" s="596" t="n"/>
      <c r="S69" s="597" t="n"/>
      <c r="T69" s="595" t="n"/>
      <c r="U69" s="595" t="n"/>
      <c r="V69" s="595" t="n"/>
      <c r="W69" s="596" t="n"/>
      <c r="X69" s="597" t="n"/>
      <c r="Y69" s="595" t="n"/>
      <c r="Z69" s="595" t="n"/>
      <c r="AA69" s="595" t="n"/>
      <c r="AB69" s="596" t="n"/>
      <c r="AC69" s="597" t="n"/>
      <c r="AD69" s="595" t="n"/>
      <c r="AE69" s="595" t="n"/>
      <c r="AF69" s="595" t="n"/>
      <c r="AG69" s="596" t="n"/>
      <c r="AH69" s="597" t="n"/>
      <c r="AI69" s="595" t="n"/>
      <c r="AJ69" s="595" t="n"/>
      <c r="AK69" s="595" t="n"/>
      <c r="AL69" s="596" t="n"/>
      <c r="AM69" s="597" t="n"/>
      <c r="AN69" s="595" t="n"/>
      <c r="AO69" s="595" t="n"/>
      <c r="AP69" s="595" t="n"/>
      <c r="AQ69" s="596" t="n"/>
      <c r="AR69" s="597" t="n"/>
      <c r="AS69" s="595" t="n"/>
      <c r="AT69" s="595" t="n"/>
      <c r="AU69" s="595" t="n"/>
      <c r="AV69" s="596" t="n"/>
      <c r="AW69" s="597" t="n"/>
      <c r="AX69" s="595" t="n"/>
      <c r="AY69" s="595" t="n"/>
      <c r="AZ69" s="595" t="n"/>
      <c r="BA69" s="596" t="n"/>
      <c r="BB69" s="597" t="n"/>
      <c r="BC69" s="595" t="n"/>
      <c r="BD69" s="595" t="n"/>
      <c r="BE69" s="595" t="n"/>
      <c r="BF69" s="596" t="n"/>
      <c r="BG69" s="597" t="n"/>
      <c r="BH69" s="595" t="n"/>
      <c r="BI69" s="595" t="n"/>
      <c r="BJ69" s="595" t="n"/>
      <c r="BK69" s="596" t="n"/>
      <c r="BL69" s="597" t="n"/>
      <c r="BM69" s="595" t="n"/>
      <c r="BN69" s="595" t="n"/>
      <c r="BO69" s="595" t="n"/>
      <c r="BP69" s="596" t="n"/>
      <c r="BQ69" s="597" t="n"/>
      <c r="BR69" s="595" t="n"/>
      <c r="BS69" s="595" t="n"/>
      <c r="BT69" s="596" t="n"/>
      <c r="BU69" s="437" t="n"/>
      <c r="BV69" s="437" t="n"/>
      <c r="BW69" s="238" t="n"/>
      <c r="BX69" s="238" t="n"/>
      <c r="BY69" s="238" t="n"/>
      <c r="BZ69" s="238" t="n"/>
      <c r="CA69" s="238" t="n"/>
      <c r="CB69" s="238" t="n"/>
      <c r="CC69" s="238" t="n"/>
      <c r="CD69" s="238" t="n"/>
      <c r="CE69" s="238" t="n"/>
      <c r="CF69" s="238" t="n"/>
      <c r="CG69" s="238" t="n"/>
      <c r="CH69" s="238" t="n"/>
      <c r="CI69" s="238" t="n"/>
      <c r="CJ69" s="238" t="n"/>
      <c r="CK69" s="238" t="n"/>
      <c r="CL69" s="238" t="n"/>
      <c r="CM69" s="238" t="n"/>
      <c r="CN69" s="238" t="n"/>
      <c r="CO69" s="238" t="n"/>
      <c r="CP69" s="238" t="n"/>
      <c r="CQ69" s="238" t="n"/>
      <c r="CR69" s="238" t="n"/>
      <c r="CS69" s="238" t="n"/>
      <c r="CT69" s="238" t="n"/>
      <c r="CU69" s="238" t="n"/>
      <c r="CV69" s="238" t="n"/>
      <c r="CW69" s="238" t="n"/>
      <c r="CX69" s="238" t="n"/>
      <c r="CY69" s="238" t="n"/>
      <c r="CZ69" s="238" t="n"/>
      <c r="DA69" s="238" t="n"/>
      <c r="DB69" s="238" t="n"/>
      <c r="DC69" s="238" t="n"/>
      <c r="DD69" s="238" t="n"/>
      <c r="DE69" s="238" t="n"/>
      <c r="DF69" s="238" t="n"/>
      <c r="DG69" s="238" t="n"/>
      <c r="DH69" s="238" t="n"/>
      <c r="DI69" s="238" t="n"/>
      <c r="DJ69" s="238" t="n"/>
      <c r="DK69" s="238" t="n"/>
      <c r="DL69" s="238" t="n"/>
      <c r="DM69" s="238" t="n"/>
      <c r="DN69" s="238" t="n"/>
      <c r="DO69" s="238" t="n"/>
      <c r="DP69" s="238" t="n"/>
      <c r="DQ69" s="238" t="n"/>
      <c r="DR69" s="238" t="n"/>
      <c r="DS69" s="238" t="n"/>
      <c r="DT69" s="238" t="n"/>
      <c r="DU69" s="238" t="n"/>
      <c r="DV69" s="238" t="n"/>
      <c r="DW69" s="238" t="n"/>
      <c r="DX69" s="238" t="n"/>
      <c r="DY69" s="238" t="n"/>
      <c r="DZ69" s="23" t="n"/>
      <c r="FQ69" s="212" t="n"/>
      <c r="FR69" s="212" t="n"/>
      <c r="FS69" s="212" t="n"/>
      <c r="FT69" s="212" t="n"/>
      <c r="FU69" s="212" t="n"/>
      <c r="FV69" s="212" t="n"/>
      <c r="FW69" s="212" t="n"/>
      <c r="FX69" s="212" t="n"/>
      <c r="FY69" s="212" t="n"/>
      <c r="FZ69" s="212" t="n"/>
    </row>
    <row r="70" ht="39.95" customFormat="1" customHeight="1" s="5">
      <c r="A70" s="10" t="inlineStr">
        <is>
          <t>A</t>
        </is>
      </c>
      <c r="B70" s="6" t="n"/>
      <c r="C70" s="351" t="inlineStr">
        <is>
          <t>Year</t>
        </is>
      </c>
      <c r="D70" s="588" t="inlineStr">
        <is>
          <t>May 2055</t>
        </is>
      </c>
      <c r="E70" s="589" t="inlineStr">
        <is>
          <t>May 2055</t>
        </is>
      </c>
      <c r="F70" s="589" t="inlineStr">
        <is>
          <t>May 2055</t>
        </is>
      </c>
      <c r="G70" s="589" t="inlineStr">
        <is>
          <t>May 2055</t>
        </is>
      </c>
      <c r="H70" s="590" t="inlineStr">
        <is>
          <t>Jan 2037</t>
        </is>
      </c>
      <c r="I70" s="591" t="inlineStr">
        <is>
          <t>ND</t>
        </is>
      </c>
      <c r="J70" s="589" t="inlineStr">
        <is>
          <t>ND</t>
        </is>
      </c>
      <c r="K70" s="589" t="inlineStr">
        <is>
          <t>ND</t>
        </is>
      </c>
      <c r="L70" s="589" t="inlineStr">
        <is>
          <t>May 2055</t>
        </is>
      </c>
      <c r="M70" s="590" t="inlineStr">
        <is>
          <t>ND</t>
        </is>
      </c>
      <c r="N70" s="591" t="inlineStr">
        <is>
          <t>May 2055</t>
        </is>
      </c>
      <c r="O70" s="589" t="inlineStr">
        <is>
          <t>ND</t>
        </is>
      </c>
      <c r="P70" s="589" t="inlineStr">
        <is>
          <t>May 2055</t>
        </is>
      </c>
      <c r="Q70" s="589" t="inlineStr">
        <is>
          <t>ND</t>
        </is>
      </c>
      <c r="R70" s="590" t="inlineStr">
        <is>
          <t>ND</t>
        </is>
      </c>
      <c r="S70" s="591" t="inlineStr">
        <is>
          <t>May 2055</t>
        </is>
      </c>
      <c r="T70" s="589" t="inlineStr">
        <is>
          <t>ND</t>
        </is>
      </c>
      <c r="U70" s="589" t="inlineStr">
        <is>
          <t>ND</t>
        </is>
      </c>
      <c r="V70" s="589" t="inlineStr">
        <is>
          <t>May 2055</t>
        </is>
      </c>
      <c r="W70" s="590" t="inlineStr">
        <is>
          <t>May 2055</t>
        </is>
      </c>
      <c r="X70" s="591" t="inlineStr">
        <is>
          <t>Jul 2054</t>
        </is>
      </c>
      <c r="Y70" s="589" t="inlineStr">
        <is>
          <t>May 2055</t>
        </is>
      </c>
      <c r="Z70" s="589" t="inlineStr">
        <is>
          <t>ND</t>
        </is>
      </c>
      <c r="AA70" s="589" t="inlineStr">
        <is>
          <t>May 2055</t>
        </is>
      </c>
      <c r="AB70" s="590" t="inlineStr">
        <is>
          <t>ND</t>
        </is>
      </c>
      <c r="AC70" s="591" t="inlineStr">
        <is>
          <t>May 2055</t>
        </is>
      </c>
      <c r="AD70" s="589" t="inlineStr">
        <is>
          <t>May 2055</t>
        </is>
      </c>
      <c r="AE70" s="589" t="inlineStr">
        <is>
          <t>May 2055</t>
        </is>
      </c>
      <c r="AF70" s="589" t="inlineStr">
        <is>
          <t>May 2055</t>
        </is>
      </c>
      <c r="AG70" s="590" t="inlineStr">
        <is>
          <t>ND</t>
        </is>
      </c>
      <c r="AH70" s="591" t="inlineStr">
        <is>
          <t>May 2055</t>
        </is>
      </c>
      <c r="AI70" s="589" t="inlineStr">
        <is>
          <t>May 2055</t>
        </is>
      </c>
      <c r="AJ70" s="589" t="inlineStr">
        <is>
          <t>May 2055</t>
        </is>
      </c>
      <c r="AK70" s="589" t="inlineStr">
        <is>
          <t>Jan 2036</t>
        </is>
      </c>
      <c r="AL70" s="590" t="inlineStr">
        <is>
          <t>ND</t>
        </is>
      </c>
      <c r="AM70" s="591" t="inlineStr">
        <is>
          <t>ND</t>
        </is>
      </c>
      <c r="AN70" s="589" t="inlineStr">
        <is>
          <t>May 2055</t>
        </is>
      </c>
      <c r="AO70" s="589" t="inlineStr">
        <is>
          <t>Jun 2046</t>
        </is>
      </c>
      <c r="AP70" s="589" t="inlineStr">
        <is>
          <t>Aug 2049</t>
        </is>
      </c>
      <c r="AQ70" s="590" t="inlineStr">
        <is>
          <t>Mar 2048</t>
        </is>
      </c>
      <c r="AR70" s="591" t="inlineStr">
        <is>
          <t>May 2055</t>
        </is>
      </c>
      <c r="AS70" s="589" t="inlineStr">
        <is>
          <t>May 2055</t>
        </is>
      </c>
      <c r="AT70" s="589" t="inlineStr">
        <is>
          <t>May 2055</t>
        </is>
      </c>
      <c r="AU70" s="589" t="inlineStr">
        <is>
          <t>Jan 2054</t>
        </is>
      </c>
      <c r="AV70" s="590" t="inlineStr">
        <is>
          <t>May 2055</t>
        </is>
      </c>
      <c r="AW70" s="591" t="inlineStr">
        <is>
          <t>May 2055</t>
        </is>
      </c>
      <c r="AX70" s="589" t="inlineStr">
        <is>
          <t>May 2055</t>
        </is>
      </c>
      <c r="AY70" s="589" t="inlineStr">
        <is>
          <t>May 2055</t>
        </is>
      </c>
      <c r="AZ70" s="589" t="inlineStr">
        <is>
          <t>May 2055</t>
        </is>
      </c>
      <c r="BA70" s="590" t="inlineStr">
        <is>
          <t>May 2055</t>
        </is>
      </c>
      <c r="BB70" s="591" t="inlineStr">
        <is>
          <t>May 2055</t>
        </is>
      </c>
      <c r="BC70" s="589" t="inlineStr">
        <is>
          <t>May 2055</t>
        </is>
      </c>
      <c r="BD70" s="589" t="inlineStr">
        <is>
          <t>May 2055</t>
        </is>
      </c>
      <c r="BE70" s="589" t="inlineStr">
        <is>
          <t>Jul 2041</t>
        </is>
      </c>
      <c r="BF70" s="590" t="inlineStr">
        <is>
          <t>May 2055</t>
        </is>
      </c>
      <c r="BG70" s="591" t="inlineStr">
        <is>
          <t>Sep 2037</t>
        </is>
      </c>
      <c r="BH70" s="589" t="inlineStr">
        <is>
          <t>Jun 2046</t>
        </is>
      </c>
      <c r="BI70" s="589" t="inlineStr">
        <is>
          <t>May 2055</t>
        </is>
      </c>
      <c r="BJ70" s="589" t="inlineStr">
        <is>
          <t>May 2055</t>
        </is>
      </c>
      <c r="BK70" s="590" t="inlineStr">
        <is>
          <t>ND</t>
        </is>
      </c>
      <c r="BL70" s="591" t="inlineStr">
        <is>
          <t>May 2055</t>
        </is>
      </c>
      <c r="BM70" s="589" t="inlineStr">
        <is>
          <t>ND</t>
        </is>
      </c>
      <c r="BN70" s="589" t="inlineStr">
        <is>
          <t>May 2055</t>
        </is>
      </c>
      <c r="BO70" s="589" t="inlineStr">
        <is>
          <t>Jun 2045</t>
        </is>
      </c>
      <c r="BP70" s="590" t="inlineStr">
        <is>
          <t>Apr 2044</t>
        </is>
      </c>
      <c r="BQ70" s="591" t="inlineStr">
        <is>
          <t>May 2055</t>
        </is>
      </c>
      <c r="BR70" s="589" t="inlineStr">
        <is>
          <t>ND</t>
        </is>
      </c>
      <c r="BS70" s="589" t="inlineStr">
        <is>
          <t>Jul 2036</t>
        </is>
      </c>
      <c r="BT70" s="590" t="inlineStr">
        <is>
          <t>ND</t>
        </is>
      </c>
      <c r="BU70" s="437" t="n"/>
      <c r="BV70" s="437" t="n"/>
      <c r="BW70" s="238" t="n"/>
      <c r="BX70" s="238" t="n"/>
      <c r="BY70" s="238" t="n"/>
      <c r="BZ70" s="238" t="n"/>
      <c r="CA70" s="238" t="n"/>
      <c r="CB70" s="238" t="n"/>
      <c r="CC70" s="238" t="n"/>
      <c r="CD70" s="238" t="n"/>
      <c r="CE70" s="238" t="n"/>
      <c r="CF70" s="238" t="n"/>
      <c r="CG70" s="238" t="n"/>
      <c r="CH70" s="238" t="n"/>
      <c r="CI70" s="238" t="n"/>
      <c r="CJ70" s="238" t="n"/>
      <c r="CK70" s="238" t="n"/>
      <c r="CL70" s="238" t="n"/>
      <c r="CM70" s="238" t="n"/>
      <c r="CN70" s="238" t="n"/>
      <c r="CO70" s="238" t="n"/>
      <c r="CP70" s="238" t="n"/>
      <c r="CQ70" s="238" t="n"/>
      <c r="CR70" s="238" t="n"/>
      <c r="CS70" s="238" t="n"/>
      <c r="CT70" s="238" t="n"/>
      <c r="CU70" s="238" t="n"/>
      <c r="CV70" s="238" t="n"/>
      <c r="CW70" s="238" t="n"/>
      <c r="CX70" s="238" t="n"/>
      <c r="CY70" s="238" t="n"/>
      <c r="CZ70" s="238" t="n"/>
      <c r="DA70" s="238" t="n"/>
      <c r="DB70" s="238" t="n"/>
      <c r="DC70" s="238" t="n"/>
      <c r="DD70" s="238" t="n"/>
      <c r="DE70" s="238" t="n"/>
      <c r="DF70" s="238" t="n"/>
      <c r="DG70" s="238" t="n"/>
      <c r="DH70" s="238" t="n"/>
      <c r="DI70" s="238" t="n"/>
      <c r="DJ70" s="238" t="n"/>
      <c r="DK70" s="238" t="n"/>
      <c r="DL70" s="238" t="n"/>
      <c r="DM70" s="238" t="n"/>
      <c r="DN70" s="238" t="n"/>
      <c r="DO70" s="238" t="n"/>
      <c r="DP70" s="238" t="n"/>
      <c r="DQ70" s="238" t="n"/>
      <c r="DR70" s="238" t="n"/>
      <c r="DS70" s="238" t="n"/>
      <c r="DT70" s="238" t="n"/>
      <c r="DU70" s="238" t="n"/>
      <c r="DV70" s="238" t="n"/>
      <c r="DW70" s="238" t="n"/>
      <c r="DX70" s="238" t="n"/>
      <c r="DY70" s="238" t="n"/>
      <c r="DZ70" s="23" t="n"/>
      <c r="FQ70" s="212" t="n"/>
      <c r="FR70" s="212" t="n"/>
      <c r="FS70" s="212" t="n"/>
      <c r="FT70" s="212" t="n"/>
      <c r="FU70" s="212" t="n"/>
      <c r="FV70" s="212" t="n"/>
      <c r="FW70" s="212" t="n"/>
      <c r="FX70" s="212" t="n"/>
      <c r="FY70" s="212" t="n"/>
      <c r="FZ70" s="212" t="n"/>
    </row>
    <row r="71" ht="39.95" customFormat="1" customHeight="1" s="5">
      <c r="A71" s="182" t="inlineStr"/>
      <c r="B71" s="7" t="inlineStr">
        <is>
          <t>-9 IN</t>
        </is>
      </c>
      <c r="C71" s="456" t="n"/>
      <c r="D71" s="13" t="n"/>
      <c r="H71" s="592" t="n"/>
      <c r="I71" s="593" t="n"/>
      <c r="M71" s="592" t="n"/>
      <c r="N71" s="593" t="n"/>
      <c r="R71" s="592" t="n"/>
      <c r="S71" s="593" t="n"/>
      <c r="W71" s="592" t="n"/>
      <c r="X71" s="593" t="n"/>
      <c r="AB71" s="592" t="n"/>
      <c r="AC71" s="593" t="n"/>
      <c r="AG71" s="592" t="n"/>
      <c r="AH71" s="593" t="n"/>
      <c r="AL71" s="592" t="n"/>
      <c r="AM71" s="593" t="n"/>
      <c r="AQ71" s="592" t="n"/>
      <c r="AR71" s="593" t="n"/>
      <c r="AV71" s="592" t="n"/>
      <c r="AW71" s="593" t="n"/>
      <c r="BA71" s="592" t="n"/>
      <c r="BB71" s="593" t="n"/>
      <c r="BF71" s="592" t="n"/>
      <c r="BG71" s="593" t="n"/>
      <c r="BK71" s="592" t="n"/>
      <c r="BL71" s="593" t="n"/>
      <c r="BP71" s="592" t="n"/>
      <c r="BQ71" s="593" t="n"/>
      <c r="BT71" s="592" t="n"/>
      <c r="BU71" s="437" t="n"/>
      <c r="BV71" s="437" t="n"/>
      <c r="BW71" s="238" t="n"/>
      <c r="BX71" s="238" t="n"/>
      <c r="BY71" s="238" t="n"/>
      <c r="BZ71" s="238" t="n"/>
      <c r="CA71" s="238" t="n"/>
      <c r="CB71" s="238" t="n"/>
      <c r="CC71" s="238" t="n"/>
      <c r="CD71" s="238" t="n"/>
      <c r="CE71" s="238" t="n"/>
      <c r="CF71" s="238" t="n"/>
      <c r="CG71" s="238" t="n"/>
      <c r="CH71" s="238" t="n"/>
      <c r="CI71" s="238" t="n"/>
      <c r="CJ71" s="238" t="n"/>
      <c r="CK71" s="238" t="n"/>
      <c r="CL71" s="238" t="n"/>
      <c r="CM71" s="238" t="n"/>
      <c r="CN71" s="238" t="n"/>
      <c r="CO71" s="238" t="n"/>
      <c r="CP71" s="238" t="n"/>
      <c r="CQ71" s="238" t="n"/>
      <c r="CR71" s="238" t="n"/>
      <c r="CS71" s="238" t="n"/>
      <c r="CT71" s="238" t="n"/>
      <c r="CU71" s="238" t="n"/>
      <c r="CV71" s="238" t="n"/>
      <c r="CW71" s="238" t="n"/>
      <c r="CX71" s="238" t="n"/>
      <c r="CY71" s="238" t="n"/>
      <c r="CZ71" s="238" t="n"/>
      <c r="DA71" s="238" t="n"/>
      <c r="DB71" s="238" t="n"/>
      <c r="DC71" s="238" t="n"/>
      <c r="DD71" s="238" t="n"/>
      <c r="DE71" s="238" t="n"/>
      <c r="DF71" s="238" t="n"/>
      <c r="DG71" s="238" t="n"/>
      <c r="DH71" s="238" t="n"/>
      <c r="DI71" s="238" t="n"/>
      <c r="DJ71" s="238" t="n"/>
      <c r="DK71" s="238" t="n"/>
      <c r="DL71" s="238" t="n"/>
      <c r="DM71" s="238" t="n"/>
      <c r="DN71" s="238" t="n"/>
      <c r="DO71" s="238" t="n"/>
      <c r="DP71" s="238" t="n"/>
      <c r="DQ71" s="238" t="n"/>
      <c r="DR71" s="238" t="n"/>
      <c r="DS71" s="238" t="n"/>
      <c r="DT71" s="238" t="n"/>
      <c r="DU71" s="238" t="n"/>
      <c r="DV71" s="238" t="n"/>
      <c r="DW71" s="238" t="n"/>
      <c r="DX71" s="238" t="n"/>
      <c r="DY71" s="238" t="n"/>
      <c r="DZ71" s="23" t="n"/>
      <c r="FQ71" s="212" t="n"/>
      <c r="FR71" s="212" t="n"/>
      <c r="FS71" s="212" t="n"/>
      <c r="FT71" s="212" t="n"/>
      <c r="FU71" s="212" t="n"/>
      <c r="FV71" s="212" t="n"/>
      <c r="FW71" s="212" t="n"/>
      <c r="FX71" s="212" t="n"/>
      <c r="FY71" s="212" t="n"/>
      <c r="FZ71" s="212" t="n"/>
    </row>
    <row r="72" ht="39.95" customFormat="1" customHeight="1" s="5">
      <c r="A72" s="456" t="n"/>
      <c r="B72" s="8" t="n"/>
      <c r="C72" s="456" t="n"/>
      <c r="D72" s="594" t="n"/>
      <c r="E72" s="595" t="n"/>
      <c r="F72" s="595" t="n"/>
      <c r="G72" s="595" t="n"/>
      <c r="H72" s="596" t="n"/>
      <c r="I72" s="597" t="n"/>
      <c r="J72" s="595" t="n"/>
      <c r="K72" s="595" t="n"/>
      <c r="L72" s="595" t="n"/>
      <c r="M72" s="596" t="n"/>
      <c r="N72" s="597" t="n"/>
      <c r="O72" s="595" t="n"/>
      <c r="P72" s="595" t="n"/>
      <c r="Q72" s="595" t="n"/>
      <c r="R72" s="596" t="n"/>
      <c r="S72" s="597" t="n"/>
      <c r="T72" s="595" t="n"/>
      <c r="U72" s="595" t="n"/>
      <c r="V72" s="595" t="n"/>
      <c r="W72" s="596" t="n"/>
      <c r="X72" s="597" t="n"/>
      <c r="Y72" s="595" t="n"/>
      <c r="Z72" s="595" t="n"/>
      <c r="AA72" s="595" t="n"/>
      <c r="AB72" s="596" t="n"/>
      <c r="AC72" s="597" t="n"/>
      <c r="AD72" s="595" t="n"/>
      <c r="AE72" s="595" t="n"/>
      <c r="AF72" s="595" t="n"/>
      <c r="AG72" s="596" t="n"/>
      <c r="AH72" s="597" t="n"/>
      <c r="AI72" s="595" t="n"/>
      <c r="AJ72" s="595" t="n"/>
      <c r="AK72" s="595" t="n"/>
      <c r="AL72" s="596" t="n"/>
      <c r="AM72" s="597" t="n"/>
      <c r="AN72" s="595" t="n"/>
      <c r="AO72" s="595" t="n"/>
      <c r="AP72" s="595" t="n"/>
      <c r="AQ72" s="596" t="n"/>
      <c r="AR72" s="597" t="n"/>
      <c r="AS72" s="595" t="n"/>
      <c r="AT72" s="595" t="n"/>
      <c r="AU72" s="595" t="n"/>
      <c r="AV72" s="596" t="n"/>
      <c r="AW72" s="597" t="n"/>
      <c r="AX72" s="595" t="n"/>
      <c r="AY72" s="595" t="n"/>
      <c r="AZ72" s="595" t="n"/>
      <c r="BA72" s="596" t="n"/>
      <c r="BB72" s="597" t="n"/>
      <c r="BC72" s="595" t="n"/>
      <c r="BD72" s="595" t="n"/>
      <c r="BE72" s="595" t="n"/>
      <c r="BF72" s="596" t="n"/>
      <c r="BG72" s="597" t="n"/>
      <c r="BH72" s="595" t="n"/>
      <c r="BI72" s="595" t="n"/>
      <c r="BJ72" s="595" t="n"/>
      <c r="BK72" s="596" t="n"/>
      <c r="BL72" s="597" t="n"/>
      <c r="BM72" s="595" t="n"/>
      <c r="BN72" s="595" t="n"/>
      <c r="BO72" s="595" t="n"/>
      <c r="BP72" s="596" t="n"/>
      <c r="BQ72" s="597" t="n"/>
      <c r="BR72" s="595" t="n"/>
      <c r="BS72" s="595" t="n"/>
      <c r="BT72" s="596" t="n"/>
      <c r="BU72" s="437" t="n"/>
      <c r="BV72" s="437" t="n"/>
      <c r="BW72" s="238" t="n"/>
      <c r="BX72" s="238" t="n"/>
      <c r="BY72" s="238" t="n"/>
      <c r="BZ72" s="238" t="n"/>
      <c r="CA72" s="238" t="n"/>
      <c r="CB72" s="238" t="n"/>
      <c r="CC72" s="238" t="n"/>
      <c r="CD72" s="238" t="n"/>
      <c r="CE72" s="238" t="n"/>
      <c r="CF72" s="238" t="n"/>
      <c r="CG72" s="238" t="n"/>
      <c r="CH72" s="238" t="n"/>
      <c r="CI72" s="238" t="n"/>
      <c r="CJ72" s="238" t="n"/>
      <c r="CK72" s="238" t="n"/>
      <c r="CL72" s="238" t="n"/>
      <c r="CM72" s="238" t="n"/>
      <c r="CN72" s="238" t="n"/>
      <c r="CO72" s="238" t="n"/>
      <c r="CP72" s="238" t="n"/>
      <c r="CQ72" s="238" t="n"/>
      <c r="CR72" s="238" t="n"/>
      <c r="CS72" s="238" t="n"/>
      <c r="CT72" s="238" t="n"/>
      <c r="CU72" s="238" t="n"/>
      <c r="CV72" s="238" t="n"/>
      <c r="CW72" s="238" t="n"/>
      <c r="CX72" s="238" t="n"/>
      <c r="CY72" s="238" t="n"/>
      <c r="CZ72" s="238" t="n"/>
      <c r="DA72" s="238" t="n"/>
      <c r="DB72" s="238" t="n"/>
      <c r="DC72" s="238" t="n"/>
      <c r="DD72" s="238" t="n"/>
      <c r="DE72" s="238" t="n"/>
      <c r="DF72" s="238" t="n"/>
      <c r="DG72" s="238" t="n"/>
      <c r="DH72" s="238" t="n"/>
      <c r="DI72" s="238" t="n"/>
      <c r="DJ72" s="238" t="n"/>
      <c r="DK72" s="238" t="n"/>
      <c r="DL72" s="238" t="n"/>
      <c r="DM72" s="238" t="n"/>
      <c r="DN72" s="238" t="n"/>
      <c r="DO72" s="238" t="n"/>
      <c r="DP72" s="238" t="n"/>
      <c r="DQ72" s="238" t="n"/>
      <c r="DR72" s="238" t="n"/>
      <c r="DS72" s="238" t="n"/>
      <c r="DT72" s="238" t="n"/>
      <c r="DU72" s="238" t="n"/>
      <c r="DV72" s="238" t="n"/>
      <c r="DW72" s="238" t="n"/>
      <c r="DX72" s="238" t="n"/>
      <c r="DY72" s="238" t="n"/>
      <c r="DZ72" s="23" t="n"/>
      <c r="FQ72" s="212" t="n"/>
      <c r="FR72" s="212" t="n"/>
      <c r="FS72" s="212" t="n"/>
      <c r="FT72" s="212" t="n"/>
      <c r="FU72" s="212" t="n"/>
      <c r="FV72" s="212" t="n"/>
      <c r="FW72" s="212" t="n"/>
      <c r="FX72" s="212" t="n"/>
      <c r="FY72" s="212" t="n"/>
      <c r="FZ72" s="212" t="n"/>
    </row>
    <row r="73" ht="39.95" customFormat="1" customHeight="1" s="5">
      <c r="A73" s="10" t="inlineStr">
        <is>
          <t>A</t>
        </is>
      </c>
      <c r="B73" s="6" t="inlineStr">
        <is>
          <t>POSITION 'C'</t>
        </is>
      </c>
      <c r="C73" s="351" t="inlineStr">
        <is>
          <t>Year</t>
        </is>
      </c>
      <c r="D73" s="588" t="inlineStr">
        <is>
          <t>ND</t>
        </is>
      </c>
      <c r="E73" s="589" t="inlineStr">
        <is>
          <t>May 2055</t>
        </is>
      </c>
      <c r="F73" s="589" t="inlineStr">
        <is>
          <t>ND</t>
        </is>
      </c>
      <c r="G73" s="589" t="inlineStr">
        <is>
          <t>May 2055</t>
        </is>
      </c>
      <c r="H73" s="590" t="inlineStr">
        <is>
          <t>Jul 2038</t>
        </is>
      </c>
      <c r="I73" s="591" t="inlineStr">
        <is>
          <t>Dec 2042</t>
        </is>
      </c>
      <c r="J73" s="589" t="inlineStr">
        <is>
          <t>May 2055</t>
        </is>
      </c>
      <c r="K73" s="589" t="inlineStr">
        <is>
          <t>ND</t>
        </is>
      </c>
      <c r="L73" s="589" t="inlineStr">
        <is>
          <t>ND</t>
        </is>
      </c>
      <c r="M73" s="590" t="inlineStr">
        <is>
          <t>ND</t>
        </is>
      </c>
      <c r="N73" s="591" t="inlineStr">
        <is>
          <t>May 2055</t>
        </is>
      </c>
      <c r="O73" s="589" t="inlineStr">
        <is>
          <t>May 2055</t>
        </is>
      </c>
      <c r="P73" s="589" t="inlineStr">
        <is>
          <t>Aug 2053</t>
        </is>
      </c>
      <c r="Q73" s="589" t="inlineStr">
        <is>
          <t>Dec 2043</t>
        </is>
      </c>
      <c r="R73" s="590" t="inlineStr">
        <is>
          <t>May 2055</t>
        </is>
      </c>
      <c r="S73" s="591" t="inlineStr">
        <is>
          <t>May 2055</t>
        </is>
      </c>
      <c r="T73" s="589" t="inlineStr">
        <is>
          <t>ND</t>
        </is>
      </c>
      <c r="U73" s="589" t="inlineStr">
        <is>
          <t>ND</t>
        </is>
      </c>
      <c r="V73" s="589" t="inlineStr">
        <is>
          <t>May 2055</t>
        </is>
      </c>
      <c r="W73" s="590" t="inlineStr">
        <is>
          <t>Sep 2051</t>
        </is>
      </c>
      <c r="X73" s="591" t="inlineStr">
        <is>
          <t>Jan 2040</t>
        </is>
      </c>
      <c r="Y73" s="589" t="inlineStr">
        <is>
          <t>Jul 2045</t>
        </is>
      </c>
      <c r="Z73" s="589" t="inlineStr">
        <is>
          <t>May 2055</t>
        </is>
      </c>
      <c r="AA73" s="589" t="inlineStr">
        <is>
          <t>Nov 2051</t>
        </is>
      </c>
      <c r="AB73" s="590" t="inlineStr">
        <is>
          <t>ND</t>
        </is>
      </c>
      <c r="AC73" s="591" t="inlineStr">
        <is>
          <t>ND</t>
        </is>
      </c>
      <c r="AD73" s="589" t="inlineStr">
        <is>
          <t>ND</t>
        </is>
      </c>
      <c r="AE73" s="589" t="inlineStr">
        <is>
          <t>ND</t>
        </is>
      </c>
      <c r="AF73" s="589" t="inlineStr">
        <is>
          <t>ND</t>
        </is>
      </c>
      <c r="AG73" s="590" t="inlineStr">
        <is>
          <t>ND</t>
        </is>
      </c>
      <c r="AH73" s="591" t="inlineStr">
        <is>
          <t>ND</t>
        </is>
      </c>
      <c r="AI73" s="589" t="inlineStr">
        <is>
          <t>May 2055</t>
        </is>
      </c>
      <c r="AJ73" s="589" t="inlineStr">
        <is>
          <t>Mar 2045</t>
        </is>
      </c>
      <c r="AK73" s="589" t="inlineStr">
        <is>
          <t>May 2055</t>
        </is>
      </c>
      <c r="AL73" s="590" t="inlineStr">
        <is>
          <t>May 2055</t>
        </is>
      </c>
      <c r="AM73" s="591" t="inlineStr">
        <is>
          <t>ND</t>
        </is>
      </c>
      <c r="AN73" s="589" t="inlineStr">
        <is>
          <t>May 2055</t>
        </is>
      </c>
      <c r="AO73" s="589" t="inlineStr">
        <is>
          <t>May 2055</t>
        </is>
      </c>
      <c r="AP73" s="589" t="inlineStr">
        <is>
          <t>Jan 2047</t>
        </is>
      </c>
      <c r="AQ73" s="590" t="inlineStr">
        <is>
          <t>Oct 2035</t>
        </is>
      </c>
      <c r="AR73" s="591" t="inlineStr">
        <is>
          <t>May 2055</t>
        </is>
      </c>
      <c r="AS73" s="589" t="inlineStr">
        <is>
          <t>May 2055</t>
        </is>
      </c>
      <c r="AT73" s="589" t="inlineStr">
        <is>
          <t>ND</t>
        </is>
      </c>
      <c r="AU73" s="589" t="inlineStr">
        <is>
          <t>ND</t>
        </is>
      </c>
      <c r="AV73" s="590" t="inlineStr">
        <is>
          <t>Feb 2049</t>
        </is>
      </c>
      <c r="AW73" s="591" t="inlineStr">
        <is>
          <t>Oct 2053</t>
        </is>
      </c>
      <c r="AX73" s="589" t="inlineStr">
        <is>
          <t>May 2040</t>
        </is>
      </c>
      <c r="AY73" s="589" t="inlineStr">
        <is>
          <t>May 2055</t>
        </is>
      </c>
      <c r="AZ73" s="589" t="inlineStr">
        <is>
          <t>Dec 2044</t>
        </is>
      </c>
      <c r="BA73" s="590" t="inlineStr">
        <is>
          <t>May 2055</t>
        </is>
      </c>
      <c r="BB73" s="591" t="inlineStr">
        <is>
          <t>ND</t>
        </is>
      </c>
      <c r="BC73" s="589" t="inlineStr">
        <is>
          <t>ND</t>
        </is>
      </c>
      <c r="BD73" s="589" t="inlineStr">
        <is>
          <t>ND</t>
        </is>
      </c>
      <c r="BE73" s="589" t="inlineStr">
        <is>
          <t>May 2055</t>
        </is>
      </c>
      <c r="BF73" s="590" t="inlineStr">
        <is>
          <t>Apr 2044</t>
        </is>
      </c>
      <c r="BG73" s="591" t="inlineStr">
        <is>
          <t>Jul 2039</t>
        </is>
      </c>
      <c r="BH73" s="589" t="inlineStr">
        <is>
          <t>Feb 2035</t>
        </is>
      </c>
      <c r="BI73" s="589" t="inlineStr">
        <is>
          <t>Apr 2055</t>
        </is>
      </c>
      <c r="BJ73" s="589" t="inlineStr">
        <is>
          <t>Mar 2052</t>
        </is>
      </c>
      <c r="BK73" s="590" t="inlineStr">
        <is>
          <t>ND</t>
        </is>
      </c>
      <c r="BL73" s="591" t="inlineStr">
        <is>
          <t>ND</t>
        </is>
      </c>
      <c r="BM73" s="589" t="inlineStr">
        <is>
          <t>ND</t>
        </is>
      </c>
      <c r="BN73" s="589" t="inlineStr">
        <is>
          <t>ND</t>
        </is>
      </c>
      <c r="BO73" s="589" t="inlineStr">
        <is>
          <t>ND</t>
        </is>
      </c>
      <c r="BP73" s="590" t="inlineStr">
        <is>
          <t>ND</t>
        </is>
      </c>
      <c r="BQ73" s="591" t="inlineStr">
        <is>
          <t>ND</t>
        </is>
      </c>
      <c r="BR73" s="589" t="inlineStr">
        <is>
          <t>ND</t>
        </is>
      </c>
      <c r="BS73" s="589" t="inlineStr">
        <is>
          <t>ND</t>
        </is>
      </c>
      <c r="BT73" s="590" t="inlineStr">
        <is>
          <t>ND</t>
        </is>
      </c>
      <c r="BU73" s="437" t="n"/>
      <c r="BV73" s="437" t="n"/>
      <c r="BW73" s="238" t="n"/>
      <c r="BX73" s="238" t="n"/>
      <c r="BY73" s="238" t="n"/>
      <c r="BZ73" s="238" t="n"/>
      <c r="CA73" s="238" t="n"/>
      <c r="CB73" s="238" t="n"/>
      <c r="CC73" s="238" t="n"/>
      <c r="CD73" s="238" t="n"/>
      <c r="CE73" s="238" t="n"/>
      <c r="CF73" s="238" t="n"/>
      <c r="CG73" s="238" t="n"/>
      <c r="CH73" s="238" t="n"/>
      <c r="CI73" s="238" t="n"/>
      <c r="CJ73" s="238" t="n"/>
      <c r="CK73" s="238" t="n"/>
      <c r="CL73" s="238" t="n"/>
      <c r="CM73" s="238" t="n"/>
      <c r="CN73" s="238" t="n"/>
      <c r="CO73" s="238" t="n"/>
      <c r="CP73" s="238" t="n"/>
      <c r="CQ73" s="238" t="n"/>
      <c r="CR73" s="238" t="n"/>
      <c r="CS73" s="238" t="n"/>
      <c r="CT73" s="238" t="n"/>
      <c r="CU73" s="238" t="n"/>
      <c r="CV73" s="238" t="n"/>
      <c r="CW73" s="238" t="n"/>
      <c r="CX73" s="238" t="n"/>
      <c r="CY73" s="238" t="n"/>
      <c r="CZ73" s="238" t="n"/>
      <c r="DA73" s="238" t="n"/>
      <c r="DB73" s="238" t="n"/>
      <c r="DC73" s="238" t="n"/>
      <c r="DD73" s="238" t="n"/>
      <c r="DE73" s="238" t="n"/>
      <c r="DF73" s="238" t="n"/>
      <c r="DG73" s="238" t="n"/>
      <c r="DH73" s="238" t="n"/>
      <c r="DI73" s="238" t="n"/>
      <c r="DJ73" s="238" t="n"/>
      <c r="DK73" s="238" t="n"/>
      <c r="DL73" s="238" t="n"/>
      <c r="DM73" s="238" t="n"/>
      <c r="DN73" s="238" t="n"/>
      <c r="DO73" s="238" t="n"/>
      <c r="DP73" s="238" t="n"/>
      <c r="DQ73" s="238" t="n"/>
      <c r="DR73" s="238" t="n"/>
      <c r="DS73" s="238" t="n"/>
      <c r="DT73" s="238" t="n"/>
      <c r="DU73" s="238" t="n"/>
      <c r="DV73" s="238" t="n"/>
      <c r="DW73" s="238" t="n"/>
      <c r="DX73" s="238" t="n"/>
      <c r="DY73" s="238" t="n"/>
      <c r="DZ73" s="23" t="n"/>
      <c r="FQ73" s="212" t="n"/>
      <c r="FR73" s="212" t="n"/>
      <c r="FS73" s="212" t="n"/>
      <c r="FT73" s="212" t="n"/>
      <c r="FU73" s="212" t="n"/>
      <c r="FV73" s="212" t="n"/>
      <c r="FW73" s="212" t="n"/>
      <c r="FX73" s="212" t="n"/>
      <c r="FY73" s="212" t="n"/>
      <c r="FZ73" s="212" t="n"/>
    </row>
    <row r="74" ht="39.95" customFormat="1" customHeight="1" s="5">
      <c r="A74" s="182" t="inlineStr"/>
      <c r="B74" s="7" t="inlineStr">
        <is>
          <t xml:space="preserve">OF THE </t>
        </is>
      </c>
      <c r="C74" s="456" t="n"/>
      <c r="D74" s="13" t="n"/>
      <c r="H74" s="592" t="n"/>
      <c r="I74" s="593" t="n"/>
      <c r="M74" s="592" t="n"/>
      <c r="N74" s="593" t="n"/>
      <c r="R74" s="592" t="n"/>
      <c r="S74" s="593" t="n"/>
      <c r="W74" s="592" t="n"/>
      <c r="X74" s="593" t="n"/>
      <c r="AB74" s="592" t="n"/>
      <c r="AC74" s="593" t="n"/>
      <c r="AG74" s="592" t="n"/>
      <c r="AH74" s="593" t="n"/>
      <c r="AL74" s="592" t="n"/>
      <c r="AM74" s="593" t="n"/>
      <c r="AQ74" s="592" t="n"/>
      <c r="AR74" s="593" t="n"/>
      <c r="AV74" s="592" t="n"/>
      <c r="AW74" s="593" t="n"/>
      <c r="BA74" s="592" t="n"/>
      <c r="BB74" s="593" t="n"/>
      <c r="BF74" s="592" t="n"/>
      <c r="BG74" s="593" t="n"/>
      <c r="BK74" s="592" t="n"/>
      <c r="BL74" s="593" t="n"/>
      <c r="BP74" s="592" t="n"/>
      <c r="BQ74" s="593" t="n"/>
      <c r="BT74" s="592" t="n"/>
      <c r="BU74" s="437" t="n"/>
      <c r="BV74" s="437" t="n"/>
      <c r="BW74" s="238" t="n"/>
      <c r="BX74" s="238" t="n"/>
      <c r="BY74" s="238" t="n"/>
      <c r="BZ74" s="238" t="n"/>
      <c r="CA74" s="238" t="n"/>
      <c r="CB74" s="238" t="n"/>
      <c r="CC74" s="238" t="n"/>
      <c r="CD74" s="238" t="n"/>
      <c r="CE74" s="238" t="n"/>
      <c r="CF74" s="238" t="n"/>
      <c r="CG74" s="238" t="n"/>
      <c r="CH74" s="238" t="n"/>
      <c r="CI74" s="238" t="n"/>
      <c r="CJ74" s="238" t="n"/>
      <c r="CK74" s="238" t="n"/>
      <c r="CL74" s="238" t="n"/>
      <c r="CM74" s="238" t="n"/>
      <c r="CN74" s="238" t="n"/>
      <c r="CO74" s="238" t="n"/>
      <c r="CP74" s="238" t="n"/>
      <c r="CQ74" s="238" t="n"/>
      <c r="CR74" s="238" t="n"/>
      <c r="CS74" s="238" t="n"/>
      <c r="CT74" s="238" t="n"/>
      <c r="CU74" s="238" t="n"/>
      <c r="CV74" s="238" t="n"/>
      <c r="CW74" s="238" t="n"/>
      <c r="CX74" s="238" t="n"/>
      <c r="CY74" s="238" t="n"/>
      <c r="CZ74" s="238" t="n"/>
      <c r="DA74" s="238" t="n"/>
      <c r="DB74" s="238" t="n"/>
      <c r="DC74" s="238" t="n"/>
      <c r="DD74" s="238" t="n"/>
      <c r="DE74" s="238" t="n"/>
      <c r="DF74" s="238" t="n"/>
      <c r="DG74" s="238" t="n"/>
      <c r="DH74" s="238" t="n"/>
      <c r="DI74" s="238" t="n"/>
      <c r="DJ74" s="238" t="n"/>
      <c r="DK74" s="238" t="n"/>
      <c r="DL74" s="238" t="n"/>
      <c r="DM74" s="238" t="n"/>
      <c r="DN74" s="238" t="n"/>
      <c r="DO74" s="238" t="n"/>
      <c r="DP74" s="238" t="n"/>
      <c r="DQ74" s="238" t="n"/>
      <c r="DR74" s="238" t="n"/>
      <c r="DS74" s="238" t="n"/>
      <c r="DT74" s="238" t="n"/>
      <c r="DU74" s="238" t="n"/>
      <c r="DV74" s="238" t="n"/>
      <c r="DW74" s="238" t="n"/>
      <c r="DX74" s="238" t="n"/>
      <c r="DY74" s="238" t="n"/>
      <c r="DZ74" s="23" t="n"/>
      <c r="FQ74" s="212" t="n"/>
      <c r="FR74" s="212" t="n"/>
      <c r="FS74" s="212" t="n"/>
      <c r="FT74" s="212" t="n"/>
      <c r="FU74" s="212" t="n"/>
      <c r="FV74" s="212" t="n"/>
      <c r="FW74" s="212" t="n"/>
      <c r="FX74" s="212" t="n"/>
      <c r="FY74" s="212" t="n"/>
      <c r="FZ74" s="212" t="n"/>
    </row>
    <row r="75" ht="39.95" customFormat="1" customHeight="1" s="5">
      <c r="A75" s="456" t="n"/>
      <c r="B75" s="8" t="inlineStr">
        <is>
          <t>SECONDARIES</t>
        </is>
      </c>
      <c r="C75" s="456" t="n"/>
      <c r="D75" s="594" t="n"/>
      <c r="E75" s="595" t="n"/>
      <c r="F75" s="595" t="n"/>
      <c r="G75" s="595" t="n"/>
      <c r="H75" s="596" t="n"/>
      <c r="I75" s="597" t="n"/>
      <c r="J75" s="595" t="n"/>
      <c r="K75" s="595" t="n"/>
      <c r="L75" s="595" t="n"/>
      <c r="M75" s="596" t="n"/>
      <c r="N75" s="597" t="n"/>
      <c r="O75" s="595" t="n"/>
      <c r="P75" s="595" t="n"/>
      <c r="Q75" s="595" t="n"/>
      <c r="R75" s="596" t="n"/>
      <c r="S75" s="597" t="n"/>
      <c r="T75" s="595" t="n"/>
      <c r="U75" s="595" t="n"/>
      <c r="V75" s="595" t="n"/>
      <c r="W75" s="596" t="n"/>
      <c r="X75" s="597" t="n"/>
      <c r="Y75" s="595" t="n"/>
      <c r="Z75" s="595" t="n"/>
      <c r="AA75" s="595" t="n"/>
      <c r="AB75" s="596" t="n"/>
      <c r="AC75" s="597" t="n"/>
      <c r="AD75" s="595" t="n"/>
      <c r="AE75" s="595" t="n"/>
      <c r="AF75" s="595" t="n"/>
      <c r="AG75" s="596" t="n"/>
      <c r="AH75" s="597" t="n"/>
      <c r="AI75" s="595" t="n"/>
      <c r="AJ75" s="595" t="n"/>
      <c r="AK75" s="595" t="n"/>
      <c r="AL75" s="596" t="n"/>
      <c r="AM75" s="597" t="n"/>
      <c r="AN75" s="595" t="n"/>
      <c r="AO75" s="595" t="n"/>
      <c r="AP75" s="595" t="n"/>
      <c r="AQ75" s="596" t="n"/>
      <c r="AR75" s="597" t="n"/>
      <c r="AS75" s="595" t="n"/>
      <c r="AT75" s="595" t="n"/>
      <c r="AU75" s="595" t="n"/>
      <c r="AV75" s="596" t="n"/>
      <c r="AW75" s="597" t="n"/>
      <c r="AX75" s="595" t="n"/>
      <c r="AY75" s="595" t="n"/>
      <c r="AZ75" s="595" t="n"/>
      <c r="BA75" s="596" t="n"/>
      <c r="BB75" s="597" t="n"/>
      <c r="BC75" s="595" t="n"/>
      <c r="BD75" s="595" t="n"/>
      <c r="BE75" s="595" t="n"/>
      <c r="BF75" s="596" t="n"/>
      <c r="BG75" s="597" t="n"/>
      <c r="BH75" s="595" t="n"/>
      <c r="BI75" s="595" t="n"/>
      <c r="BJ75" s="595" t="n"/>
      <c r="BK75" s="596" t="n"/>
      <c r="BL75" s="597" t="n"/>
      <c r="BM75" s="595" t="n"/>
      <c r="BN75" s="595" t="n"/>
      <c r="BO75" s="595" t="n"/>
      <c r="BP75" s="596" t="n"/>
      <c r="BQ75" s="597" t="n"/>
      <c r="BR75" s="595" t="n"/>
      <c r="BS75" s="595" t="n"/>
      <c r="BT75" s="596" t="n"/>
      <c r="BU75" s="437" t="n"/>
      <c r="BV75" s="437" t="n"/>
      <c r="BW75" s="238" t="n"/>
      <c r="BX75" s="238" t="n"/>
      <c r="BY75" s="238" t="n"/>
      <c r="BZ75" s="238" t="n"/>
      <c r="CA75" s="238" t="n"/>
      <c r="CB75" s="238" t="n"/>
      <c r="CC75" s="238" t="n"/>
      <c r="CD75" s="238" t="n"/>
      <c r="CE75" s="238" t="n"/>
      <c r="CF75" s="238" t="n"/>
      <c r="CG75" s="238" t="n"/>
      <c r="CH75" s="238" t="n"/>
      <c r="CI75" s="238" t="n"/>
      <c r="CJ75" s="238" t="n"/>
      <c r="CK75" s="238" t="n"/>
      <c r="CL75" s="238" t="n"/>
      <c r="CM75" s="238" t="n"/>
      <c r="CN75" s="238" t="n"/>
      <c r="CO75" s="238" t="n"/>
      <c r="CP75" s="238" t="n"/>
      <c r="CQ75" s="238" t="n"/>
      <c r="CR75" s="238" t="n"/>
      <c r="CS75" s="238" t="n"/>
      <c r="CT75" s="238" t="n"/>
      <c r="CU75" s="238" t="n"/>
      <c r="CV75" s="238" t="n"/>
      <c r="CW75" s="238" t="n"/>
      <c r="CX75" s="238" t="n"/>
      <c r="CY75" s="238" t="n"/>
      <c r="CZ75" s="238" t="n"/>
      <c r="DA75" s="238" t="n"/>
      <c r="DB75" s="238" t="n"/>
      <c r="DC75" s="238" t="n"/>
      <c r="DD75" s="238" t="n"/>
      <c r="DE75" s="238" t="n"/>
      <c r="DF75" s="238" t="n"/>
      <c r="DG75" s="238" t="n"/>
      <c r="DH75" s="238" t="n"/>
      <c r="DI75" s="238" t="n"/>
      <c r="DJ75" s="238" t="n"/>
      <c r="DK75" s="238" t="n"/>
      <c r="DL75" s="238" t="n"/>
      <c r="DM75" s="238" t="n"/>
      <c r="DN75" s="238" t="n"/>
      <c r="DO75" s="238" t="n"/>
      <c r="DP75" s="238" t="n"/>
      <c r="DQ75" s="238" t="n"/>
      <c r="DR75" s="238" t="n"/>
      <c r="DS75" s="238" t="n"/>
      <c r="DT75" s="238" t="n"/>
      <c r="DU75" s="238" t="n"/>
      <c r="DV75" s="238" t="n"/>
      <c r="DW75" s="238" t="n"/>
      <c r="DX75" s="238" t="n"/>
      <c r="DY75" s="238" t="n"/>
      <c r="DZ75" s="23" t="n"/>
      <c r="FQ75" s="212" t="n"/>
      <c r="FR75" s="212" t="n"/>
      <c r="FS75" s="212" t="n"/>
      <c r="FT75" s="212" t="n"/>
      <c r="FU75" s="212" t="n"/>
      <c r="FV75" s="212" t="n"/>
      <c r="FW75" s="212" t="n"/>
      <c r="FX75" s="212" t="n"/>
      <c r="FY75" s="212" t="n"/>
      <c r="FZ75" s="212" t="n"/>
    </row>
    <row r="76" ht="39.95" customFormat="1" customHeight="1" s="5">
      <c r="A76" s="10" t="inlineStr">
        <is>
          <t>A</t>
        </is>
      </c>
      <c r="B76" s="6" t="n"/>
      <c r="C76" s="351" t="inlineStr">
        <is>
          <t>Year</t>
        </is>
      </c>
      <c r="D76" s="588" t="inlineStr">
        <is>
          <t>May 2055</t>
        </is>
      </c>
      <c r="E76" s="589" t="inlineStr">
        <is>
          <t>May 2055</t>
        </is>
      </c>
      <c r="F76" s="589" t="inlineStr">
        <is>
          <t>May 2055</t>
        </is>
      </c>
      <c r="G76" s="589" t="inlineStr">
        <is>
          <t>ND</t>
        </is>
      </c>
      <c r="H76" s="590" t="inlineStr">
        <is>
          <t>May 2055</t>
        </is>
      </c>
      <c r="I76" s="591" t="inlineStr">
        <is>
          <t>ND</t>
        </is>
      </c>
      <c r="J76" s="589" t="inlineStr">
        <is>
          <t>ND</t>
        </is>
      </c>
      <c r="K76" s="589" t="inlineStr">
        <is>
          <t>ND</t>
        </is>
      </c>
      <c r="L76" s="589" t="inlineStr">
        <is>
          <t>May 2055</t>
        </is>
      </c>
      <c r="M76" s="590" t="inlineStr">
        <is>
          <t>May 2055</t>
        </is>
      </c>
      <c r="N76" s="591" t="inlineStr">
        <is>
          <t>May 2055</t>
        </is>
      </c>
      <c r="O76" s="589" t="inlineStr">
        <is>
          <t>May 2055</t>
        </is>
      </c>
      <c r="P76" s="589" t="inlineStr">
        <is>
          <t>May 2055</t>
        </is>
      </c>
      <c r="Q76" s="589" t="inlineStr">
        <is>
          <t>ND</t>
        </is>
      </c>
      <c r="R76" s="590" t="inlineStr">
        <is>
          <t>ND</t>
        </is>
      </c>
      <c r="S76" s="591" t="inlineStr">
        <is>
          <t>May 2055</t>
        </is>
      </c>
      <c r="T76" s="589" t="inlineStr">
        <is>
          <t>ND</t>
        </is>
      </c>
      <c r="U76" s="589" t="inlineStr">
        <is>
          <t>ND</t>
        </is>
      </c>
      <c r="V76" s="589" t="inlineStr">
        <is>
          <t>ND</t>
        </is>
      </c>
      <c r="W76" s="590" t="inlineStr">
        <is>
          <t>ND</t>
        </is>
      </c>
      <c r="X76" s="591" t="inlineStr">
        <is>
          <t>ND</t>
        </is>
      </c>
      <c r="Y76" s="589" t="inlineStr">
        <is>
          <t>ND</t>
        </is>
      </c>
      <c r="Z76" s="589" t="inlineStr">
        <is>
          <t>ND</t>
        </is>
      </c>
      <c r="AA76" s="589" t="inlineStr">
        <is>
          <t>May 2055</t>
        </is>
      </c>
      <c r="AB76" s="590" t="inlineStr">
        <is>
          <t>May 2055</t>
        </is>
      </c>
      <c r="AC76" s="591" t="inlineStr">
        <is>
          <t>ND</t>
        </is>
      </c>
      <c r="AD76" s="589" t="inlineStr">
        <is>
          <t>May 2055</t>
        </is>
      </c>
      <c r="AE76" s="589" t="inlineStr">
        <is>
          <t>May 2055</t>
        </is>
      </c>
      <c r="AF76" s="589" t="inlineStr">
        <is>
          <t>May 2055</t>
        </is>
      </c>
      <c r="AG76" s="590" t="inlineStr">
        <is>
          <t>ND</t>
        </is>
      </c>
      <c r="AH76" s="591" t="inlineStr">
        <is>
          <t>May 2055</t>
        </is>
      </c>
      <c r="AI76" s="589" t="inlineStr">
        <is>
          <t>ND</t>
        </is>
      </c>
      <c r="AJ76" s="589" t="inlineStr">
        <is>
          <t>May 2055</t>
        </is>
      </c>
      <c r="AK76" s="589" t="inlineStr">
        <is>
          <t>May 2055</t>
        </is>
      </c>
      <c r="AL76" s="590" t="inlineStr">
        <is>
          <t>May 2055</t>
        </is>
      </c>
      <c r="AM76" s="591" t="inlineStr">
        <is>
          <t>May 2055</t>
        </is>
      </c>
      <c r="AN76" s="589" t="inlineStr">
        <is>
          <t>ND</t>
        </is>
      </c>
      <c r="AO76" s="589" t="inlineStr">
        <is>
          <t>May 2055</t>
        </is>
      </c>
      <c r="AP76" s="589" t="inlineStr">
        <is>
          <t>May 2055</t>
        </is>
      </c>
      <c r="AQ76" s="590" t="inlineStr">
        <is>
          <t>May 2055</t>
        </is>
      </c>
      <c r="AR76" s="591" t="inlineStr">
        <is>
          <t>May 2055</t>
        </is>
      </c>
      <c r="AS76" s="589" t="inlineStr">
        <is>
          <t>May 2055</t>
        </is>
      </c>
      <c r="AT76" s="589" t="inlineStr">
        <is>
          <t>May 2055</t>
        </is>
      </c>
      <c r="AU76" s="589" t="inlineStr">
        <is>
          <t>ND</t>
        </is>
      </c>
      <c r="AV76" s="590" t="inlineStr">
        <is>
          <t>May 2055</t>
        </is>
      </c>
      <c r="AW76" s="591" t="inlineStr">
        <is>
          <t>Mar 2037</t>
        </is>
      </c>
      <c r="AX76" s="589" t="inlineStr">
        <is>
          <t>May 2055</t>
        </is>
      </c>
      <c r="AY76" s="589" t="inlineStr">
        <is>
          <t>May 2055</t>
        </is>
      </c>
      <c r="AZ76" s="589" t="inlineStr">
        <is>
          <t>May 2055</t>
        </is>
      </c>
      <c r="BA76" s="590" t="inlineStr">
        <is>
          <t>May 2055</t>
        </is>
      </c>
      <c r="BB76" s="591" t="inlineStr">
        <is>
          <t>May 2055</t>
        </is>
      </c>
      <c r="BC76" s="589" t="inlineStr">
        <is>
          <t>Mar 2050</t>
        </is>
      </c>
      <c r="BD76" s="589" t="inlineStr">
        <is>
          <t>Jan 2055</t>
        </is>
      </c>
      <c r="BE76" s="589" t="inlineStr">
        <is>
          <t>ND</t>
        </is>
      </c>
      <c r="BF76" s="590" t="inlineStr">
        <is>
          <t>ND</t>
        </is>
      </c>
      <c r="BG76" s="591" t="inlineStr">
        <is>
          <t>ND</t>
        </is>
      </c>
      <c r="BH76" s="589" t="inlineStr">
        <is>
          <t>ND</t>
        </is>
      </c>
      <c r="BI76" s="589" t="inlineStr">
        <is>
          <t>ND</t>
        </is>
      </c>
      <c r="BJ76" s="589" t="inlineStr">
        <is>
          <t>May 2055</t>
        </is>
      </c>
      <c r="BK76" s="590" t="inlineStr">
        <is>
          <t>May 2055</t>
        </is>
      </c>
      <c r="BL76" s="591" t="inlineStr">
        <is>
          <t>May 2055</t>
        </is>
      </c>
      <c r="BM76" s="589" t="inlineStr">
        <is>
          <t>ND</t>
        </is>
      </c>
      <c r="BN76" s="589" t="inlineStr">
        <is>
          <t>Jan 2042</t>
        </is>
      </c>
      <c r="BO76" s="589" t="inlineStr">
        <is>
          <t>Jan 2052</t>
        </is>
      </c>
      <c r="BP76" s="590" t="inlineStr">
        <is>
          <t>May 2055</t>
        </is>
      </c>
      <c r="BQ76" s="591" t="inlineStr">
        <is>
          <t>Jun 2038</t>
        </is>
      </c>
      <c r="BR76" s="589" t="inlineStr">
        <is>
          <t>May 2055</t>
        </is>
      </c>
      <c r="BS76" s="589" t="inlineStr">
        <is>
          <t>Nov 2036</t>
        </is>
      </c>
      <c r="BT76" s="590" t="inlineStr">
        <is>
          <t>May 2055</t>
        </is>
      </c>
      <c r="BU76" s="437" t="n"/>
      <c r="BV76" s="437" t="n"/>
      <c r="BW76" s="238" t="n"/>
      <c r="BX76" s="238" t="n"/>
      <c r="BY76" s="238" t="n"/>
      <c r="BZ76" s="238" t="n"/>
      <c r="CA76" s="238" t="n"/>
      <c r="CB76" s="238" t="n"/>
      <c r="CC76" s="238" t="n"/>
      <c r="CD76" s="238" t="n"/>
      <c r="CE76" s="238" t="n"/>
      <c r="CF76" s="238" t="n"/>
      <c r="CG76" s="238" t="n"/>
      <c r="CH76" s="238" t="n"/>
      <c r="CI76" s="238" t="n"/>
      <c r="CJ76" s="238" t="n"/>
      <c r="CK76" s="238" t="n"/>
      <c r="CL76" s="238" t="n"/>
      <c r="CM76" s="238" t="n"/>
      <c r="CN76" s="238" t="n"/>
      <c r="CO76" s="238" t="n"/>
      <c r="CP76" s="238" t="n"/>
      <c r="CQ76" s="238" t="n"/>
      <c r="CR76" s="238" t="n"/>
      <c r="CS76" s="238" t="n"/>
      <c r="CT76" s="238" t="n"/>
      <c r="CU76" s="238" t="n"/>
      <c r="CV76" s="238" t="n"/>
      <c r="CW76" s="238" t="n"/>
      <c r="CX76" s="238" t="n"/>
      <c r="CY76" s="238" t="n"/>
      <c r="CZ76" s="238" t="n"/>
      <c r="DA76" s="238" t="n"/>
      <c r="DB76" s="238" t="n"/>
      <c r="DC76" s="238" t="n"/>
      <c r="DD76" s="238" t="n"/>
      <c r="DE76" s="238" t="n"/>
      <c r="DF76" s="238" t="n"/>
      <c r="DG76" s="238" t="n"/>
      <c r="DH76" s="238" t="n"/>
      <c r="DI76" s="238" t="n"/>
      <c r="DJ76" s="238" t="n"/>
      <c r="DK76" s="238" t="n"/>
      <c r="DL76" s="238" t="n"/>
      <c r="DM76" s="238" t="n"/>
      <c r="DN76" s="238" t="n"/>
      <c r="DO76" s="238" t="n"/>
      <c r="DP76" s="238" t="n"/>
      <c r="DQ76" s="238" t="n"/>
      <c r="DR76" s="238" t="n"/>
      <c r="DS76" s="238" t="n"/>
      <c r="DT76" s="238" t="n"/>
      <c r="DU76" s="238" t="n"/>
      <c r="DV76" s="238" t="n"/>
      <c r="DW76" s="238" t="n"/>
      <c r="DX76" s="238" t="n"/>
      <c r="DY76" s="238" t="n"/>
      <c r="DZ76" s="23" t="n"/>
      <c r="FQ76" s="212" t="n"/>
      <c r="FR76" s="212" t="n"/>
      <c r="FS76" s="212" t="n"/>
      <c r="FT76" s="212" t="n"/>
      <c r="FU76" s="212" t="n"/>
      <c r="FV76" s="212" t="n"/>
      <c r="FW76" s="212" t="n"/>
      <c r="FX76" s="212" t="n"/>
      <c r="FY76" s="212" t="n"/>
      <c r="FZ76" s="212" t="n"/>
    </row>
    <row r="77" ht="39.95" customFormat="1" customHeight="1" s="5">
      <c r="A77" s="182" t="inlineStr"/>
      <c r="B77" s="7" t="inlineStr">
        <is>
          <t>-18 IN</t>
        </is>
      </c>
      <c r="C77" s="456" t="n"/>
      <c r="D77" s="13" t="n"/>
      <c r="H77" s="592" t="n"/>
      <c r="I77" s="593" t="n"/>
      <c r="M77" s="592" t="n"/>
      <c r="N77" s="593" t="n"/>
      <c r="R77" s="592" t="n"/>
      <c r="S77" s="593" t="n"/>
      <c r="W77" s="592" t="n"/>
      <c r="X77" s="593" t="n"/>
      <c r="AB77" s="592" t="n"/>
      <c r="AC77" s="593" t="n"/>
      <c r="AG77" s="592" t="n"/>
      <c r="AH77" s="593" t="n"/>
      <c r="AL77" s="592" t="n"/>
      <c r="AM77" s="593" t="n"/>
      <c r="AQ77" s="592" t="n"/>
      <c r="AR77" s="593" t="n"/>
      <c r="AV77" s="592" t="n"/>
      <c r="AW77" s="593" t="n"/>
      <c r="BA77" s="592" t="n"/>
      <c r="BB77" s="593" t="n"/>
      <c r="BF77" s="592" t="n"/>
      <c r="BG77" s="593" t="n"/>
      <c r="BK77" s="592" t="n"/>
      <c r="BL77" s="593" t="n"/>
      <c r="BP77" s="592" t="n"/>
      <c r="BQ77" s="593" t="n"/>
      <c r="BT77" s="592" t="n"/>
      <c r="BU77" s="437" t="n"/>
      <c r="BV77" s="437" t="n"/>
      <c r="BW77" s="238" t="n"/>
      <c r="BX77" s="238" t="n"/>
      <c r="BY77" s="238" t="n"/>
      <c r="BZ77" s="238" t="n"/>
      <c r="CA77" s="238" t="n"/>
      <c r="CB77" s="238" t="n"/>
      <c r="CC77" s="238" t="n"/>
      <c r="CD77" s="238" t="n"/>
      <c r="CE77" s="238" t="n"/>
      <c r="CF77" s="238" t="n"/>
      <c r="CG77" s="238" t="n"/>
      <c r="CH77" s="238" t="n"/>
      <c r="CI77" s="238" t="n"/>
      <c r="CJ77" s="238" t="n"/>
      <c r="CK77" s="238" t="n"/>
      <c r="CL77" s="238" t="n"/>
      <c r="CM77" s="238" t="n"/>
      <c r="CN77" s="238" t="n"/>
      <c r="CO77" s="238" t="n"/>
      <c r="CP77" s="238" t="n"/>
      <c r="CQ77" s="238" t="n"/>
      <c r="CR77" s="238" t="n"/>
      <c r="CS77" s="238" t="n"/>
      <c r="CT77" s="238" t="n"/>
      <c r="CU77" s="238" t="n"/>
      <c r="CV77" s="238" t="n"/>
      <c r="CW77" s="238" t="n"/>
      <c r="CX77" s="238" t="n"/>
      <c r="CY77" s="238" t="n"/>
      <c r="CZ77" s="238" t="n"/>
      <c r="DA77" s="238" t="n"/>
      <c r="DB77" s="238" t="n"/>
      <c r="DC77" s="238" t="n"/>
      <c r="DD77" s="238" t="n"/>
      <c r="DE77" s="238" t="n"/>
      <c r="DF77" s="238" t="n"/>
      <c r="DG77" s="238" t="n"/>
      <c r="DH77" s="238" t="n"/>
      <c r="DI77" s="238" t="n"/>
      <c r="DJ77" s="238" t="n"/>
      <c r="DK77" s="238" t="n"/>
      <c r="DL77" s="238" t="n"/>
      <c r="DM77" s="238" t="n"/>
      <c r="DN77" s="238" t="n"/>
      <c r="DO77" s="238" t="n"/>
      <c r="DP77" s="238" t="n"/>
      <c r="DQ77" s="238" t="n"/>
      <c r="DR77" s="238" t="n"/>
      <c r="DS77" s="238" t="n"/>
      <c r="DT77" s="238" t="n"/>
      <c r="DU77" s="238" t="n"/>
      <c r="DV77" s="238" t="n"/>
      <c r="DW77" s="238" t="n"/>
      <c r="DX77" s="238" t="n"/>
      <c r="DY77" s="238" t="n"/>
      <c r="DZ77" s="23" t="n"/>
      <c r="FQ77" s="212" t="n"/>
      <c r="FR77" s="212" t="n"/>
      <c r="FS77" s="212" t="n"/>
      <c r="FT77" s="212" t="n"/>
      <c r="FU77" s="212" t="n"/>
      <c r="FV77" s="212" t="n"/>
      <c r="FW77" s="212" t="n"/>
      <c r="FX77" s="212" t="n"/>
      <c r="FY77" s="212" t="n"/>
      <c r="FZ77" s="212" t="n"/>
    </row>
    <row r="78" ht="39.95" customFormat="1" customHeight="1" s="5">
      <c r="A78" s="456" t="n"/>
      <c r="B78" s="8" t="n"/>
      <c r="C78" s="456" t="n"/>
      <c r="D78" s="594" t="n"/>
      <c r="E78" s="595" t="n"/>
      <c r="F78" s="595" t="n"/>
      <c r="G78" s="595" t="n"/>
      <c r="H78" s="596" t="n"/>
      <c r="I78" s="597" t="n"/>
      <c r="J78" s="595" t="n"/>
      <c r="K78" s="595" t="n"/>
      <c r="L78" s="595" t="n"/>
      <c r="M78" s="596" t="n"/>
      <c r="N78" s="597" t="n"/>
      <c r="O78" s="595" t="n"/>
      <c r="P78" s="595" t="n"/>
      <c r="Q78" s="595" t="n"/>
      <c r="R78" s="596" t="n"/>
      <c r="S78" s="597" t="n"/>
      <c r="T78" s="595" t="n"/>
      <c r="U78" s="595" t="n"/>
      <c r="V78" s="595" t="n"/>
      <c r="W78" s="596" t="n"/>
      <c r="X78" s="597" t="n"/>
      <c r="Y78" s="595" t="n"/>
      <c r="Z78" s="595" t="n"/>
      <c r="AA78" s="595" t="n"/>
      <c r="AB78" s="596" t="n"/>
      <c r="AC78" s="597" t="n"/>
      <c r="AD78" s="595" t="n"/>
      <c r="AE78" s="595" t="n"/>
      <c r="AF78" s="595" t="n"/>
      <c r="AG78" s="596" t="n"/>
      <c r="AH78" s="597" t="n"/>
      <c r="AI78" s="595" t="n"/>
      <c r="AJ78" s="595" t="n"/>
      <c r="AK78" s="595" t="n"/>
      <c r="AL78" s="596" t="n"/>
      <c r="AM78" s="597" t="n"/>
      <c r="AN78" s="595" t="n"/>
      <c r="AO78" s="595" t="n"/>
      <c r="AP78" s="595" t="n"/>
      <c r="AQ78" s="596" t="n"/>
      <c r="AR78" s="597" t="n"/>
      <c r="AS78" s="595" t="n"/>
      <c r="AT78" s="595" t="n"/>
      <c r="AU78" s="595" t="n"/>
      <c r="AV78" s="596" t="n"/>
      <c r="AW78" s="597" t="n"/>
      <c r="AX78" s="595" t="n"/>
      <c r="AY78" s="595" t="n"/>
      <c r="AZ78" s="595" t="n"/>
      <c r="BA78" s="596" t="n"/>
      <c r="BB78" s="597" t="n"/>
      <c r="BC78" s="595" t="n"/>
      <c r="BD78" s="595" t="n"/>
      <c r="BE78" s="595" t="n"/>
      <c r="BF78" s="596" t="n"/>
      <c r="BG78" s="597" t="n"/>
      <c r="BH78" s="595" t="n"/>
      <c r="BI78" s="595" t="n"/>
      <c r="BJ78" s="595" t="n"/>
      <c r="BK78" s="596" t="n"/>
      <c r="BL78" s="597" t="n"/>
      <c r="BM78" s="595" t="n"/>
      <c r="BN78" s="595" t="n"/>
      <c r="BO78" s="595" t="n"/>
      <c r="BP78" s="596" t="n"/>
      <c r="BQ78" s="597" t="n"/>
      <c r="BR78" s="595" t="n"/>
      <c r="BS78" s="595" t="n"/>
      <c r="BT78" s="596" t="n"/>
      <c r="BU78" s="437" t="n"/>
      <c r="BV78" s="437" t="n"/>
      <c r="BW78" s="238" t="n"/>
      <c r="BX78" s="238" t="n"/>
      <c r="BY78" s="238" t="n"/>
      <c r="BZ78" s="238" t="n"/>
      <c r="CA78" s="238" t="n"/>
      <c r="CB78" s="238" t="n"/>
      <c r="CC78" s="238" t="n"/>
      <c r="CD78" s="238" t="n"/>
      <c r="CE78" s="238" t="n"/>
      <c r="CF78" s="238" t="n"/>
      <c r="CG78" s="238" t="n"/>
      <c r="CH78" s="238" t="n"/>
      <c r="CI78" s="238" t="n"/>
      <c r="CJ78" s="238" t="n"/>
      <c r="CK78" s="238" t="n"/>
      <c r="CL78" s="238" t="n"/>
      <c r="CM78" s="238" t="n"/>
      <c r="CN78" s="238" t="n"/>
      <c r="CO78" s="238" t="n"/>
      <c r="CP78" s="238" t="n"/>
      <c r="CQ78" s="238" t="n"/>
      <c r="CR78" s="238" t="n"/>
      <c r="CS78" s="238" t="n"/>
      <c r="CT78" s="238" t="n"/>
      <c r="CU78" s="238" t="n"/>
      <c r="CV78" s="238" t="n"/>
      <c r="CW78" s="238" t="n"/>
      <c r="CX78" s="238" t="n"/>
      <c r="CY78" s="238" t="n"/>
      <c r="CZ78" s="238" t="n"/>
      <c r="DA78" s="238" t="n"/>
      <c r="DB78" s="238" t="n"/>
      <c r="DC78" s="238" t="n"/>
      <c r="DD78" s="238" t="n"/>
      <c r="DE78" s="238" t="n"/>
      <c r="DF78" s="238" t="n"/>
      <c r="DG78" s="238" t="n"/>
      <c r="DH78" s="238" t="n"/>
      <c r="DI78" s="238" t="n"/>
      <c r="DJ78" s="238" t="n"/>
      <c r="DK78" s="238" t="n"/>
      <c r="DL78" s="238" t="n"/>
      <c r="DM78" s="238" t="n"/>
      <c r="DN78" s="238" t="n"/>
      <c r="DO78" s="238" t="n"/>
      <c r="DP78" s="238" t="n"/>
      <c r="DQ78" s="238" t="n"/>
      <c r="DR78" s="238" t="n"/>
      <c r="DS78" s="238" t="n"/>
      <c r="DT78" s="238" t="n"/>
      <c r="DU78" s="238" t="n"/>
      <c r="DV78" s="238" t="n"/>
      <c r="DW78" s="238" t="n"/>
      <c r="DX78" s="238" t="n"/>
      <c r="DY78" s="238" t="n"/>
      <c r="DZ78" s="23" t="n"/>
      <c r="FQ78" s="212" t="n"/>
      <c r="FR78" s="212" t="n"/>
      <c r="FS78" s="212" t="n"/>
      <c r="FT78" s="212" t="n"/>
      <c r="FU78" s="212" t="n"/>
      <c r="FV78" s="212" t="n"/>
      <c r="FW78" s="212" t="n"/>
      <c r="FX78" s="212" t="n"/>
      <c r="FY78" s="212" t="n"/>
      <c r="FZ78" s="212" t="n"/>
    </row>
    <row r="79" ht="39.95" customFormat="1" customHeight="1" s="5">
      <c r="A79" s="10" t="inlineStr">
        <is>
          <t>A</t>
        </is>
      </c>
      <c r="B79" s="6" t="n"/>
      <c r="C79" s="351" t="inlineStr">
        <is>
          <t>Year</t>
        </is>
      </c>
      <c r="D79" s="588" t="inlineStr">
        <is>
          <t>May 2055</t>
        </is>
      </c>
      <c r="E79" s="589" t="inlineStr">
        <is>
          <t>May 2055</t>
        </is>
      </c>
      <c r="F79" s="589" t="inlineStr">
        <is>
          <t>ND</t>
        </is>
      </c>
      <c r="G79" s="589" t="inlineStr">
        <is>
          <t>May 2055</t>
        </is>
      </c>
      <c r="H79" s="590" t="inlineStr">
        <is>
          <t>May 2055</t>
        </is>
      </c>
      <c r="I79" s="591" t="inlineStr">
        <is>
          <t>May 2055</t>
        </is>
      </c>
      <c r="J79" s="589" t="inlineStr">
        <is>
          <t>May 2055</t>
        </is>
      </c>
      <c r="K79" s="589" t="inlineStr">
        <is>
          <t>May 2055</t>
        </is>
      </c>
      <c r="L79" s="589" t="inlineStr">
        <is>
          <t>May 2055</t>
        </is>
      </c>
      <c r="M79" s="590" t="inlineStr">
        <is>
          <t>May 2055</t>
        </is>
      </c>
      <c r="N79" s="591" t="inlineStr">
        <is>
          <t>May 2055</t>
        </is>
      </c>
      <c r="O79" s="589" t="inlineStr">
        <is>
          <t>May 2055</t>
        </is>
      </c>
      <c r="P79" s="589" t="inlineStr">
        <is>
          <t>ND</t>
        </is>
      </c>
      <c r="Q79" s="589" t="inlineStr">
        <is>
          <t>May 2055</t>
        </is>
      </c>
      <c r="R79" s="590" t="inlineStr">
        <is>
          <t>Jun 2045</t>
        </is>
      </c>
      <c r="S79" s="591" t="inlineStr">
        <is>
          <t>May 2055</t>
        </is>
      </c>
      <c r="T79" s="589" t="inlineStr">
        <is>
          <t>May 2055</t>
        </is>
      </c>
      <c r="U79" s="589" t="inlineStr">
        <is>
          <t>May 2055</t>
        </is>
      </c>
      <c r="V79" s="589" t="inlineStr">
        <is>
          <t>May 2055</t>
        </is>
      </c>
      <c r="W79" s="590" t="inlineStr">
        <is>
          <t>May 2055</t>
        </is>
      </c>
      <c r="X79" s="591" t="inlineStr">
        <is>
          <t>May 2055</t>
        </is>
      </c>
      <c r="Y79" s="589" t="inlineStr">
        <is>
          <t>May 2055</t>
        </is>
      </c>
      <c r="Z79" s="589" t="inlineStr">
        <is>
          <t>May 2055</t>
        </is>
      </c>
      <c r="AA79" s="589" t="inlineStr">
        <is>
          <t>May 2055</t>
        </is>
      </c>
      <c r="AB79" s="590" t="inlineStr">
        <is>
          <t>May 2055</t>
        </is>
      </c>
      <c r="AC79" s="591" t="inlineStr">
        <is>
          <t>Jul 2038</t>
        </is>
      </c>
      <c r="AD79" s="589" t="inlineStr">
        <is>
          <t>May 2055</t>
        </is>
      </c>
      <c r="AE79" s="589" t="inlineStr">
        <is>
          <t>May 2055</t>
        </is>
      </c>
      <c r="AF79" s="589" t="inlineStr">
        <is>
          <t>May 2055</t>
        </is>
      </c>
      <c r="AG79" s="590" t="inlineStr">
        <is>
          <t>May 2055</t>
        </is>
      </c>
      <c r="AH79" s="591" t="inlineStr">
        <is>
          <t>May 2055</t>
        </is>
      </c>
      <c r="AI79" s="589" t="inlineStr">
        <is>
          <t>May 2055</t>
        </is>
      </c>
      <c r="AJ79" s="589" t="inlineStr">
        <is>
          <t>May 2055</t>
        </is>
      </c>
      <c r="AK79" s="589" t="inlineStr">
        <is>
          <t>May 2055</t>
        </is>
      </c>
      <c r="AL79" s="590" t="inlineStr">
        <is>
          <t>May 2055</t>
        </is>
      </c>
      <c r="AM79" s="591" t="inlineStr">
        <is>
          <t>May 2055</t>
        </is>
      </c>
      <c r="AN79" s="589" t="inlineStr">
        <is>
          <t>May 2055</t>
        </is>
      </c>
      <c r="AO79" s="589" t="inlineStr">
        <is>
          <t>May 2055</t>
        </is>
      </c>
      <c r="AP79" s="589" t="inlineStr">
        <is>
          <t>ND</t>
        </is>
      </c>
      <c r="AQ79" s="590" t="inlineStr">
        <is>
          <t>May 2055</t>
        </is>
      </c>
      <c r="AR79" s="591" t="inlineStr">
        <is>
          <t>May 2055</t>
        </is>
      </c>
      <c r="AS79" s="589" t="inlineStr">
        <is>
          <t>May 2055</t>
        </is>
      </c>
      <c r="AT79" s="589" t="inlineStr">
        <is>
          <t>ND</t>
        </is>
      </c>
      <c r="AU79" s="589" t="inlineStr">
        <is>
          <t>May 2055</t>
        </is>
      </c>
      <c r="AV79" s="590" t="inlineStr">
        <is>
          <t>ND</t>
        </is>
      </c>
      <c r="AW79" s="591" t="inlineStr">
        <is>
          <t>May 2055</t>
        </is>
      </c>
      <c r="AX79" s="589" t="inlineStr">
        <is>
          <t>Dec 2033</t>
        </is>
      </c>
      <c r="AY79" s="589" t="inlineStr">
        <is>
          <t>May 2055</t>
        </is>
      </c>
      <c r="AZ79" s="589" t="inlineStr">
        <is>
          <t>May 2055</t>
        </is>
      </c>
      <c r="BA79" s="590" t="inlineStr">
        <is>
          <t>May 2055</t>
        </is>
      </c>
      <c r="BB79" s="591" t="inlineStr">
        <is>
          <t>May 2055</t>
        </is>
      </c>
      <c r="BC79" s="589" t="inlineStr">
        <is>
          <t>May 2055</t>
        </is>
      </c>
      <c r="BD79" s="589" t="inlineStr">
        <is>
          <t>May 2055</t>
        </is>
      </c>
      <c r="BE79" s="589" t="inlineStr">
        <is>
          <t>May 2055</t>
        </is>
      </c>
      <c r="BF79" s="590" t="inlineStr">
        <is>
          <t>ND</t>
        </is>
      </c>
      <c r="BG79" s="591" t="inlineStr">
        <is>
          <t>May 2055</t>
        </is>
      </c>
      <c r="BH79" s="589" t="inlineStr">
        <is>
          <t>May 2055</t>
        </is>
      </c>
      <c r="BI79" s="589" t="inlineStr">
        <is>
          <t>May 2055</t>
        </is>
      </c>
      <c r="BJ79" s="589" t="inlineStr">
        <is>
          <t>May 2055</t>
        </is>
      </c>
      <c r="BK79" s="590" t="inlineStr">
        <is>
          <t>May 2055</t>
        </is>
      </c>
      <c r="BL79" s="591" t="inlineStr">
        <is>
          <t>May 2055</t>
        </is>
      </c>
      <c r="BM79" s="589" t="inlineStr">
        <is>
          <t>May 2055</t>
        </is>
      </c>
      <c r="BN79" s="589" t="inlineStr">
        <is>
          <t>May 2055</t>
        </is>
      </c>
      <c r="BO79" s="589" t="inlineStr">
        <is>
          <t>May 2055</t>
        </is>
      </c>
      <c r="BP79" s="590" t="inlineStr">
        <is>
          <t>ND</t>
        </is>
      </c>
      <c r="BQ79" s="591" t="inlineStr">
        <is>
          <t>May 2055</t>
        </is>
      </c>
      <c r="BR79" s="589" t="inlineStr">
        <is>
          <t>May 2055</t>
        </is>
      </c>
      <c r="BS79" s="589" t="inlineStr">
        <is>
          <t>May 2055</t>
        </is>
      </c>
      <c r="BT79" s="590" t="inlineStr">
        <is>
          <t>Mar 2040</t>
        </is>
      </c>
      <c r="BU79" s="437" t="n"/>
      <c r="BV79" s="437" t="n"/>
      <c r="BW79" s="238" t="n"/>
      <c r="BX79" s="238" t="n"/>
      <c r="BY79" s="238" t="n"/>
      <c r="BZ79" s="238" t="n"/>
      <c r="CA79" s="238" t="n"/>
      <c r="CB79" s="238" t="n"/>
      <c r="CC79" s="238" t="n"/>
      <c r="CD79" s="238" t="n"/>
      <c r="CE79" s="238" t="n"/>
      <c r="CF79" s="238" t="n"/>
      <c r="CG79" s="238" t="n"/>
      <c r="CH79" s="238" t="n"/>
      <c r="CI79" s="238" t="n"/>
      <c r="CJ79" s="238" t="n"/>
      <c r="CK79" s="238" t="n"/>
      <c r="CL79" s="238" t="n"/>
      <c r="CM79" s="238" t="n"/>
      <c r="CN79" s="238" t="n"/>
      <c r="CO79" s="238" t="n"/>
      <c r="CP79" s="238" t="n"/>
      <c r="CQ79" s="238" t="n"/>
      <c r="CR79" s="238" t="n"/>
      <c r="CS79" s="238" t="n"/>
      <c r="CT79" s="238" t="n"/>
      <c r="CU79" s="238" t="n"/>
      <c r="CV79" s="238" t="n"/>
      <c r="CW79" s="238" t="n"/>
      <c r="CX79" s="238" t="n"/>
      <c r="CY79" s="238" t="n"/>
      <c r="CZ79" s="238" t="n"/>
      <c r="DA79" s="238" t="n"/>
      <c r="DB79" s="238" t="n"/>
      <c r="DC79" s="238" t="n"/>
      <c r="DD79" s="238" t="n"/>
      <c r="DE79" s="238" t="n"/>
      <c r="DF79" s="238" t="n"/>
      <c r="DG79" s="238" t="n"/>
      <c r="DH79" s="238" t="n"/>
      <c r="DI79" s="238" t="n"/>
      <c r="DJ79" s="238" t="n"/>
      <c r="DK79" s="238" t="n"/>
      <c r="DL79" s="238" t="n"/>
      <c r="DM79" s="238" t="n"/>
      <c r="DN79" s="238" t="n"/>
      <c r="DO79" s="238" t="n"/>
      <c r="DP79" s="238" t="n"/>
      <c r="DQ79" s="238" t="n"/>
      <c r="DR79" s="238" t="n"/>
      <c r="DS79" s="238" t="n"/>
      <c r="DT79" s="238" t="n"/>
      <c r="DU79" s="238" t="n"/>
      <c r="DV79" s="238" t="n"/>
      <c r="DW79" s="238" t="n"/>
      <c r="DX79" s="238" t="n"/>
      <c r="DY79" s="238" t="n"/>
      <c r="DZ79" s="23" t="n"/>
      <c r="FQ79" s="212" t="n"/>
      <c r="FR79" s="212" t="n"/>
      <c r="FS79" s="212" t="n"/>
      <c r="FT79" s="212" t="n"/>
      <c r="FU79" s="212" t="n"/>
      <c r="FV79" s="212" t="n"/>
      <c r="FW79" s="212" t="n"/>
      <c r="FX79" s="212" t="n"/>
      <c r="FY79" s="212" t="n"/>
      <c r="FZ79" s="212" t="n"/>
    </row>
    <row r="80" ht="39.95" customFormat="1" customHeight="1" s="5">
      <c r="A80" s="182" t="inlineStr"/>
      <c r="B80" s="7" t="inlineStr">
        <is>
          <t>-27 IN</t>
        </is>
      </c>
      <c r="C80" s="456" t="n"/>
      <c r="D80" s="13" t="n"/>
      <c r="H80" s="592" t="n"/>
      <c r="I80" s="593" t="n"/>
      <c r="M80" s="592" t="n"/>
      <c r="N80" s="593" t="n"/>
      <c r="R80" s="592" t="n"/>
      <c r="S80" s="593" t="n"/>
      <c r="W80" s="592" t="n"/>
      <c r="X80" s="593" t="n"/>
      <c r="AB80" s="592" t="n"/>
      <c r="AC80" s="593" t="n"/>
      <c r="AG80" s="592" t="n"/>
      <c r="AH80" s="593" t="n"/>
      <c r="AL80" s="592" t="n"/>
      <c r="AM80" s="593" t="n"/>
      <c r="AQ80" s="592" t="n"/>
      <c r="AR80" s="593" t="n"/>
      <c r="AV80" s="592" t="n"/>
      <c r="AW80" s="593" t="n"/>
      <c r="BA80" s="592" t="n"/>
      <c r="BB80" s="593" t="n"/>
      <c r="BF80" s="592" t="n"/>
      <c r="BG80" s="593" t="n"/>
      <c r="BK80" s="592" t="n"/>
      <c r="BL80" s="593" t="n"/>
      <c r="BP80" s="592" t="n"/>
      <c r="BQ80" s="593" t="n"/>
      <c r="BT80" s="592" t="n"/>
      <c r="BU80" s="437" t="n"/>
      <c r="BV80" s="437" t="n"/>
      <c r="BW80" s="238" t="n"/>
      <c r="BX80" s="238" t="n"/>
      <c r="BY80" s="238" t="n"/>
      <c r="BZ80" s="238" t="n"/>
      <c r="CA80" s="238" t="n"/>
      <c r="CB80" s="238" t="n"/>
      <c r="CC80" s="238" t="n"/>
      <c r="CD80" s="238" t="n"/>
      <c r="CE80" s="238" t="n"/>
      <c r="CF80" s="238" t="n"/>
      <c r="CG80" s="238" t="n"/>
      <c r="CH80" s="238" t="n"/>
      <c r="CI80" s="238" t="n"/>
      <c r="CJ80" s="238" t="n"/>
      <c r="CK80" s="238" t="n"/>
      <c r="CL80" s="238" t="n"/>
      <c r="CM80" s="238" t="n"/>
      <c r="CN80" s="238" t="n"/>
      <c r="CO80" s="238" t="n"/>
      <c r="CP80" s="238" t="n"/>
      <c r="CQ80" s="238" t="n"/>
      <c r="CR80" s="238" t="n"/>
      <c r="CS80" s="238" t="n"/>
      <c r="CT80" s="238" t="n"/>
      <c r="CU80" s="238" t="n"/>
      <c r="CV80" s="238" t="n"/>
      <c r="CW80" s="238" t="n"/>
      <c r="CX80" s="238" t="n"/>
      <c r="CY80" s="238" t="n"/>
      <c r="CZ80" s="238" t="n"/>
      <c r="DA80" s="238" t="n"/>
      <c r="DB80" s="238" t="n"/>
      <c r="DC80" s="238" t="n"/>
      <c r="DD80" s="238" t="n"/>
      <c r="DE80" s="238" t="n"/>
      <c r="DF80" s="238" t="n"/>
      <c r="DG80" s="238" t="n"/>
      <c r="DH80" s="238" t="n"/>
      <c r="DI80" s="238" t="n"/>
      <c r="DJ80" s="238" t="n"/>
      <c r="DK80" s="238" t="n"/>
      <c r="DL80" s="238" t="n"/>
      <c r="DM80" s="238" t="n"/>
      <c r="DN80" s="238" t="n"/>
      <c r="DO80" s="238" t="n"/>
      <c r="DP80" s="238" t="n"/>
      <c r="DQ80" s="238" t="n"/>
      <c r="DR80" s="238" t="n"/>
      <c r="DS80" s="238" t="n"/>
      <c r="DT80" s="238" t="n"/>
      <c r="DU80" s="238" t="n"/>
      <c r="DV80" s="238" t="n"/>
      <c r="DW80" s="238" t="n"/>
      <c r="DX80" s="238" t="n"/>
      <c r="DY80" s="238" t="n"/>
      <c r="DZ80" s="23" t="n"/>
      <c r="FQ80" s="212" t="n"/>
      <c r="FR80" s="212" t="n"/>
      <c r="FS80" s="212" t="n"/>
      <c r="FT80" s="212" t="n"/>
      <c r="FU80" s="212" t="n"/>
      <c r="FV80" s="212" t="n"/>
      <c r="FW80" s="212" t="n"/>
      <c r="FX80" s="212" t="n"/>
      <c r="FY80" s="212" t="n"/>
      <c r="FZ80" s="212" t="n"/>
    </row>
    <row r="81" ht="39.95" customFormat="1" customHeight="1" s="5">
      <c r="A81" s="456" t="n"/>
      <c r="B81" s="8" t="n"/>
      <c r="C81" s="456" t="n"/>
      <c r="D81" s="594" t="n"/>
      <c r="E81" s="595" t="n"/>
      <c r="F81" s="595" t="n"/>
      <c r="G81" s="595" t="n"/>
      <c r="H81" s="596" t="n"/>
      <c r="I81" s="597" t="n"/>
      <c r="J81" s="595" t="n"/>
      <c r="K81" s="595" t="n"/>
      <c r="L81" s="595" t="n"/>
      <c r="M81" s="596" t="n"/>
      <c r="N81" s="597" t="n"/>
      <c r="O81" s="595" t="n"/>
      <c r="P81" s="595" t="n"/>
      <c r="Q81" s="595" t="n"/>
      <c r="R81" s="596" t="n"/>
      <c r="S81" s="597" t="n"/>
      <c r="T81" s="595" t="n"/>
      <c r="U81" s="595" t="n"/>
      <c r="V81" s="595" t="n"/>
      <c r="W81" s="596" t="n"/>
      <c r="X81" s="597" t="n"/>
      <c r="Y81" s="595" t="n"/>
      <c r="Z81" s="595" t="n"/>
      <c r="AA81" s="595" t="n"/>
      <c r="AB81" s="596" t="n"/>
      <c r="AC81" s="597" t="n"/>
      <c r="AD81" s="595" t="n"/>
      <c r="AE81" s="595" t="n"/>
      <c r="AF81" s="595" t="n"/>
      <c r="AG81" s="596" t="n"/>
      <c r="AH81" s="597" t="n"/>
      <c r="AI81" s="595" t="n"/>
      <c r="AJ81" s="595" t="n"/>
      <c r="AK81" s="595" t="n"/>
      <c r="AL81" s="596" t="n"/>
      <c r="AM81" s="597" t="n"/>
      <c r="AN81" s="595" t="n"/>
      <c r="AO81" s="595" t="n"/>
      <c r="AP81" s="595" t="n"/>
      <c r="AQ81" s="596" t="n"/>
      <c r="AR81" s="597" t="n"/>
      <c r="AS81" s="595" t="n"/>
      <c r="AT81" s="595" t="n"/>
      <c r="AU81" s="595" t="n"/>
      <c r="AV81" s="596" t="n"/>
      <c r="AW81" s="597" t="n"/>
      <c r="AX81" s="595" t="n"/>
      <c r="AY81" s="595" t="n"/>
      <c r="AZ81" s="595" t="n"/>
      <c r="BA81" s="596" t="n"/>
      <c r="BB81" s="597" t="n"/>
      <c r="BC81" s="595" t="n"/>
      <c r="BD81" s="595" t="n"/>
      <c r="BE81" s="595" t="n"/>
      <c r="BF81" s="596" t="n"/>
      <c r="BG81" s="597" t="n"/>
      <c r="BH81" s="595" t="n"/>
      <c r="BI81" s="595" t="n"/>
      <c r="BJ81" s="595" t="n"/>
      <c r="BK81" s="596" t="n"/>
      <c r="BL81" s="597" t="n"/>
      <c r="BM81" s="595" t="n"/>
      <c r="BN81" s="595" t="n"/>
      <c r="BO81" s="595" t="n"/>
      <c r="BP81" s="596" t="n"/>
      <c r="BQ81" s="597" t="n"/>
      <c r="BR81" s="595" t="n"/>
      <c r="BS81" s="595" t="n"/>
      <c r="BT81" s="596" t="n"/>
      <c r="BU81" s="437" t="n"/>
      <c r="BV81" s="437" t="n"/>
      <c r="BW81" s="238" t="n"/>
      <c r="BX81" s="238" t="n"/>
      <c r="BY81" s="238" t="n"/>
      <c r="BZ81" s="238" t="n"/>
      <c r="CA81" s="238" t="n"/>
      <c r="CB81" s="238" t="n"/>
      <c r="CC81" s="238" t="n"/>
      <c r="CD81" s="238" t="n"/>
      <c r="CE81" s="238" t="n"/>
      <c r="CF81" s="238" t="n"/>
      <c r="CG81" s="238" t="n"/>
      <c r="CH81" s="238" t="n"/>
      <c r="CI81" s="238" t="n"/>
      <c r="CJ81" s="238" t="n"/>
      <c r="CK81" s="238" t="n"/>
      <c r="CL81" s="238" t="n"/>
      <c r="CM81" s="238" t="n"/>
      <c r="CN81" s="238" t="n"/>
      <c r="CO81" s="238" t="n"/>
      <c r="CP81" s="238" t="n"/>
      <c r="CQ81" s="238" t="n"/>
      <c r="CR81" s="238" t="n"/>
      <c r="CS81" s="238" t="n"/>
      <c r="CT81" s="238" t="n"/>
      <c r="CU81" s="238" t="n"/>
      <c r="CV81" s="238" t="n"/>
      <c r="CW81" s="238" t="n"/>
      <c r="CX81" s="238" t="n"/>
      <c r="CY81" s="238" t="n"/>
      <c r="CZ81" s="238" t="n"/>
      <c r="DA81" s="238" t="n"/>
      <c r="DB81" s="238" t="n"/>
      <c r="DC81" s="238" t="n"/>
      <c r="DD81" s="238" t="n"/>
      <c r="DE81" s="238" t="n"/>
      <c r="DF81" s="238" t="n"/>
      <c r="DG81" s="238" t="n"/>
      <c r="DH81" s="238" t="n"/>
      <c r="DI81" s="238" t="n"/>
      <c r="DJ81" s="238" t="n"/>
      <c r="DK81" s="238" t="n"/>
      <c r="DL81" s="238" t="n"/>
      <c r="DM81" s="238" t="n"/>
      <c r="DN81" s="238" t="n"/>
      <c r="DO81" s="238" t="n"/>
      <c r="DP81" s="238" t="n"/>
      <c r="DQ81" s="238" t="n"/>
      <c r="DR81" s="238" t="n"/>
      <c r="DS81" s="238" t="n"/>
      <c r="DT81" s="238" t="n"/>
      <c r="DU81" s="238" t="n"/>
      <c r="DV81" s="238" t="n"/>
      <c r="DW81" s="238" t="n"/>
      <c r="DX81" s="238" t="n"/>
      <c r="DY81" s="238" t="n"/>
      <c r="DZ81" s="23" t="n"/>
      <c r="FQ81" s="212" t="n"/>
      <c r="FR81" s="212" t="n"/>
      <c r="FS81" s="212" t="n"/>
      <c r="FT81" s="212" t="n"/>
      <c r="FU81" s="212" t="n"/>
      <c r="FV81" s="212" t="n"/>
      <c r="FW81" s="212" t="n"/>
      <c r="FX81" s="212" t="n"/>
      <c r="FY81" s="212" t="n"/>
      <c r="FZ81" s="212" t="n"/>
    </row>
    <row r="82" ht="39.95" customFormat="1" customHeight="1" s="5">
      <c r="A82" s="10" t="inlineStr">
        <is>
          <t>A</t>
        </is>
      </c>
      <c r="B82" s="6" t="n"/>
      <c r="C82" s="351" t="inlineStr">
        <is>
          <t>Year</t>
        </is>
      </c>
      <c r="D82" s="588" t="inlineStr">
        <is>
          <t>May 2055</t>
        </is>
      </c>
      <c r="E82" s="589" t="inlineStr">
        <is>
          <t>Aug 2046</t>
        </is>
      </c>
      <c r="F82" s="589" t="inlineStr">
        <is>
          <t>Dec 2043</t>
        </is>
      </c>
      <c r="G82" s="589" t="inlineStr">
        <is>
          <t>May 2055</t>
        </is>
      </c>
      <c r="H82" s="590" t="inlineStr">
        <is>
          <t>May 2055</t>
        </is>
      </c>
      <c r="I82" s="591" t="inlineStr">
        <is>
          <t>May 2055</t>
        </is>
      </c>
      <c r="J82" s="589" t="inlineStr">
        <is>
          <t>May 2055</t>
        </is>
      </c>
      <c r="K82" s="589" t="inlineStr">
        <is>
          <t>May 2055</t>
        </is>
      </c>
      <c r="L82" s="589" t="inlineStr">
        <is>
          <t>May 2055</t>
        </is>
      </c>
      <c r="M82" s="590" t="inlineStr">
        <is>
          <t>May 2055</t>
        </is>
      </c>
      <c r="N82" s="591" t="inlineStr">
        <is>
          <t>May 2055</t>
        </is>
      </c>
      <c r="O82" s="589" t="inlineStr">
        <is>
          <t>ND</t>
        </is>
      </c>
      <c r="P82" s="589" t="inlineStr">
        <is>
          <t>ND</t>
        </is>
      </c>
      <c r="Q82" s="589" t="inlineStr">
        <is>
          <t>May 2055</t>
        </is>
      </c>
      <c r="R82" s="590" t="inlineStr">
        <is>
          <t>May 2055</t>
        </is>
      </c>
      <c r="S82" s="591" t="inlineStr">
        <is>
          <t>May 2055</t>
        </is>
      </c>
      <c r="T82" s="589" t="inlineStr">
        <is>
          <t>May 2055</t>
        </is>
      </c>
      <c r="U82" s="589" t="inlineStr">
        <is>
          <t>May 2055</t>
        </is>
      </c>
      <c r="V82" s="589" t="inlineStr">
        <is>
          <t>May 2055</t>
        </is>
      </c>
      <c r="W82" s="590" t="inlineStr">
        <is>
          <t>May 2055</t>
        </is>
      </c>
      <c r="X82" s="591" t="inlineStr">
        <is>
          <t>May 2055</t>
        </is>
      </c>
      <c r="Y82" s="589" t="inlineStr">
        <is>
          <t>May 2055</t>
        </is>
      </c>
      <c r="Z82" s="589" t="inlineStr">
        <is>
          <t>May 2055</t>
        </is>
      </c>
      <c r="AA82" s="589" t="inlineStr">
        <is>
          <t>May 2055</t>
        </is>
      </c>
      <c r="AB82" s="590" t="inlineStr">
        <is>
          <t>May 2055</t>
        </is>
      </c>
      <c r="AC82" s="591" t="inlineStr">
        <is>
          <t>May 2055</t>
        </is>
      </c>
      <c r="AD82" s="589" t="inlineStr">
        <is>
          <t>May 2055</t>
        </is>
      </c>
      <c r="AE82" s="589" t="inlineStr">
        <is>
          <t>May 2055</t>
        </is>
      </c>
      <c r="AF82" s="589" t="inlineStr">
        <is>
          <t>May 2055</t>
        </is>
      </c>
      <c r="AG82" s="590" t="inlineStr">
        <is>
          <t>May 2055</t>
        </is>
      </c>
      <c r="AH82" s="591" t="inlineStr">
        <is>
          <t>May 2055</t>
        </is>
      </c>
      <c r="AI82" s="589" t="inlineStr">
        <is>
          <t>May 2055</t>
        </is>
      </c>
      <c r="AJ82" s="589" t="inlineStr">
        <is>
          <t>May 2055</t>
        </is>
      </c>
      <c r="AK82" s="589" t="inlineStr">
        <is>
          <t>May 2055</t>
        </is>
      </c>
      <c r="AL82" s="590" t="inlineStr">
        <is>
          <t>May 2055</t>
        </is>
      </c>
      <c r="AM82" s="591" t="inlineStr">
        <is>
          <t>May 2055</t>
        </is>
      </c>
      <c r="AN82" s="589" t="inlineStr">
        <is>
          <t>May 2055</t>
        </is>
      </c>
      <c r="AO82" s="589" t="inlineStr">
        <is>
          <t>May 2055</t>
        </is>
      </c>
      <c r="AP82" s="589" t="inlineStr">
        <is>
          <t>May 2055</t>
        </is>
      </c>
      <c r="AQ82" s="590" t="inlineStr">
        <is>
          <t>May 2055</t>
        </is>
      </c>
      <c r="AR82" s="591" t="inlineStr">
        <is>
          <t>May 2055</t>
        </is>
      </c>
      <c r="AS82" s="589" t="inlineStr">
        <is>
          <t>May 2055</t>
        </is>
      </c>
      <c r="AT82" s="589" t="inlineStr">
        <is>
          <t>May 2055</t>
        </is>
      </c>
      <c r="AU82" s="589" t="inlineStr">
        <is>
          <t>ND</t>
        </is>
      </c>
      <c r="AV82" s="590" t="inlineStr">
        <is>
          <t>ND</t>
        </is>
      </c>
      <c r="AW82" s="591" t="inlineStr">
        <is>
          <t>ND</t>
        </is>
      </c>
      <c r="AX82" s="589" t="inlineStr">
        <is>
          <t>May 2055</t>
        </is>
      </c>
      <c r="AY82" s="589" t="inlineStr">
        <is>
          <t>May 2055</t>
        </is>
      </c>
      <c r="AZ82" s="589" t="inlineStr">
        <is>
          <t>May 2055</t>
        </is>
      </c>
      <c r="BA82" s="590" t="inlineStr">
        <is>
          <t>Oct 2040</t>
        </is>
      </c>
      <c r="BB82" s="591" t="inlineStr">
        <is>
          <t>May 2055</t>
        </is>
      </c>
      <c r="BC82" s="589" t="inlineStr">
        <is>
          <t>May 2055</t>
        </is>
      </c>
      <c r="BD82" s="589" t="inlineStr">
        <is>
          <t>May 2055</t>
        </is>
      </c>
      <c r="BE82" s="589" t="inlineStr">
        <is>
          <t>Feb 2051</t>
        </is>
      </c>
      <c r="BF82" s="590" t="inlineStr">
        <is>
          <t>May 2055</t>
        </is>
      </c>
      <c r="BG82" s="591" t="inlineStr">
        <is>
          <t>May 2055</t>
        </is>
      </c>
      <c r="BH82" s="589" t="inlineStr">
        <is>
          <t>May 2055</t>
        </is>
      </c>
      <c r="BI82" s="589" t="inlineStr">
        <is>
          <t>May 2055</t>
        </is>
      </c>
      <c r="BJ82" s="589" t="inlineStr">
        <is>
          <t>May 2055</t>
        </is>
      </c>
      <c r="BK82" s="590" t="inlineStr">
        <is>
          <t>ND</t>
        </is>
      </c>
      <c r="BL82" s="591" t="inlineStr">
        <is>
          <t>May 2055</t>
        </is>
      </c>
      <c r="BM82" s="589" t="inlineStr">
        <is>
          <t>May 2055</t>
        </is>
      </c>
      <c r="BN82" s="589" t="inlineStr">
        <is>
          <t>May 2055</t>
        </is>
      </c>
      <c r="BO82" s="589" t="inlineStr">
        <is>
          <t>May 2055</t>
        </is>
      </c>
      <c r="BP82" s="590" t="inlineStr">
        <is>
          <t>May 2055</t>
        </is>
      </c>
      <c r="BQ82" s="591" t="inlineStr">
        <is>
          <t>Feb 2054</t>
        </is>
      </c>
      <c r="BR82" s="589" t="inlineStr">
        <is>
          <t>May 2055</t>
        </is>
      </c>
      <c r="BS82" s="589" t="inlineStr">
        <is>
          <t>May 2052</t>
        </is>
      </c>
      <c r="BT82" s="590" t="inlineStr">
        <is>
          <t>Apr 2044</t>
        </is>
      </c>
      <c r="BU82" s="437" t="n"/>
      <c r="BV82" s="437" t="n"/>
      <c r="BW82" s="437" t="n"/>
      <c r="BX82" s="437" t="n"/>
      <c r="BY82" s="437" t="n"/>
      <c r="BZ82" s="437" t="n"/>
      <c r="CA82" s="437" t="n"/>
      <c r="CB82" s="437" t="n"/>
      <c r="CC82" s="437" t="n"/>
      <c r="CD82" s="437" t="n"/>
      <c r="CE82" s="437" t="n"/>
      <c r="CF82" s="437" t="n"/>
      <c r="CG82" s="437" t="n"/>
      <c r="CH82" s="437" t="n"/>
      <c r="CI82" s="437" t="n"/>
      <c r="CJ82" s="437" t="n"/>
      <c r="CK82" s="437" t="n"/>
      <c r="CL82" s="437" t="n"/>
      <c r="CM82" s="437" t="n"/>
      <c r="CN82" s="437" t="n"/>
      <c r="CO82" s="437" t="n"/>
      <c r="CP82" s="437" t="n"/>
      <c r="CQ82" s="437" t="n"/>
      <c r="CR82" s="437" t="n"/>
      <c r="CS82" s="437" t="n"/>
      <c r="CT82" s="437" t="n"/>
      <c r="CU82" s="437" t="n"/>
      <c r="CV82" s="437" t="n"/>
      <c r="CW82" s="437" t="n"/>
      <c r="CX82" s="437" t="n"/>
      <c r="CY82" s="437" t="n"/>
      <c r="CZ82" s="437" t="n"/>
      <c r="DA82" s="437" t="n"/>
      <c r="DB82" s="437" t="n"/>
      <c r="DC82" s="437" t="n"/>
      <c r="DD82" s="437" t="n"/>
      <c r="DE82" s="437" t="n"/>
      <c r="DF82" s="437" t="n"/>
      <c r="DG82" s="437" t="n"/>
      <c r="DH82" s="437" t="n"/>
      <c r="DI82" s="437" t="n"/>
      <c r="DJ82" s="437" t="n"/>
      <c r="DK82" s="437" t="n"/>
      <c r="DL82" s="437" t="n"/>
      <c r="DM82" s="437" t="n"/>
      <c r="DN82" s="437" t="n"/>
      <c r="DO82" s="437" t="n"/>
      <c r="DP82" s="437" t="n"/>
      <c r="DQ82" s="437" t="n"/>
      <c r="DR82" s="437" t="n"/>
      <c r="DS82" s="437" t="n"/>
      <c r="DT82" s="437" t="n"/>
      <c r="DU82" s="437" t="n"/>
      <c r="DV82" s="437" t="n"/>
      <c r="DW82" s="437" t="n"/>
      <c r="DX82" s="437" t="n"/>
      <c r="DY82" s="238" t="n"/>
      <c r="DZ82" s="23" t="n"/>
      <c r="FQ82" s="212" t="n"/>
      <c r="FR82" s="212" t="n"/>
      <c r="FS82" s="212" t="n"/>
      <c r="FT82" s="212" t="n"/>
      <c r="FU82" s="212" t="n"/>
      <c r="FV82" s="212" t="n"/>
      <c r="FW82" s="212" t="n"/>
      <c r="FX82" s="212" t="n"/>
      <c r="FY82" s="212" t="n"/>
      <c r="FZ82" s="212" t="n"/>
    </row>
    <row r="83" ht="39.95" customFormat="1" customHeight="1" s="5">
      <c r="A83" s="182" t="inlineStr"/>
      <c r="B83" s="7" t="inlineStr">
        <is>
          <t>-36 IN</t>
        </is>
      </c>
      <c r="C83" s="456" t="n"/>
      <c r="D83" s="13" t="n"/>
      <c r="H83" s="592" t="n"/>
      <c r="I83" s="593" t="n"/>
      <c r="M83" s="592" t="n"/>
      <c r="N83" s="593" t="n"/>
      <c r="R83" s="592" t="n"/>
      <c r="S83" s="593" t="n"/>
      <c r="W83" s="592" t="n"/>
      <c r="X83" s="593" t="n"/>
      <c r="AB83" s="592" t="n"/>
      <c r="AC83" s="593" t="n"/>
      <c r="AG83" s="592" t="n"/>
      <c r="AH83" s="593" t="n"/>
      <c r="AL83" s="592" t="n"/>
      <c r="AM83" s="593" t="n"/>
      <c r="AQ83" s="592" t="n"/>
      <c r="AR83" s="593" t="n"/>
      <c r="AV83" s="592" t="n"/>
      <c r="AW83" s="593" t="n"/>
      <c r="BA83" s="592" t="n"/>
      <c r="BB83" s="593" t="n"/>
      <c r="BF83" s="592" t="n"/>
      <c r="BG83" s="593" t="n"/>
      <c r="BK83" s="592" t="n"/>
      <c r="BL83" s="593" t="n"/>
      <c r="BP83" s="592" t="n"/>
      <c r="BQ83" s="593" t="n"/>
      <c r="BT83" s="592" t="n"/>
      <c r="BU83" s="437" t="n"/>
      <c r="BV83" s="437" t="n"/>
      <c r="BW83" s="437" t="n"/>
      <c r="BX83" s="437" t="n"/>
      <c r="BY83" s="437" t="n"/>
      <c r="BZ83" s="437" t="n"/>
      <c r="CA83" s="437" t="n"/>
      <c r="CB83" s="437" t="n"/>
      <c r="CC83" s="437" t="n"/>
      <c r="CD83" s="437" t="n"/>
      <c r="CE83" s="437" t="n"/>
      <c r="CF83" s="437" t="n"/>
      <c r="CG83" s="437" t="n"/>
      <c r="CH83" s="437" t="n"/>
      <c r="CI83" s="437" t="n"/>
      <c r="CJ83" s="437" t="n"/>
      <c r="CK83" s="437" t="n"/>
      <c r="CL83" s="437" t="n"/>
      <c r="CM83" s="437" t="n"/>
      <c r="CN83" s="437" t="n"/>
      <c r="CO83" s="437" t="n"/>
      <c r="CP83" s="437" t="n"/>
      <c r="CQ83" s="437" t="n"/>
      <c r="CR83" s="437" t="n"/>
      <c r="CS83" s="437" t="n"/>
      <c r="CT83" s="437" t="n"/>
      <c r="CU83" s="437" t="n"/>
      <c r="CV83" s="437" t="n"/>
      <c r="CW83" s="437" t="n"/>
      <c r="CX83" s="437" t="n"/>
      <c r="CY83" s="437" t="n"/>
      <c r="CZ83" s="437" t="n"/>
      <c r="DA83" s="437" t="n"/>
      <c r="DB83" s="437" t="n"/>
      <c r="DC83" s="437" t="n"/>
      <c r="DD83" s="437" t="n"/>
      <c r="DE83" s="437" t="n"/>
      <c r="DF83" s="437" t="n"/>
      <c r="DG83" s="437" t="n"/>
      <c r="DH83" s="437" t="n"/>
      <c r="DI83" s="437" t="n"/>
      <c r="DJ83" s="437" t="n"/>
      <c r="DK83" s="437" t="n"/>
      <c r="DL83" s="437" t="n"/>
      <c r="DM83" s="437" t="n"/>
      <c r="DN83" s="437" t="n"/>
      <c r="DO83" s="437" t="n"/>
      <c r="DP83" s="437" t="n"/>
      <c r="DQ83" s="437" t="n"/>
      <c r="DR83" s="437" t="n"/>
      <c r="DS83" s="437" t="n"/>
      <c r="DT83" s="437" t="n"/>
      <c r="DU83" s="437" t="n"/>
      <c r="DV83" s="437" t="n"/>
      <c r="DW83" s="437" t="n"/>
      <c r="DX83" s="437" t="n"/>
      <c r="DY83" s="238" t="n"/>
      <c r="DZ83" s="23" t="n"/>
      <c r="FQ83" s="212" t="n"/>
      <c r="FR83" s="212" t="n"/>
      <c r="FS83" s="212" t="n"/>
      <c r="FT83" s="212" t="n"/>
      <c r="FU83" s="212" t="n"/>
      <c r="FV83" s="212" t="n"/>
      <c r="FW83" s="212" t="n"/>
      <c r="FX83" s="212" t="n"/>
      <c r="FY83" s="212" t="n"/>
      <c r="FZ83" s="212" t="n"/>
    </row>
    <row r="84" ht="39.95" customFormat="1" customHeight="1" s="5">
      <c r="A84" s="456" t="n"/>
      <c r="B84" s="8" t="n"/>
      <c r="C84" s="456" t="n"/>
      <c r="D84" s="594" t="n"/>
      <c r="E84" s="595" t="n"/>
      <c r="F84" s="595" t="n"/>
      <c r="G84" s="595" t="n"/>
      <c r="H84" s="596" t="n"/>
      <c r="I84" s="597" t="n"/>
      <c r="J84" s="595" t="n"/>
      <c r="K84" s="595" t="n"/>
      <c r="L84" s="595" t="n"/>
      <c r="M84" s="596" t="n"/>
      <c r="N84" s="597" t="n"/>
      <c r="O84" s="595" t="n"/>
      <c r="P84" s="595" t="n"/>
      <c r="Q84" s="595" t="n"/>
      <c r="R84" s="596" t="n"/>
      <c r="S84" s="597" t="n"/>
      <c r="T84" s="595" t="n"/>
      <c r="U84" s="595" t="n"/>
      <c r="V84" s="595" t="n"/>
      <c r="W84" s="596" t="n"/>
      <c r="X84" s="597" t="n"/>
      <c r="Y84" s="595" t="n"/>
      <c r="Z84" s="595" t="n"/>
      <c r="AA84" s="595" t="n"/>
      <c r="AB84" s="596" t="n"/>
      <c r="AC84" s="597" t="n"/>
      <c r="AD84" s="595" t="n"/>
      <c r="AE84" s="595" t="n"/>
      <c r="AF84" s="595" t="n"/>
      <c r="AG84" s="596" t="n"/>
      <c r="AH84" s="597" t="n"/>
      <c r="AI84" s="595" t="n"/>
      <c r="AJ84" s="595" t="n"/>
      <c r="AK84" s="595" t="n"/>
      <c r="AL84" s="596" t="n"/>
      <c r="AM84" s="597" t="n"/>
      <c r="AN84" s="595" t="n"/>
      <c r="AO84" s="595" t="n"/>
      <c r="AP84" s="595" t="n"/>
      <c r="AQ84" s="596" t="n"/>
      <c r="AR84" s="597" t="n"/>
      <c r="AS84" s="595" t="n"/>
      <c r="AT84" s="595" t="n"/>
      <c r="AU84" s="595" t="n"/>
      <c r="AV84" s="596" t="n"/>
      <c r="AW84" s="597" t="n"/>
      <c r="AX84" s="595" t="n"/>
      <c r="AY84" s="595" t="n"/>
      <c r="AZ84" s="595" t="n"/>
      <c r="BA84" s="596" t="n"/>
      <c r="BB84" s="597" t="n"/>
      <c r="BC84" s="595" t="n"/>
      <c r="BD84" s="595" t="n"/>
      <c r="BE84" s="595" t="n"/>
      <c r="BF84" s="596" t="n"/>
      <c r="BG84" s="597" t="n"/>
      <c r="BH84" s="595" t="n"/>
      <c r="BI84" s="595" t="n"/>
      <c r="BJ84" s="595" t="n"/>
      <c r="BK84" s="596" t="n"/>
      <c r="BL84" s="597" t="n"/>
      <c r="BM84" s="595" t="n"/>
      <c r="BN84" s="595" t="n"/>
      <c r="BO84" s="595" t="n"/>
      <c r="BP84" s="596" t="n"/>
      <c r="BQ84" s="597" t="n"/>
      <c r="BR84" s="595" t="n"/>
      <c r="BS84" s="595" t="n"/>
      <c r="BT84" s="596" t="n"/>
      <c r="BU84" s="437" t="n"/>
      <c r="BV84" s="437" t="n"/>
      <c r="BW84" s="437" t="n"/>
      <c r="BX84" s="437" t="n"/>
      <c r="BY84" s="437" t="n"/>
      <c r="BZ84" s="437" t="n"/>
      <c r="CA84" s="437" t="n"/>
      <c r="CB84" s="437" t="n"/>
      <c r="CC84" s="437" t="n"/>
      <c r="CD84" s="437" t="n"/>
      <c r="CE84" s="437" t="n"/>
      <c r="CF84" s="437" t="n"/>
      <c r="CG84" s="437" t="n"/>
      <c r="CH84" s="437" t="n"/>
      <c r="CI84" s="437" t="n"/>
      <c r="CJ84" s="437" t="n"/>
      <c r="CK84" s="437" t="n"/>
      <c r="CL84" s="437" t="n"/>
      <c r="CM84" s="437" t="n"/>
      <c r="CN84" s="437" t="n"/>
      <c r="CO84" s="437" t="n"/>
      <c r="CP84" s="437" t="n"/>
      <c r="CQ84" s="437" t="n"/>
      <c r="CR84" s="437" t="n"/>
      <c r="CS84" s="437" t="n"/>
      <c r="CT84" s="437" t="n"/>
      <c r="CU84" s="437" t="n"/>
      <c r="CV84" s="437" t="n"/>
      <c r="CW84" s="437" t="n"/>
      <c r="CX84" s="437" t="n"/>
      <c r="CY84" s="437" t="n"/>
      <c r="CZ84" s="437" t="n"/>
      <c r="DA84" s="437" t="n"/>
      <c r="DB84" s="437" t="n"/>
      <c r="DC84" s="437" t="n"/>
      <c r="DD84" s="437" t="n"/>
      <c r="DE84" s="437" t="n"/>
      <c r="DF84" s="437" t="n"/>
      <c r="DG84" s="437" t="n"/>
      <c r="DH84" s="437" t="n"/>
      <c r="DI84" s="437" t="n"/>
      <c r="DJ84" s="437" t="n"/>
      <c r="DK84" s="437" t="n"/>
      <c r="DL84" s="437" t="n"/>
      <c r="DM84" s="437" t="n"/>
      <c r="DN84" s="437" t="n"/>
      <c r="DO84" s="437" t="n"/>
      <c r="DP84" s="437" t="n"/>
      <c r="DQ84" s="437" t="n"/>
      <c r="DR84" s="437" t="n"/>
      <c r="DS84" s="437" t="n"/>
      <c r="DT84" s="437" t="n"/>
      <c r="DU84" s="437" t="n"/>
      <c r="DV84" s="437" t="n"/>
      <c r="DW84" s="437" t="n"/>
      <c r="DX84" s="437" t="n"/>
      <c r="DY84" s="238" t="n"/>
      <c r="DZ84" s="23" t="n"/>
      <c r="FQ84" s="212" t="n"/>
      <c r="FR84" s="212" t="n"/>
      <c r="FS84" s="212" t="n"/>
      <c r="FT84" s="212" t="n"/>
      <c r="FU84" s="212" t="n"/>
      <c r="FV84" s="212" t="n"/>
      <c r="FW84" s="212" t="n"/>
      <c r="FX84" s="212" t="n"/>
      <c r="FY84" s="212" t="n"/>
      <c r="FZ84" s="212" t="n"/>
    </row>
    <row r="85" ht="39.95" customFormat="1" customHeight="1" s="5">
      <c r="A85" s="10" t="inlineStr">
        <is>
          <t>A</t>
        </is>
      </c>
      <c r="B85" s="6" t="n"/>
      <c r="C85" s="351" t="inlineStr">
        <is>
          <t>Year</t>
        </is>
      </c>
      <c r="D85" s="588" t="inlineStr">
        <is>
          <t>Nov 2032</t>
        </is>
      </c>
      <c r="E85" s="589" t="inlineStr">
        <is>
          <t>May 2055</t>
        </is>
      </c>
      <c r="F85" s="589" t="inlineStr">
        <is>
          <t>Dec 2046</t>
        </is>
      </c>
      <c r="G85" s="589" t="inlineStr">
        <is>
          <t>ND</t>
        </is>
      </c>
      <c r="H85" s="590" t="inlineStr">
        <is>
          <t>ND</t>
        </is>
      </c>
      <c r="I85" s="591" t="inlineStr">
        <is>
          <t>May 2055</t>
        </is>
      </c>
      <c r="J85" s="589" t="inlineStr">
        <is>
          <t>May 2055</t>
        </is>
      </c>
      <c r="K85" s="589" t="inlineStr">
        <is>
          <t>May 2055</t>
        </is>
      </c>
      <c r="L85" s="589" t="inlineStr">
        <is>
          <t>May 2055</t>
        </is>
      </c>
      <c r="M85" s="590" t="inlineStr">
        <is>
          <t>May 2055</t>
        </is>
      </c>
      <c r="N85" s="591" t="inlineStr">
        <is>
          <t>May 2055</t>
        </is>
      </c>
      <c r="O85" s="589" t="inlineStr">
        <is>
          <t>May 2055</t>
        </is>
      </c>
      <c r="P85" s="589" t="inlineStr">
        <is>
          <t>May 2055</t>
        </is>
      </c>
      <c r="Q85" s="589" t="inlineStr">
        <is>
          <t>May 2055</t>
        </is>
      </c>
      <c r="R85" s="590" t="inlineStr">
        <is>
          <t>May 2055</t>
        </is>
      </c>
      <c r="S85" s="591" t="inlineStr">
        <is>
          <t>May 2055</t>
        </is>
      </c>
      <c r="T85" s="589" t="inlineStr">
        <is>
          <t>May 2055</t>
        </is>
      </c>
      <c r="U85" s="589" t="inlineStr">
        <is>
          <t>May 2055</t>
        </is>
      </c>
      <c r="V85" s="589" t="inlineStr">
        <is>
          <t>May 2055</t>
        </is>
      </c>
      <c r="W85" s="590" t="inlineStr">
        <is>
          <t>May 2055</t>
        </is>
      </c>
      <c r="X85" s="591" t="inlineStr">
        <is>
          <t>May 2055</t>
        </is>
      </c>
      <c r="Y85" s="589" t="inlineStr">
        <is>
          <t>May 2055</t>
        </is>
      </c>
      <c r="Z85" s="589" t="inlineStr">
        <is>
          <t>May 2055</t>
        </is>
      </c>
      <c r="AA85" s="589" t="inlineStr">
        <is>
          <t>May 2055</t>
        </is>
      </c>
      <c r="AB85" s="590" t="inlineStr">
        <is>
          <t>May 2055</t>
        </is>
      </c>
      <c r="AC85" s="591" t="inlineStr">
        <is>
          <t>May 2055</t>
        </is>
      </c>
      <c r="AD85" s="589" t="inlineStr">
        <is>
          <t>May 2055</t>
        </is>
      </c>
      <c r="AE85" s="589" t="inlineStr">
        <is>
          <t>May 2055</t>
        </is>
      </c>
      <c r="AF85" s="589" t="inlineStr">
        <is>
          <t>May 2055</t>
        </is>
      </c>
      <c r="AG85" s="590" t="inlineStr">
        <is>
          <t>May 2055</t>
        </is>
      </c>
      <c r="AH85" s="591" t="inlineStr">
        <is>
          <t>May 2055</t>
        </is>
      </c>
      <c r="AI85" s="589" t="inlineStr">
        <is>
          <t>May 2055</t>
        </is>
      </c>
      <c r="AJ85" s="589" t="inlineStr">
        <is>
          <t>Feb 2047</t>
        </is>
      </c>
      <c r="AK85" s="589" t="inlineStr">
        <is>
          <t>May 2055</t>
        </is>
      </c>
      <c r="AL85" s="590" t="inlineStr">
        <is>
          <t>May 2055</t>
        </is>
      </c>
      <c r="AM85" s="591" t="inlineStr">
        <is>
          <t>Apr 2045</t>
        </is>
      </c>
      <c r="AN85" s="589" t="inlineStr">
        <is>
          <t>May 2055</t>
        </is>
      </c>
      <c r="AO85" s="589" t="inlineStr">
        <is>
          <t>May 2055</t>
        </is>
      </c>
      <c r="AP85" s="589" t="inlineStr">
        <is>
          <t>May 2055</t>
        </is>
      </c>
      <c r="AQ85" s="590" t="inlineStr">
        <is>
          <t>ND</t>
        </is>
      </c>
      <c r="AR85" s="591" t="inlineStr">
        <is>
          <t>May 2055</t>
        </is>
      </c>
      <c r="AS85" s="589" t="inlineStr">
        <is>
          <t>May 2055</t>
        </is>
      </c>
      <c r="AT85" s="589" t="inlineStr">
        <is>
          <t>ND</t>
        </is>
      </c>
      <c r="AU85" s="589" t="inlineStr">
        <is>
          <t>ND</t>
        </is>
      </c>
      <c r="AV85" s="590" t="inlineStr">
        <is>
          <t>Oct 2054</t>
        </is>
      </c>
      <c r="AW85" s="591" t="inlineStr">
        <is>
          <t>May 2055</t>
        </is>
      </c>
      <c r="AX85" s="589" t="inlineStr">
        <is>
          <t>May 2055</t>
        </is>
      </c>
      <c r="AY85" s="589" t="inlineStr">
        <is>
          <t>May 2055</t>
        </is>
      </c>
      <c r="AZ85" s="589" t="inlineStr">
        <is>
          <t>May 2055</t>
        </is>
      </c>
      <c r="BA85" s="590" t="inlineStr">
        <is>
          <t>ND</t>
        </is>
      </c>
      <c r="BB85" s="591" t="inlineStr">
        <is>
          <t>May 2055</t>
        </is>
      </c>
      <c r="BC85" s="589" t="inlineStr">
        <is>
          <t>May 2055</t>
        </is>
      </c>
      <c r="BD85" s="589" t="inlineStr">
        <is>
          <t>May 2055</t>
        </is>
      </c>
      <c r="BE85" s="589" t="inlineStr">
        <is>
          <t>May 2055</t>
        </is>
      </c>
      <c r="BF85" s="590" t="inlineStr">
        <is>
          <t>May 2055</t>
        </is>
      </c>
      <c r="BG85" s="591" t="inlineStr">
        <is>
          <t>May 2055</t>
        </is>
      </c>
      <c r="BH85" s="589" t="inlineStr">
        <is>
          <t>May 2055</t>
        </is>
      </c>
      <c r="BI85" s="589" t="inlineStr">
        <is>
          <t>May 2055</t>
        </is>
      </c>
      <c r="BJ85" s="589" t="inlineStr">
        <is>
          <t>May 2055</t>
        </is>
      </c>
      <c r="BK85" s="590" t="inlineStr">
        <is>
          <t>May 2055</t>
        </is>
      </c>
      <c r="BL85" s="591" t="inlineStr">
        <is>
          <t>May 2055</t>
        </is>
      </c>
      <c r="BM85" s="589" t="inlineStr">
        <is>
          <t>Apr 2051</t>
        </is>
      </c>
      <c r="BN85" s="589" t="inlineStr">
        <is>
          <t>May 2055</t>
        </is>
      </c>
      <c r="BO85" s="589" t="inlineStr">
        <is>
          <t>May 2055</t>
        </is>
      </c>
      <c r="BP85" s="590" t="inlineStr">
        <is>
          <t>May 2055</t>
        </is>
      </c>
      <c r="BQ85" s="591" t="inlineStr">
        <is>
          <t>Jul 2050</t>
        </is>
      </c>
      <c r="BR85" s="589" t="inlineStr">
        <is>
          <t>May 2055</t>
        </is>
      </c>
      <c r="BS85" s="589" t="inlineStr">
        <is>
          <t>May 2055</t>
        </is>
      </c>
      <c r="BT85" s="590" t="inlineStr">
        <is>
          <t>May 2055</t>
        </is>
      </c>
      <c r="BU85" s="437" t="n"/>
      <c r="BV85" s="437" t="n"/>
      <c r="BW85" s="437" t="n"/>
      <c r="BX85" s="437" t="n"/>
      <c r="BY85" s="437" t="n"/>
      <c r="BZ85" s="437" t="n"/>
      <c r="CA85" s="437" t="n"/>
      <c r="CB85" s="437" t="n"/>
      <c r="CC85" s="437" t="n"/>
      <c r="CD85" s="437" t="n"/>
      <c r="CE85" s="437" t="n"/>
      <c r="CF85" s="437" t="n"/>
      <c r="CG85" s="437" t="n"/>
      <c r="CH85" s="437" t="n"/>
      <c r="CI85" s="437" t="n"/>
      <c r="CJ85" s="437" t="n"/>
      <c r="CK85" s="437" t="n"/>
      <c r="CL85" s="437" t="n"/>
      <c r="CM85" s="437" t="n"/>
      <c r="CN85" s="437" t="n"/>
      <c r="CO85" s="437" t="n"/>
      <c r="CP85" s="437" t="n"/>
      <c r="CQ85" s="437" t="n"/>
      <c r="CR85" s="437" t="n"/>
      <c r="CS85" s="437" t="n"/>
      <c r="CT85" s="437" t="n"/>
      <c r="CU85" s="437" t="n"/>
      <c r="CV85" s="437" t="n"/>
      <c r="CW85" s="437" t="n"/>
      <c r="CX85" s="437" t="n"/>
      <c r="CY85" s="437" t="n"/>
      <c r="CZ85" s="437" t="n"/>
      <c r="DA85" s="437" t="n"/>
      <c r="DB85" s="437" t="n"/>
      <c r="DC85" s="437" t="n"/>
      <c r="DD85" s="437" t="n"/>
      <c r="DE85" s="437" t="n"/>
      <c r="DF85" s="437" t="n"/>
      <c r="DG85" s="437" t="n"/>
      <c r="DH85" s="437" t="n"/>
      <c r="DI85" s="437" t="n"/>
      <c r="DJ85" s="437" t="n"/>
      <c r="DK85" s="437" t="n"/>
      <c r="DL85" s="437" t="n"/>
      <c r="DM85" s="437" t="n"/>
      <c r="DN85" s="437" t="n"/>
      <c r="DO85" s="437" t="n"/>
      <c r="DP85" s="437" t="n"/>
      <c r="DQ85" s="437" t="n"/>
      <c r="DR85" s="437" t="n"/>
      <c r="DS85" s="437" t="n"/>
      <c r="DT85" s="437" t="n"/>
      <c r="DU85" s="437" t="n"/>
      <c r="DV85" s="437" t="n"/>
      <c r="DW85" s="437" t="n"/>
      <c r="DX85" s="437" t="n"/>
      <c r="DY85" s="238" t="n"/>
      <c r="DZ85" s="23" t="n"/>
      <c r="FQ85" s="212" t="n"/>
      <c r="FR85" s="212" t="n"/>
      <c r="FS85" s="212" t="n"/>
      <c r="FT85" s="212" t="n"/>
      <c r="FU85" s="212" t="n"/>
      <c r="FV85" s="212" t="n"/>
      <c r="FW85" s="212" t="n"/>
      <c r="FX85" s="212" t="n"/>
      <c r="FY85" s="212" t="n"/>
      <c r="FZ85" s="212" t="n"/>
    </row>
    <row r="86" ht="39.95" customFormat="1" customHeight="1" s="5">
      <c r="A86" s="182" t="inlineStr"/>
      <c r="B86" s="7" t="inlineStr">
        <is>
          <t>-45 IN</t>
        </is>
      </c>
      <c r="C86" s="456" t="n"/>
      <c r="D86" s="13" t="n"/>
      <c r="H86" s="592" t="n"/>
      <c r="I86" s="593" t="n"/>
      <c r="M86" s="592" t="n"/>
      <c r="N86" s="593" t="n"/>
      <c r="R86" s="592" t="n"/>
      <c r="S86" s="593" t="n"/>
      <c r="W86" s="592" t="n"/>
      <c r="X86" s="593" t="n"/>
      <c r="AB86" s="592" t="n"/>
      <c r="AC86" s="593" t="n"/>
      <c r="AG86" s="592" t="n"/>
      <c r="AH86" s="593" t="n"/>
      <c r="AL86" s="592" t="n"/>
      <c r="AM86" s="593" t="n"/>
      <c r="AQ86" s="592" t="n"/>
      <c r="AR86" s="593" t="n"/>
      <c r="AV86" s="592" t="n"/>
      <c r="AW86" s="593" t="n"/>
      <c r="BA86" s="592" t="n"/>
      <c r="BB86" s="593" t="n"/>
      <c r="BF86" s="592" t="n"/>
      <c r="BG86" s="593" t="n"/>
      <c r="BK86" s="592" t="n"/>
      <c r="BL86" s="593" t="n"/>
      <c r="BP86" s="592" t="n"/>
      <c r="BQ86" s="593" t="n"/>
      <c r="BT86" s="592" t="n"/>
      <c r="BU86" s="437" t="n"/>
      <c r="BV86" s="437" t="n"/>
      <c r="BW86" s="437" t="n"/>
      <c r="BX86" s="437" t="n"/>
      <c r="BY86" s="437" t="n"/>
      <c r="BZ86" s="437" t="n"/>
      <c r="CA86" s="437" t="n"/>
      <c r="CB86" s="437" t="n"/>
      <c r="CC86" s="437" t="n"/>
      <c r="CD86" s="437" t="n"/>
      <c r="CE86" s="437" t="n"/>
      <c r="CF86" s="437" t="n"/>
      <c r="CG86" s="437" t="n"/>
      <c r="CH86" s="437" t="n"/>
      <c r="CI86" s="437" t="n"/>
      <c r="CJ86" s="437" t="n"/>
      <c r="CK86" s="437" t="n"/>
      <c r="CL86" s="437" t="n"/>
      <c r="CM86" s="437" t="n"/>
      <c r="CN86" s="437" t="n"/>
      <c r="CO86" s="437" t="n"/>
      <c r="CP86" s="437" t="n"/>
      <c r="CQ86" s="437" t="n"/>
      <c r="CR86" s="437" t="n"/>
      <c r="CS86" s="437" t="n"/>
      <c r="CT86" s="437" t="n"/>
      <c r="CU86" s="437" t="n"/>
      <c r="CV86" s="437" t="n"/>
      <c r="CW86" s="437" t="n"/>
      <c r="CX86" s="437" t="n"/>
      <c r="CY86" s="437" t="n"/>
      <c r="CZ86" s="437" t="n"/>
      <c r="DA86" s="437" t="n"/>
      <c r="DB86" s="437" t="n"/>
      <c r="DC86" s="437" t="n"/>
      <c r="DD86" s="437" t="n"/>
      <c r="DE86" s="437" t="n"/>
      <c r="DF86" s="437" t="n"/>
      <c r="DG86" s="437" t="n"/>
      <c r="DH86" s="437" t="n"/>
      <c r="DI86" s="437" t="n"/>
      <c r="DJ86" s="437" t="n"/>
      <c r="DK86" s="437" t="n"/>
      <c r="DL86" s="437" t="n"/>
      <c r="DM86" s="437" t="n"/>
      <c r="DN86" s="437" t="n"/>
      <c r="DO86" s="437" t="n"/>
      <c r="DP86" s="437" t="n"/>
      <c r="DQ86" s="437" t="n"/>
      <c r="DR86" s="437" t="n"/>
      <c r="DS86" s="437" t="n"/>
      <c r="DT86" s="437" t="n"/>
      <c r="DU86" s="437" t="n"/>
      <c r="DV86" s="437" t="n"/>
      <c r="DW86" s="437" t="n"/>
      <c r="DX86" s="437" t="n"/>
      <c r="DY86" s="238" t="n"/>
      <c r="DZ86" s="23" t="n"/>
      <c r="FQ86" s="212" t="n"/>
      <c r="FR86" s="212" t="n"/>
      <c r="FS86" s="212" t="n"/>
      <c r="FT86" s="212" t="n"/>
      <c r="FU86" s="212" t="n"/>
      <c r="FV86" s="212" t="n"/>
      <c r="FW86" s="212" t="n"/>
      <c r="FX86" s="212" t="n"/>
      <c r="FY86" s="212" t="n"/>
      <c r="FZ86" s="212" t="n"/>
    </row>
    <row r="87" ht="39.95" customFormat="1" customHeight="1" s="5">
      <c r="A87" s="456" t="n"/>
      <c r="B87" s="8" t="n"/>
      <c r="C87" s="456" t="n"/>
      <c r="D87" s="594" t="n"/>
      <c r="E87" s="595" t="n"/>
      <c r="F87" s="595" t="n"/>
      <c r="G87" s="595" t="n"/>
      <c r="H87" s="596" t="n"/>
      <c r="I87" s="597" t="n"/>
      <c r="J87" s="595" t="n"/>
      <c r="K87" s="595" t="n"/>
      <c r="L87" s="595" t="n"/>
      <c r="M87" s="596" t="n"/>
      <c r="N87" s="597" t="n"/>
      <c r="O87" s="595" t="n"/>
      <c r="P87" s="595" t="n"/>
      <c r="Q87" s="595" t="n"/>
      <c r="R87" s="596" t="n"/>
      <c r="S87" s="597" t="n"/>
      <c r="T87" s="595" t="n"/>
      <c r="U87" s="595" t="n"/>
      <c r="V87" s="595" t="n"/>
      <c r="W87" s="596" t="n"/>
      <c r="X87" s="597" t="n"/>
      <c r="Y87" s="595" t="n"/>
      <c r="Z87" s="595" t="n"/>
      <c r="AA87" s="595" t="n"/>
      <c r="AB87" s="596" t="n"/>
      <c r="AC87" s="597" t="n"/>
      <c r="AD87" s="595" t="n"/>
      <c r="AE87" s="595" t="n"/>
      <c r="AF87" s="595" t="n"/>
      <c r="AG87" s="596" t="n"/>
      <c r="AH87" s="597" t="n"/>
      <c r="AI87" s="595" t="n"/>
      <c r="AJ87" s="595" t="n"/>
      <c r="AK87" s="595" t="n"/>
      <c r="AL87" s="596" t="n"/>
      <c r="AM87" s="597" t="n"/>
      <c r="AN87" s="595" t="n"/>
      <c r="AO87" s="595" t="n"/>
      <c r="AP87" s="595" t="n"/>
      <c r="AQ87" s="596" t="n"/>
      <c r="AR87" s="597" t="n"/>
      <c r="AS87" s="595" t="n"/>
      <c r="AT87" s="595" t="n"/>
      <c r="AU87" s="595" t="n"/>
      <c r="AV87" s="596" t="n"/>
      <c r="AW87" s="597" t="n"/>
      <c r="AX87" s="595" t="n"/>
      <c r="AY87" s="595" t="n"/>
      <c r="AZ87" s="595" t="n"/>
      <c r="BA87" s="596" t="n"/>
      <c r="BB87" s="597" t="n"/>
      <c r="BC87" s="595" t="n"/>
      <c r="BD87" s="595" t="n"/>
      <c r="BE87" s="595" t="n"/>
      <c r="BF87" s="596" t="n"/>
      <c r="BG87" s="597" t="n"/>
      <c r="BH87" s="595" t="n"/>
      <c r="BI87" s="595" t="n"/>
      <c r="BJ87" s="595" t="n"/>
      <c r="BK87" s="596" t="n"/>
      <c r="BL87" s="597" t="n"/>
      <c r="BM87" s="595" t="n"/>
      <c r="BN87" s="595" t="n"/>
      <c r="BO87" s="595" t="n"/>
      <c r="BP87" s="596" t="n"/>
      <c r="BQ87" s="597" t="n"/>
      <c r="BR87" s="595" t="n"/>
      <c r="BS87" s="595" t="n"/>
      <c r="BT87" s="596" t="n"/>
      <c r="BU87" s="437" t="n"/>
      <c r="BV87" s="437" t="n"/>
      <c r="BW87" s="437" t="n"/>
      <c r="BX87" s="437" t="n"/>
      <c r="BY87" s="437" t="n"/>
      <c r="BZ87" s="437" t="n"/>
      <c r="CA87" s="437" t="n"/>
      <c r="CB87" s="437" t="n"/>
      <c r="CC87" s="437" t="n"/>
      <c r="CD87" s="437" t="n"/>
      <c r="CE87" s="437" t="n"/>
      <c r="CF87" s="437" t="n"/>
      <c r="CG87" s="437" t="n"/>
      <c r="CH87" s="437" t="n"/>
      <c r="CI87" s="437" t="n"/>
      <c r="CJ87" s="437" t="n"/>
      <c r="CK87" s="437" t="n"/>
      <c r="CL87" s="437" t="n"/>
      <c r="CM87" s="437" t="n"/>
      <c r="CN87" s="437" t="n"/>
      <c r="CO87" s="437" t="n"/>
      <c r="CP87" s="437" t="n"/>
      <c r="CQ87" s="437" t="n"/>
      <c r="CR87" s="437" t="n"/>
      <c r="CS87" s="437" t="n"/>
      <c r="CT87" s="437" t="n"/>
      <c r="CU87" s="437" t="n"/>
      <c r="CV87" s="437" t="n"/>
      <c r="CW87" s="437" t="n"/>
      <c r="CX87" s="437" t="n"/>
      <c r="CY87" s="437" t="n"/>
      <c r="CZ87" s="437" t="n"/>
      <c r="DA87" s="437" t="n"/>
      <c r="DB87" s="437" t="n"/>
      <c r="DC87" s="437" t="n"/>
      <c r="DD87" s="437" t="n"/>
      <c r="DE87" s="437" t="n"/>
      <c r="DF87" s="437" t="n"/>
      <c r="DG87" s="437" t="n"/>
      <c r="DH87" s="437" t="n"/>
      <c r="DI87" s="437" t="n"/>
      <c r="DJ87" s="437" t="n"/>
      <c r="DK87" s="437" t="n"/>
      <c r="DL87" s="437" t="n"/>
      <c r="DM87" s="437" t="n"/>
      <c r="DN87" s="437" t="n"/>
      <c r="DO87" s="437" t="n"/>
      <c r="DP87" s="437" t="n"/>
      <c r="DQ87" s="437" t="n"/>
      <c r="DR87" s="437" t="n"/>
      <c r="DS87" s="437" t="n"/>
      <c r="DT87" s="437" t="n"/>
      <c r="DU87" s="437" t="n"/>
      <c r="DV87" s="437" t="n"/>
      <c r="DW87" s="437" t="n"/>
      <c r="DX87" s="437" t="n"/>
      <c r="DY87" s="238" t="n"/>
      <c r="DZ87" s="23" t="n"/>
      <c r="FQ87" s="212" t="n"/>
      <c r="FR87" s="212" t="n"/>
      <c r="FS87" s="212" t="n"/>
      <c r="FT87" s="212" t="n"/>
      <c r="FU87" s="212" t="n"/>
      <c r="FV87" s="212" t="n"/>
      <c r="FW87" s="212" t="n"/>
      <c r="FX87" s="212" t="n"/>
      <c r="FY87" s="212" t="n"/>
      <c r="FZ87" s="212" t="n"/>
    </row>
    <row r="88" ht="39.95" customFormat="1" customHeight="1" s="5">
      <c r="A88" s="10" t="inlineStr">
        <is>
          <t>A</t>
        </is>
      </c>
      <c r="B88" s="6" t="n"/>
      <c r="C88" s="351" t="inlineStr">
        <is>
          <t>Year</t>
        </is>
      </c>
      <c r="D88" s="588" t="inlineStr">
        <is>
          <t>ND</t>
        </is>
      </c>
      <c r="E88" s="589" t="inlineStr">
        <is>
          <t>May 2055</t>
        </is>
      </c>
      <c r="F88" s="589" t="inlineStr">
        <is>
          <t>ND</t>
        </is>
      </c>
      <c r="G88" s="589" t="inlineStr">
        <is>
          <t>May 2055</t>
        </is>
      </c>
      <c r="H88" s="590" t="inlineStr">
        <is>
          <t>ND</t>
        </is>
      </c>
      <c r="I88" s="591" t="inlineStr">
        <is>
          <t>May 2055</t>
        </is>
      </c>
      <c r="J88" s="589" t="inlineStr">
        <is>
          <t>May 2055</t>
        </is>
      </c>
      <c r="K88" s="589" t="inlineStr">
        <is>
          <t>May 2055</t>
        </is>
      </c>
      <c r="L88" s="589" t="inlineStr">
        <is>
          <t>May 2055</t>
        </is>
      </c>
      <c r="M88" s="590" t="inlineStr">
        <is>
          <t>May 2055</t>
        </is>
      </c>
      <c r="N88" s="591" t="inlineStr">
        <is>
          <t>May 2055</t>
        </is>
      </c>
      <c r="O88" s="589" t="inlineStr">
        <is>
          <t>May 2055</t>
        </is>
      </c>
      <c r="P88" s="589" t="inlineStr">
        <is>
          <t>May 2055</t>
        </is>
      </c>
      <c r="Q88" s="589" t="inlineStr">
        <is>
          <t>May 2055</t>
        </is>
      </c>
      <c r="R88" s="590" t="inlineStr">
        <is>
          <t>May 2055</t>
        </is>
      </c>
      <c r="S88" s="591" t="inlineStr">
        <is>
          <t>May 2055</t>
        </is>
      </c>
      <c r="T88" s="589" t="inlineStr">
        <is>
          <t>May 2055</t>
        </is>
      </c>
      <c r="U88" s="589" t="inlineStr">
        <is>
          <t>May 2055</t>
        </is>
      </c>
      <c r="V88" s="589" t="inlineStr">
        <is>
          <t>May 2055</t>
        </is>
      </c>
      <c r="W88" s="590" t="inlineStr">
        <is>
          <t>May 2055</t>
        </is>
      </c>
      <c r="X88" s="591" t="inlineStr">
        <is>
          <t>May 2055</t>
        </is>
      </c>
      <c r="Y88" s="589" t="inlineStr">
        <is>
          <t>May 2055</t>
        </is>
      </c>
      <c r="Z88" s="589" t="inlineStr">
        <is>
          <t>May 2055</t>
        </is>
      </c>
      <c r="AA88" s="589" t="inlineStr">
        <is>
          <t>May 2055</t>
        </is>
      </c>
      <c r="AB88" s="590" t="inlineStr">
        <is>
          <t>May 2055</t>
        </is>
      </c>
      <c r="AC88" s="591" t="inlineStr">
        <is>
          <t>ND</t>
        </is>
      </c>
      <c r="AD88" s="589" t="inlineStr">
        <is>
          <t>May 2055</t>
        </is>
      </c>
      <c r="AE88" s="589" t="inlineStr">
        <is>
          <t>May 2055</t>
        </is>
      </c>
      <c r="AF88" s="589" t="inlineStr">
        <is>
          <t>May 2055</t>
        </is>
      </c>
      <c r="AG88" s="590" t="inlineStr">
        <is>
          <t>May 2055</t>
        </is>
      </c>
      <c r="AH88" s="591" t="inlineStr">
        <is>
          <t>May 2055</t>
        </is>
      </c>
      <c r="AI88" s="589" t="inlineStr">
        <is>
          <t>Oct 2045</t>
        </is>
      </c>
      <c r="AJ88" s="589" t="inlineStr">
        <is>
          <t>May 2055</t>
        </is>
      </c>
      <c r="AK88" s="589" t="inlineStr">
        <is>
          <t>May 2055</t>
        </is>
      </c>
      <c r="AL88" s="590" t="inlineStr">
        <is>
          <t>May 2055</t>
        </is>
      </c>
      <c r="AM88" s="591" t="inlineStr">
        <is>
          <t>May 2055</t>
        </is>
      </c>
      <c r="AN88" s="589" t="inlineStr">
        <is>
          <t>ND</t>
        </is>
      </c>
      <c r="AO88" s="589" t="inlineStr">
        <is>
          <t>ND</t>
        </is>
      </c>
      <c r="AP88" s="589" t="inlineStr">
        <is>
          <t>May 2055</t>
        </is>
      </c>
      <c r="AQ88" s="590" t="inlineStr">
        <is>
          <t>May 2055</t>
        </is>
      </c>
      <c r="AR88" s="591" t="inlineStr">
        <is>
          <t>May 2055</t>
        </is>
      </c>
      <c r="AS88" s="589" t="inlineStr">
        <is>
          <t>May 2055</t>
        </is>
      </c>
      <c r="AT88" s="589" t="inlineStr">
        <is>
          <t>ND</t>
        </is>
      </c>
      <c r="AU88" s="589" t="inlineStr">
        <is>
          <t>May 2055</t>
        </is>
      </c>
      <c r="AV88" s="590" t="inlineStr">
        <is>
          <t>May 2055</t>
        </is>
      </c>
      <c r="AW88" s="591" t="inlineStr">
        <is>
          <t>May 2055</t>
        </is>
      </c>
      <c r="AX88" s="589" t="inlineStr">
        <is>
          <t>Jan 2054</t>
        </is>
      </c>
      <c r="AY88" s="589" t="inlineStr">
        <is>
          <t>Aug 2051</t>
        </is>
      </c>
      <c r="AZ88" s="589" t="inlineStr">
        <is>
          <t>ND</t>
        </is>
      </c>
      <c r="BA88" s="590" t="inlineStr">
        <is>
          <t>May 2055</t>
        </is>
      </c>
      <c r="BB88" s="591" t="inlineStr">
        <is>
          <t>May 2055</t>
        </is>
      </c>
      <c r="BC88" s="589" t="inlineStr">
        <is>
          <t>May 2055</t>
        </is>
      </c>
      <c r="BD88" s="589" t="inlineStr">
        <is>
          <t>May 2055</t>
        </is>
      </c>
      <c r="BE88" s="589" t="inlineStr">
        <is>
          <t>May 2055</t>
        </is>
      </c>
      <c r="BF88" s="590" t="inlineStr">
        <is>
          <t>May 2055</t>
        </is>
      </c>
      <c r="BG88" s="591" t="inlineStr">
        <is>
          <t>May 2055</t>
        </is>
      </c>
      <c r="BH88" s="589" t="inlineStr">
        <is>
          <t>May 2055</t>
        </is>
      </c>
      <c r="BI88" s="589" t="inlineStr">
        <is>
          <t>May 2055</t>
        </is>
      </c>
      <c r="BJ88" s="589" t="inlineStr">
        <is>
          <t>May 2055</t>
        </is>
      </c>
      <c r="BK88" s="590" t="inlineStr">
        <is>
          <t>May 2055</t>
        </is>
      </c>
      <c r="BL88" s="591" t="inlineStr">
        <is>
          <t>Mar 2048</t>
        </is>
      </c>
      <c r="BM88" s="589" t="inlineStr">
        <is>
          <t>Sep 2049</t>
        </is>
      </c>
      <c r="BN88" s="589" t="inlineStr">
        <is>
          <t>May 2055</t>
        </is>
      </c>
      <c r="BO88" s="589" t="inlineStr">
        <is>
          <t>Oct 2054</t>
        </is>
      </c>
      <c r="BP88" s="590" t="inlineStr">
        <is>
          <t>Apr 2039</t>
        </is>
      </c>
      <c r="BQ88" s="591" t="inlineStr">
        <is>
          <t>Sep 2042</t>
        </is>
      </c>
      <c r="BR88" s="589" t="inlineStr">
        <is>
          <t>Jan 2051</t>
        </is>
      </c>
      <c r="BS88" s="589" t="inlineStr">
        <is>
          <t>Nov 2054</t>
        </is>
      </c>
      <c r="BT88" s="590" t="inlineStr">
        <is>
          <t>May 2055</t>
        </is>
      </c>
      <c r="BU88" s="437" t="n"/>
      <c r="BV88" s="437" t="n"/>
      <c r="BW88" s="437" t="n"/>
      <c r="BX88" s="437" t="n"/>
      <c r="BY88" s="437" t="n"/>
      <c r="BZ88" s="437" t="n"/>
      <c r="CA88" s="437" t="n"/>
      <c r="CB88" s="437" t="n"/>
      <c r="CC88" s="437" t="n"/>
      <c r="CD88" s="437" t="n"/>
      <c r="CE88" s="437" t="n"/>
      <c r="CF88" s="437" t="n"/>
      <c r="CG88" s="437" t="n"/>
      <c r="CH88" s="437" t="n"/>
      <c r="CI88" s="437" t="n"/>
      <c r="CJ88" s="437" t="n"/>
      <c r="CK88" s="437" t="n"/>
      <c r="CL88" s="437" t="n"/>
      <c r="CM88" s="437" t="n"/>
      <c r="CN88" s="437" t="n"/>
      <c r="CO88" s="437" t="n"/>
      <c r="CP88" s="437" t="n"/>
      <c r="CQ88" s="437" t="n"/>
      <c r="CR88" s="437" t="n"/>
      <c r="CS88" s="437" t="n"/>
      <c r="CT88" s="437" t="n"/>
      <c r="CU88" s="437" t="n"/>
      <c r="CV88" s="437" t="n"/>
      <c r="CW88" s="437" t="n"/>
      <c r="CX88" s="437" t="n"/>
      <c r="CY88" s="437" t="n"/>
      <c r="CZ88" s="437" t="n"/>
      <c r="DA88" s="437" t="n"/>
      <c r="DB88" s="437" t="n"/>
      <c r="DC88" s="437" t="n"/>
      <c r="DD88" s="437" t="n"/>
      <c r="DE88" s="437" t="n"/>
      <c r="DF88" s="437" t="n"/>
      <c r="DG88" s="437" t="n"/>
      <c r="DH88" s="437" t="n"/>
      <c r="DI88" s="437" t="n"/>
      <c r="DJ88" s="437" t="n"/>
      <c r="DK88" s="437" t="n"/>
      <c r="DL88" s="437" t="n"/>
      <c r="DM88" s="437" t="n"/>
      <c r="DN88" s="437" t="n"/>
      <c r="DO88" s="437" t="n"/>
      <c r="DP88" s="437" t="n"/>
      <c r="DQ88" s="437" t="n"/>
      <c r="DR88" s="437" t="n"/>
      <c r="DS88" s="437" t="n"/>
      <c r="DT88" s="437" t="n"/>
      <c r="DU88" s="437" t="n"/>
      <c r="DV88" s="437" t="n"/>
      <c r="DW88" s="437" t="n"/>
      <c r="DX88" s="437" t="n"/>
      <c r="DY88" s="238" t="n"/>
      <c r="DZ88" s="23" t="n"/>
      <c r="FQ88" s="212" t="n"/>
      <c r="FR88" s="212" t="n"/>
      <c r="FS88" s="212" t="n"/>
      <c r="FT88" s="212" t="n"/>
      <c r="FU88" s="212" t="n"/>
      <c r="FV88" s="212" t="n"/>
      <c r="FW88" s="212" t="n"/>
      <c r="FX88" s="212" t="n"/>
      <c r="FY88" s="212" t="n"/>
      <c r="FZ88" s="212" t="n"/>
    </row>
    <row r="89" ht="39.95" customFormat="1" customHeight="1" s="5">
      <c r="A89" s="182" t="inlineStr"/>
      <c r="B89" s="7" t="inlineStr">
        <is>
          <t>-54 IN</t>
        </is>
      </c>
      <c r="C89" s="456" t="n"/>
      <c r="D89" s="13" t="n"/>
      <c r="H89" s="592" t="n"/>
      <c r="I89" s="593" t="n"/>
      <c r="M89" s="592" t="n"/>
      <c r="N89" s="593" t="n"/>
      <c r="R89" s="592" t="n"/>
      <c r="S89" s="593" t="n"/>
      <c r="W89" s="592" t="n"/>
      <c r="X89" s="593" t="n"/>
      <c r="AB89" s="592" t="n"/>
      <c r="AC89" s="593" t="n"/>
      <c r="AG89" s="592" t="n"/>
      <c r="AH89" s="593" t="n"/>
      <c r="AL89" s="592" t="n"/>
      <c r="AM89" s="593" t="n"/>
      <c r="AQ89" s="592" t="n"/>
      <c r="AR89" s="593" t="n"/>
      <c r="AV89" s="592" t="n"/>
      <c r="AW89" s="593" t="n"/>
      <c r="BA89" s="592" t="n"/>
      <c r="BB89" s="593" t="n"/>
      <c r="BF89" s="592" t="n"/>
      <c r="BG89" s="593" t="n"/>
      <c r="BK89" s="592" t="n"/>
      <c r="BL89" s="593" t="n"/>
      <c r="BP89" s="592" t="n"/>
      <c r="BQ89" s="593" t="n"/>
      <c r="BT89" s="592" t="n"/>
      <c r="BU89" s="437" t="n"/>
      <c r="BV89" s="437" t="n"/>
      <c r="BW89" s="437" t="n"/>
      <c r="BX89" s="437" t="n"/>
      <c r="BY89" s="437" t="n"/>
      <c r="BZ89" s="437" t="n"/>
      <c r="CA89" s="437" t="n"/>
      <c r="CB89" s="437" t="n"/>
      <c r="CC89" s="437" t="n"/>
      <c r="CD89" s="437" t="n"/>
      <c r="CE89" s="437" t="n"/>
      <c r="CF89" s="437" t="n"/>
      <c r="CG89" s="437" t="n"/>
      <c r="CH89" s="437" t="n"/>
      <c r="CI89" s="437" t="n"/>
      <c r="CJ89" s="437" t="n"/>
      <c r="CK89" s="437" t="n"/>
      <c r="CL89" s="437" t="n"/>
      <c r="CM89" s="437" t="n"/>
      <c r="CN89" s="437" t="n"/>
      <c r="CO89" s="437" t="n"/>
      <c r="CP89" s="437" t="n"/>
      <c r="CQ89" s="437" t="n"/>
      <c r="CR89" s="437" t="n"/>
      <c r="CS89" s="437" t="n"/>
      <c r="CT89" s="437" t="n"/>
      <c r="CU89" s="437" t="n"/>
      <c r="CV89" s="437" t="n"/>
      <c r="CW89" s="437" t="n"/>
      <c r="CX89" s="437" t="n"/>
      <c r="CY89" s="437" t="n"/>
      <c r="CZ89" s="437" t="n"/>
      <c r="DA89" s="437" t="n"/>
      <c r="DB89" s="437" t="n"/>
      <c r="DC89" s="437" t="n"/>
      <c r="DD89" s="437" t="n"/>
      <c r="DE89" s="437" t="n"/>
      <c r="DF89" s="437" t="n"/>
      <c r="DG89" s="437" t="n"/>
      <c r="DH89" s="437" t="n"/>
      <c r="DI89" s="437" t="n"/>
      <c r="DJ89" s="437" t="n"/>
      <c r="DK89" s="437" t="n"/>
      <c r="DL89" s="437" t="n"/>
      <c r="DM89" s="437" t="n"/>
      <c r="DN89" s="437" t="n"/>
      <c r="DO89" s="437" t="n"/>
      <c r="DP89" s="437" t="n"/>
      <c r="DQ89" s="437" t="n"/>
      <c r="DR89" s="437" t="n"/>
      <c r="DS89" s="437" t="n"/>
      <c r="DT89" s="437" t="n"/>
      <c r="DU89" s="437" t="n"/>
      <c r="DV89" s="437" t="n"/>
      <c r="DW89" s="437" t="n"/>
      <c r="DX89" s="437" t="n"/>
      <c r="DY89" s="238" t="n"/>
      <c r="DZ89" s="23" t="n"/>
      <c r="FQ89" s="212" t="n"/>
      <c r="FR89" s="212" t="n"/>
      <c r="FS89" s="212" t="n"/>
      <c r="FT89" s="212" t="n"/>
      <c r="FU89" s="212" t="n"/>
      <c r="FV89" s="212" t="n"/>
      <c r="FW89" s="212" t="n"/>
      <c r="FX89" s="212" t="n"/>
      <c r="FY89" s="212" t="n"/>
      <c r="FZ89" s="212" t="n"/>
    </row>
    <row r="90" ht="39.95" customFormat="1" customHeight="1" s="5">
      <c r="A90" s="456" t="n"/>
      <c r="B90" s="8" t="n"/>
      <c r="C90" s="456" t="n"/>
      <c r="D90" s="594" t="n"/>
      <c r="E90" s="595" t="n"/>
      <c r="F90" s="595" t="n"/>
      <c r="G90" s="595" t="n"/>
      <c r="H90" s="596" t="n"/>
      <c r="I90" s="597" t="n"/>
      <c r="J90" s="595" t="n"/>
      <c r="K90" s="595" t="n"/>
      <c r="L90" s="595" t="n"/>
      <c r="M90" s="596" t="n"/>
      <c r="N90" s="597" t="n"/>
      <c r="O90" s="595" t="n"/>
      <c r="P90" s="595" t="n"/>
      <c r="Q90" s="595" t="n"/>
      <c r="R90" s="596" t="n"/>
      <c r="S90" s="597" t="n"/>
      <c r="T90" s="595" t="n"/>
      <c r="U90" s="595" t="n"/>
      <c r="V90" s="595" t="n"/>
      <c r="W90" s="596" t="n"/>
      <c r="X90" s="597" t="n"/>
      <c r="Y90" s="595" t="n"/>
      <c r="Z90" s="595" t="n"/>
      <c r="AA90" s="595" t="n"/>
      <c r="AB90" s="596" t="n"/>
      <c r="AC90" s="597" t="n"/>
      <c r="AD90" s="595" t="n"/>
      <c r="AE90" s="595" t="n"/>
      <c r="AF90" s="595" t="n"/>
      <c r="AG90" s="596" t="n"/>
      <c r="AH90" s="597" t="n"/>
      <c r="AI90" s="595" t="n"/>
      <c r="AJ90" s="595" t="n"/>
      <c r="AK90" s="595" t="n"/>
      <c r="AL90" s="596" t="n"/>
      <c r="AM90" s="597" t="n"/>
      <c r="AN90" s="595" t="n"/>
      <c r="AO90" s="595" t="n"/>
      <c r="AP90" s="595" t="n"/>
      <c r="AQ90" s="596" t="n"/>
      <c r="AR90" s="597" t="n"/>
      <c r="AS90" s="595" t="n"/>
      <c r="AT90" s="595" t="n"/>
      <c r="AU90" s="595" t="n"/>
      <c r="AV90" s="596" t="n"/>
      <c r="AW90" s="597" t="n"/>
      <c r="AX90" s="595" t="n"/>
      <c r="AY90" s="595" t="n"/>
      <c r="AZ90" s="595" t="n"/>
      <c r="BA90" s="596" t="n"/>
      <c r="BB90" s="597" t="n"/>
      <c r="BC90" s="595" t="n"/>
      <c r="BD90" s="595" t="n"/>
      <c r="BE90" s="595" t="n"/>
      <c r="BF90" s="596" t="n"/>
      <c r="BG90" s="597" t="n"/>
      <c r="BH90" s="595" t="n"/>
      <c r="BI90" s="595" t="n"/>
      <c r="BJ90" s="595" t="n"/>
      <c r="BK90" s="596" t="n"/>
      <c r="BL90" s="597" t="n"/>
      <c r="BM90" s="595" t="n"/>
      <c r="BN90" s="595" t="n"/>
      <c r="BO90" s="595" t="n"/>
      <c r="BP90" s="596" t="n"/>
      <c r="BQ90" s="597" t="n"/>
      <c r="BR90" s="595" t="n"/>
      <c r="BS90" s="595" t="n"/>
      <c r="BT90" s="596" t="n"/>
      <c r="BU90" s="437" t="n"/>
      <c r="BV90" s="437" t="n"/>
      <c r="BW90" s="437" t="n"/>
      <c r="BX90" s="437" t="n"/>
      <c r="BY90" s="437" t="n"/>
      <c r="BZ90" s="437" t="n"/>
      <c r="CA90" s="437" t="n"/>
      <c r="CB90" s="437" t="n"/>
      <c r="CC90" s="437" t="n"/>
      <c r="CD90" s="437" t="n"/>
      <c r="CE90" s="437" t="n"/>
      <c r="CF90" s="437" t="n"/>
      <c r="CG90" s="437" t="n"/>
      <c r="CH90" s="437" t="n"/>
      <c r="CI90" s="437" t="n"/>
      <c r="CJ90" s="437" t="n"/>
      <c r="CK90" s="437" t="n"/>
      <c r="CL90" s="437" t="n"/>
      <c r="CM90" s="437" t="n"/>
      <c r="CN90" s="437" t="n"/>
      <c r="CO90" s="437" t="n"/>
      <c r="CP90" s="437" t="n"/>
      <c r="CQ90" s="437" t="n"/>
      <c r="CR90" s="437" t="n"/>
      <c r="CS90" s="437" t="n"/>
      <c r="CT90" s="437" t="n"/>
      <c r="CU90" s="437" t="n"/>
      <c r="CV90" s="437" t="n"/>
      <c r="CW90" s="437" t="n"/>
      <c r="CX90" s="437" t="n"/>
      <c r="CY90" s="437" t="n"/>
      <c r="CZ90" s="437" t="n"/>
      <c r="DA90" s="437" t="n"/>
      <c r="DB90" s="437" t="n"/>
      <c r="DC90" s="437" t="n"/>
      <c r="DD90" s="437" t="n"/>
      <c r="DE90" s="437" t="n"/>
      <c r="DF90" s="437" t="n"/>
      <c r="DG90" s="437" t="n"/>
      <c r="DH90" s="437" t="n"/>
      <c r="DI90" s="437" t="n"/>
      <c r="DJ90" s="437" t="n"/>
      <c r="DK90" s="437" t="n"/>
      <c r="DL90" s="437" t="n"/>
      <c r="DM90" s="437" t="n"/>
      <c r="DN90" s="437" t="n"/>
      <c r="DO90" s="437" t="n"/>
      <c r="DP90" s="437" t="n"/>
      <c r="DQ90" s="437" t="n"/>
      <c r="DR90" s="437" t="n"/>
      <c r="DS90" s="437" t="n"/>
      <c r="DT90" s="437" t="n"/>
      <c r="DU90" s="437" t="n"/>
      <c r="DV90" s="437" t="n"/>
      <c r="DW90" s="437" t="n"/>
      <c r="DX90" s="437" t="n"/>
      <c r="DY90" s="238" t="n"/>
      <c r="DZ90" s="23" t="n"/>
      <c r="FQ90" s="212" t="n"/>
      <c r="FR90" s="212" t="n"/>
      <c r="FS90" s="212" t="n"/>
      <c r="FT90" s="212" t="n"/>
      <c r="FU90" s="212" t="n"/>
      <c r="FV90" s="212" t="n"/>
      <c r="FW90" s="212" t="n"/>
      <c r="FX90" s="212" t="n"/>
      <c r="FY90" s="212" t="n"/>
      <c r="FZ90" s="212" t="n"/>
    </row>
    <row r="91" ht="39.95" customFormat="1" customHeight="1" s="5">
      <c r="A91" s="10" t="inlineStr">
        <is>
          <t>A</t>
        </is>
      </c>
      <c r="B91" s="6" t="inlineStr">
        <is>
          <t>POSITION 'A'</t>
        </is>
      </c>
      <c r="C91" s="351" t="inlineStr">
        <is>
          <t>Year</t>
        </is>
      </c>
      <c r="D91" s="588" t="inlineStr">
        <is>
          <t>ND</t>
        </is>
      </c>
      <c r="E91" s="589" t="inlineStr">
        <is>
          <t>ND</t>
        </is>
      </c>
      <c r="F91" s="589" t="inlineStr">
        <is>
          <t>ND</t>
        </is>
      </c>
      <c r="G91" s="589" t="inlineStr">
        <is>
          <t>May 2055</t>
        </is>
      </c>
      <c r="H91" s="590" t="inlineStr">
        <is>
          <t>ND</t>
        </is>
      </c>
      <c r="I91" s="591" t="inlineStr">
        <is>
          <t>May 2055</t>
        </is>
      </c>
      <c r="J91" s="589" t="inlineStr">
        <is>
          <t>May 2055</t>
        </is>
      </c>
      <c r="K91" s="589" t="inlineStr">
        <is>
          <t>ND</t>
        </is>
      </c>
      <c r="L91" s="589" t="inlineStr">
        <is>
          <t>May 2055</t>
        </is>
      </c>
      <c r="M91" s="590" t="inlineStr">
        <is>
          <t>May 2055</t>
        </is>
      </c>
      <c r="N91" s="591" t="inlineStr">
        <is>
          <t>ND</t>
        </is>
      </c>
      <c r="O91" s="589" t="inlineStr">
        <is>
          <t>May 2055</t>
        </is>
      </c>
      <c r="P91" s="589" t="inlineStr">
        <is>
          <t>May 2055</t>
        </is>
      </c>
      <c r="Q91" s="589" t="inlineStr">
        <is>
          <t>ND</t>
        </is>
      </c>
      <c r="R91" s="590" t="inlineStr">
        <is>
          <t>May 2055</t>
        </is>
      </c>
      <c r="S91" s="591" t="inlineStr">
        <is>
          <t>May 2055</t>
        </is>
      </c>
      <c r="T91" s="589" t="inlineStr">
        <is>
          <t>ND</t>
        </is>
      </c>
      <c r="U91" s="589" t="inlineStr">
        <is>
          <t>May 2055</t>
        </is>
      </c>
      <c r="V91" s="589" t="inlineStr">
        <is>
          <t>May 2055</t>
        </is>
      </c>
      <c r="W91" s="590" t="inlineStr">
        <is>
          <t>ND</t>
        </is>
      </c>
      <c r="X91" s="591" t="inlineStr">
        <is>
          <t>May 2055</t>
        </is>
      </c>
      <c r="Y91" s="589" t="inlineStr">
        <is>
          <t>May 2055</t>
        </is>
      </c>
      <c r="Z91" s="589" t="inlineStr">
        <is>
          <t>ND</t>
        </is>
      </c>
      <c r="AA91" s="589" t="inlineStr">
        <is>
          <t>May 2055</t>
        </is>
      </c>
      <c r="AB91" s="590" t="inlineStr">
        <is>
          <t>May 2055</t>
        </is>
      </c>
      <c r="AC91" s="591" t="inlineStr">
        <is>
          <t>ND</t>
        </is>
      </c>
      <c r="AD91" s="589" t="inlineStr">
        <is>
          <t>May 2055</t>
        </is>
      </c>
      <c r="AE91" s="589" t="inlineStr">
        <is>
          <t>May 2055</t>
        </is>
      </c>
      <c r="AF91" s="589" t="inlineStr">
        <is>
          <t>ND</t>
        </is>
      </c>
      <c r="AG91" s="590" t="inlineStr">
        <is>
          <t>May 2055</t>
        </is>
      </c>
      <c r="AH91" s="591" t="inlineStr">
        <is>
          <t>May 2055</t>
        </is>
      </c>
      <c r="AI91" s="589" t="inlineStr">
        <is>
          <t>ND</t>
        </is>
      </c>
      <c r="AJ91" s="589" t="inlineStr">
        <is>
          <t>Jun 2047</t>
        </is>
      </c>
      <c r="AK91" s="589" t="inlineStr">
        <is>
          <t>May 2055</t>
        </is>
      </c>
      <c r="AL91" s="590" t="inlineStr">
        <is>
          <t>ND</t>
        </is>
      </c>
      <c r="AM91" s="591" t="inlineStr">
        <is>
          <t>May 2055</t>
        </is>
      </c>
      <c r="AN91" s="589" t="inlineStr">
        <is>
          <t>Mar 2055</t>
        </is>
      </c>
      <c r="AO91" s="589" t="inlineStr">
        <is>
          <t>ND</t>
        </is>
      </c>
      <c r="AP91" s="589" t="inlineStr">
        <is>
          <t>May 2055</t>
        </is>
      </c>
      <c r="AQ91" s="590" t="inlineStr">
        <is>
          <t>May 2055</t>
        </is>
      </c>
      <c r="AR91" s="591" t="inlineStr">
        <is>
          <t>ND</t>
        </is>
      </c>
      <c r="AS91" s="589" t="inlineStr">
        <is>
          <t>May 2055</t>
        </is>
      </c>
      <c r="AT91" s="589" t="inlineStr">
        <is>
          <t>May 2055</t>
        </is>
      </c>
      <c r="AU91" s="589" t="inlineStr">
        <is>
          <t>ND</t>
        </is>
      </c>
      <c r="AV91" s="590" t="inlineStr">
        <is>
          <t>May 2055</t>
        </is>
      </c>
      <c r="AW91" s="591" t="inlineStr">
        <is>
          <t>May 2055</t>
        </is>
      </c>
      <c r="AX91" s="589" t="inlineStr">
        <is>
          <t>ND</t>
        </is>
      </c>
      <c r="AY91" s="589" t="inlineStr">
        <is>
          <t>May 2055</t>
        </is>
      </c>
      <c r="AZ91" s="589" t="inlineStr">
        <is>
          <t>May 2055</t>
        </is>
      </c>
      <c r="BA91" s="590" t="inlineStr">
        <is>
          <t>ND</t>
        </is>
      </c>
      <c r="BB91" s="591" t="inlineStr">
        <is>
          <t>May 2055</t>
        </is>
      </c>
      <c r="BC91" s="589" t="inlineStr">
        <is>
          <t>May 2055</t>
        </is>
      </c>
      <c r="BD91" s="589" t="inlineStr">
        <is>
          <t>ND</t>
        </is>
      </c>
      <c r="BE91" s="589" t="inlineStr">
        <is>
          <t>May 2055</t>
        </is>
      </c>
      <c r="BF91" s="590" t="inlineStr">
        <is>
          <t>May 2055</t>
        </is>
      </c>
      <c r="BG91" s="591" t="inlineStr">
        <is>
          <t>ND</t>
        </is>
      </c>
      <c r="BH91" s="589" t="inlineStr">
        <is>
          <t>May 2055</t>
        </is>
      </c>
      <c r="BI91" s="589" t="inlineStr">
        <is>
          <t>May 2055</t>
        </is>
      </c>
      <c r="BJ91" s="589" t="inlineStr">
        <is>
          <t>ND</t>
        </is>
      </c>
      <c r="BK91" s="590" t="inlineStr">
        <is>
          <t>May 2055</t>
        </is>
      </c>
      <c r="BL91" s="591" t="inlineStr">
        <is>
          <t>May 2055</t>
        </is>
      </c>
      <c r="BM91" s="589" t="inlineStr">
        <is>
          <t>ND</t>
        </is>
      </c>
      <c r="BN91" s="589" t="inlineStr">
        <is>
          <t>May 2055</t>
        </is>
      </c>
      <c r="BO91" s="589" t="inlineStr">
        <is>
          <t>May 2055</t>
        </is>
      </c>
      <c r="BP91" s="590" t="inlineStr">
        <is>
          <t>ND</t>
        </is>
      </c>
      <c r="BQ91" s="591" t="inlineStr">
        <is>
          <t>May 2055</t>
        </is>
      </c>
      <c r="BR91" s="589" t="inlineStr">
        <is>
          <t>May 2055</t>
        </is>
      </c>
      <c r="BS91" s="589" t="inlineStr">
        <is>
          <t>ND</t>
        </is>
      </c>
      <c r="BT91" s="590" t="inlineStr">
        <is>
          <t>ND</t>
        </is>
      </c>
      <c r="BU91" s="437" t="n"/>
      <c r="BV91" s="437" t="n"/>
      <c r="BW91" s="437" t="n"/>
      <c r="BX91" s="437" t="n"/>
      <c r="BY91" s="437" t="n"/>
      <c r="BZ91" s="437" t="n"/>
      <c r="CA91" s="437" t="n"/>
      <c r="CB91" s="437" t="n"/>
      <c r="CC91" s="437" t="n"/>
      <c r="CD91" s="437" t="n"/>
      <c r="CE91" s="437" t="n"/>
      <c r="CF91" s="437" t="n"/>
      <c r="CG91" s="437" t="n"/>
      <c r="CH91" s="437" t="n"/>
      <c r="CI91" s="437" t="n"/>
      <c r="CJ91" s="437" t="n"/>
      <c r="CK91" s="437" t="n"/>
      <c r="CL91" s="437" t="n"/>
      <c r="CM91" s="437" t="n"/>
      <c r="CN91" s="437" t="n"/>
      <c r="CO91" s="437" t="n"/>
      <c r="CP91" s="437" t="n"/>
      <c r="CQ91" s="437" t="n"/>
      <c r="CR91" s="437" t="n"/>
      <c r="CS91" s="437" t="n"/>
      <c r="CT91" s="437" t="n"/>
      <c r="CU91" s="437" t="n"/>
      <c r="CV91" s="437" t="n"/>
      <c r="CW91" s="437" t="n"/>
      <c r="CX91" s="437" t="n"/>
      <c r="CY91" s="437" t="n"/>
      <c r="CZ91" s="437" t="n"/>
      <c r="DA91" s="437" t="n"/>
      <c r="DB91" s="437" t="n"/>
      <c r="DC91" s="437" t="n"/>
      <c r="DD91" s="437" t="n"/>
      <c r="DE91" s="437" t="n"/>
      <c r="DF91" s="437" t="n"/>
      <c r="DG91" s="437" t="n"/>
      <c r="DH91" s="437" t="n"/>
      <c r="DI91" s="437" t="n"/>
      <c r="DJ91" s="437" t="n"/>
      <c r="DK91" s="437" t="n"/>
      <c r="DL91" s="437" t="n"/>
      <c r="DM91" s="437" t="n"/>
      <c r="DN91" s="437" t="n"/>
      <c r="DO91" s="437" t="n"/>
      <c r="DP91" s="437" t="n"/>
      <c r="DQ91" s="437" t="n"/>
      <c r="DR91" s="437" t="n"/>
      <c r="DS91" s="437" t="n"/>
      <c r="DT91" s="437" t="n"/>
      <c r="DU91" s="437" t="n"/>
      <c r="DV91" s="437" t="n"/>
      <c r="DW91" s="437" t="n"/>
      <c r="DX91" s="437" t="n"/>
      <c r="DY91" s="238" t="n"/>
      <c r="DZ91" s="23" t="n"/>
      <c r="FQ91" s="212" t="n"/>
      <c r="FR91" s="212" t="n"/>
      <c r="FS91" s="212" t="n"/>
      <c r="FT91" s="212" t="n"/>
      <c r="FU91" s="212" t="n"/>
      <c r="FV91" s="212" t="n"/>
      <c r="FW91" s="212" t="n"/>
      <c r="FX91" s="212" t="n"/>
      <c r="FY91" s="212" t="n"/>
      <c r="FZ91" s="212" t="n"/>
    </row>
    <row r="92" ht="39.95" customFormat="1" customHeight="1" s="5">
      <c r="A92" s="182" t="inlineStr"/>
      <c r="B92" s="7" t="inlineStr">
        <is>
          <t xml:space="preserve">OF THE </t>
        </is>
      </c>
      <c r="C92" s="456" t="n"/>
      <c r="D92" s="13" t="n"/>
      <c r="H92" s="592" t="n"/>
      <c r="I92" s="593" t="n"/>
      <c r="M92" s="592" t="n"/>
      <c r="N92" s="593" t="n"/>
      <c r="R92" s="592" t="n"/>
      <c r="S92" s="593" t="n"/>
      <c r="W92" s="592" t="n"/>
      <c r="X92" s="593" t="n"/>
      <c r="AB92" s="592" t="n"/>
      <c r="AC92" s="593" t="n"/>
      <c r="AG92" s="592" t="n"/>
      <c r="AH92" s="593" t="n"/>
      <c r="AL92" s="592" t="n"/>
      <c r="AM92" s="593" t="n"/>
      <c r="AQ92" s="592" t="n"/>
      <c r="AR92" s="593" t="n"/>
      <c r="AV92" s="592" t="n"/>
      <c r="AW92" s="593" t="n"/>
      <c r="BA92" s="592" t="n"/>
      <c r="BB92" s="593" t="n"/>
      <c r="BF92" s="592" t="n"/>
      <c r="BG92" s="593" t="n"/>
      <c r="BK92" s="592" t="n"/>
      <c r="BL92" s="593" t="n"/>
      <c r="BP92" s="592" t="n"/>
      <c r="BQ92" s="593" t="n"/>
      <c r="BT92" s="592" t="n"/>
      <c r="BU92" s="437" t="n"/>
      <c r="BV92" s="437" t="n"/>
      <c r="BW92" s="437" t="n"/>
      <c r="BX92" s="437" t="n"/>
      <c r="BY92" s="437" t="n"/>
      <c r="BZ92" s="437" t="n"/>
      <c r="CA92" s="437" t="n"/>
      <c r="CB92" s="437" t="n"/>
      <c r="CC92" s="437" t="n"/>
      <c r="CD92" s="437" t="n"/>
      <c r="CE92" s="437" t="n"/>
      <c r="CF92" s="437" t="n"/>
      <c r="CG92" s="437" t="n"/>
      <c r="CH92" s="437" t="n"/>
      <c r="CI92" s="437" t="n"/>
      <c r="CJ92" s="437" t="n"/>
      <c r="CK92" s="437" t="n"/>
      <c r="CL92" s="437" t="n"/>
      <c r="CM92" s="437" t="n"/>
      <c r="CN92" s="437" t="n"/>
      <c r="CO92" s="437" t="n"/>
      <c r="CP92" s="437" t="n"/>
      <c r="CQ92" s="437" t="n"/>
      <c r="CR92" s="437" t="n"/>
      <c r="CS92" s="437" t="n"/>
      <c r="CT92" s="437" t="n"/>
      <c r="CU92" s="437" t="n"/>
      <c r="CV92" s="437" t="n"/>
      <c r="CW92" s="437" t="n"/>
      <c r="CX92" s="437" t="n"/>
      <c r="CY92" s="437" t="n"/>
      <c r="CZ92" s="437" t="n"/>
      <c r="DA92" s="437" t="n"/>
      <c r="DB92" s="437" t="n"/>
      <c r="DC92" s="437" t="n"/>
      <c r="DD92" s="437" t="n"/>
      <c r="DE92" s="437" t="n"/>
      <c r="DF92" s="437" t="n"/>
      <c r="DG92" s="437" t="n"/>
      <c r="DH92" s="437" t="n"/>
      <c r="DI92" s="437" t="n"/>
      <c r="DJ92" s="437" t="n"/>
      <c r="DK92" s="437" t="n"/>
      <c r="DL92" s="437" t="n"/>
      <c r="DM92" s="437" t="n"/>
      <c r="DN92" s="437" t="n"/>
      <c r="DO92" s="437" t="n"/>
      <c r="DP92" s="437" t="n"/>
      <c r="DQ92" s="437" t="n"/>
      <c r="DR92" s="437" t="n"/>
      <c r="DS92" s="437" t="n"/>
      <c r="DT92" s="437" t="n"/>
      <c r="DU92" s="437" t="n"/>
      <c r="DV92" s="437" t="n"/>
      <c r="DW92" s="437" t="n"/>
      <c r="DX92" s="437" t="n"/>
      <c r="DY92" s="238" t="n"/>
      <c r="DZ92" s="23" t="n"/>
      <c r="FQ92" s="212" t="n"/>
      <c r="FR92" s="212" t="n"/>
      <c r="FS92" s="212" t="n"/>
      <c r="FT92" s="212" t="n"/>
      <c r="FU92" s="212" t="n"/>
      <c r="FV92" s="212" t="n"/>
      <c r="FW92" s="212" t="n"/>
      <c r="FX92" s="212" t="n"/>
      <c r="FY92" s="212" t="n"/>
      <c r="FZ92" s="212" t="n"/>
    </row>
    <row r="93" ht="39.95" customFormat="1" customHeight="1" s="5">
      <c r="A93" s="456" t="n"/>
      <c r="B93" s="8" t="inlineStr">
        <is>
          <t>PRIMARIES</t>
        </is>
      </c>
      <c r="C93" s="456" t="n"/>
      <c r="D93" s="594" t="n"/>
      <c r="E93" s="595" t="n"/>
      <c r="F93" s="595" t="n"/>
      <c r="G93" s="595" t="n"/>
      <c r="H93" s="596" t="n"/>
      <c r="I93" s="597" t="n"/>
      <c r="J93" s="595" t="n"/>
      <c r="K93" s="595" t="n"/>
      <c r="L93" s="595" t="n"/>
      <c r="M93" s="596" t="n"/>
      <c r="N93" s="597" t="n"/>
      <c r="O93" s="595" t="n"/>
      <c r="P93" s="595" t="n"/>
      <c r="Q93" s="595" t="n"/>
      <c r="R93" s="596" t="n"/>
      <c r="S93" s="597" t="n"/>
      <c r="T93" s="595" t="n"/>
      <c r="U93" s="595" t="n"/>
      <c r="V93" s="595" t="n"/>
      <c r="W93" s="596" t="n"/>
      <c r="X93" s="597" t="n"/>
      <c r="Y93" s="595" t="n"/>
      <c r="Z93" s="595" t="n"/>
      <c r="AA93" s="595" t="n"/>
      <c r="AB93" s="596" t="n"/>
      <c r="AC93" s="597" t="n"/>
      <c r="AD93" s="595" t="n"/>
      <c r="AE93" s="595" t="n"/>
      <c r="AF93" s="595" t="n"/>
      <c r="AG93" s="596" t="n"/>
      <c r="AH93" s="597" t="n"/>
      <c r="AI93" s="595" t="n"/>
      <c r="AJ93" s="595" t="n"/>
      <c r="AK93" s="595" t="n"/>
      <c r="AL93" s="596" t="n"/>
      <c r="AM93" s="597" t="n"/>
      <c r="AN93" s="595" t="n"/>
      <c r="AO93" s="595" t="n"/>
      <c r="AP93" s="595" t="n"/>
      <c r="AQ93" s="596" t="n"/>
      <c r="AR93" s="597" t="n"/>
      <c r="AS93" s="595" t="n"/>
      <c r="AT93" s="595" t="n"/>
      <c r="AU93" s="595" t="n"/>
      <c r="AV93" s="596" t="n"/>
      <c r="AW93" s="597" t="n"/>
      <c r="AX93" s="595" t="n"/>
      <c r="AY93" s="595" t="n"/>
      <c r="AZ93" s="595" t="n"/>
      <c r="BA93" s="596" t="n"/>
      <c r="BB93" s="597" t="n"/>
      <c r="BC93" s="595" t="n"/>
      <c r="BD93" s="595" t="n"/>
      <c r="BE93" s="595" t="n"/>
      <c r="BF93" s="596" t="n"/>
      <c r="BG93" s="597" t="n"/>
      <c r="BH93" s="595" t="n"/>
      <c r="BI93" s="595" t="n"/>
      <c r="BJ93" s="595" t="n"/>
      <c r="BK93" s="596" t="n"/>
      <c r="BL93" s="597" t="n"/>
      <c r="BM93" s="595" t="n"/>
      <c r="BN93" s="595" t="n"/>
      <c r="BO93" s="595" t="n"/>
      <c r="BP93" s="596" t="n"/>
      <c r="BQ93" s="597" t="n"/>
      <c r="BR93" s="595" t="n"/>
      <c r="BS93" s="595" t="n"/>
      <c r="BT93" s="596" t="n"/>
      <c r="BU93" s="437" t="n"/>
      <c r="BV93" s="437" t="n"/>
      <c r="BW93" s="437" t="n"/>
      <c r="BX93" s="437" t="n"/>
      <c r="BY93" s="437" t="n"/>
      <c r="BZ93" s="437" t="n"/>
      <c r="CA93" s="437" t="n"/>
      <c r="CB93" s="437" t="n"/>
      <c r="CC93" s="437" t="n"/>
      <c r="CD93" s="437" t="n"/>
      <c r="CE93" s="437" t="n"/>
      <c r="CF93" s="437" t="n"/>
      <c r="CG93" s="437" t="n"/>
      <c r="CH93" s="437" t="n"/>
      <c r="CI93" s="437" t="n"/>
      <c r="CJ93" s="437" t="n"/>
      <c r="CK93" s="437" t="n"/>
      <c r="CL93" s="437" t="n"/>
      <c r="CM93" s="437" t="n"/>
      <c r="CN93" s="437" t="n"/>
      <c r="CO93" s="437" t="n"/>
      <c r="CP93" s="437" t="n"/>
      <c r="CQ93" s="437" t="n"/>
      <c r="CR93" s="437" t="n"/>
      <c r="CS93" s="437" t="n"/>
      <c r="CT93" s="437" t="n"/>
      <c r="CU93" s="437" t="n"/>
      <c r="CV93" s="437" t="n"/>
      <c r="CW93" s="437" t="n"/>
      <c r="CX93" s="437" t="n"/>
      <c r="CY93" s="437" t="n"/>
      <c r="CZ93" s="437" t="n"/>
      <c r="DA93" s="437" t="n"/>
      <c r="DB93" s="437" t="n"/>
      <c r="DC93" s="437" t="n"/>
      <c r="DD93" s="437" t="n"/>
      <c r="DE93" s="437" t="n"/>
      <c r="DF93" s="437" t="n"/>
      <c r="DG93" s="437" t="n"/>
      <c r="DH93" s="437" t="n"/>
      <c r="DI93" s="437" t="n"/>
      <c r="DJ93" s="437" t="n"/>
      <c r="DK93" s="437" t="n"/>
      <c r="DL93" s="437" t="n"/>
      <c r="DM93" s="437" t="n"/>
      <c r="DN93" s="437" t="n"/>
      <c r="DO93" s="437" t="n"/>
      <c r="DP93" s="437" t="n"/>
      <c r="DQ93" s="437" t="n"/>
      <c r="DR93" s="437" t="n"/>
      <c r="DS93" s="437" t="n"/>
      <c r="DT93" s="437" t="n"/>
      <c r="DU93" s="437" t="n"/>
      <c r="DV93" s="437" t="n"/>
      <c r="DW93" s="437" t="n"/>
      <c r="DX93" s="437" t="n"/>
      <c r="DY93" s="238" t="n"/>
      <c r="DZ93" s="23" t="n"/>
      <c r="FQ93" s="212" t="n"/>
      <c r="FR93" s="212" t="n"/>
      <c r="FS93" s="212" t="n"/>
      <c r="FT93" s="212" t="n"/>
      <c r="FU93" s="212" t="n"/>
      <c r="FV93" s="212" t="n"/>
      <c r="FW93" s="212" t="n"/>
      <c r="FX93" s="212" t="n"/>
      <c r="FY93" s="212" t="n"/>
      <c r="FZ93" s="212" t="n"/>
    </row>
    <row r="94" ht="39.95" customFormat="1" customHeight="1" s="5">
      <c r="A94" s="10" t="inlineStr">
        <is>
          <t>A</t>
        </is>
      </c>
      <c r="B94" s="6" t="inlineStr">
        <is>
          <t>POSITION 'B'</t>
        </is>
      </c>
      <c r="C94" s="351" t="inlineStr">
        <is>
          <t>Year</t>
        </is>
      </c>
      <c r="D94" s="588" t="inlineStr">
        <is>
          <t>ND</t>
        </is>
      </c>
      <c r="E94" s="589" t="inlineStr">
        <is>
          <t>ND</t>
        </is>
      </c>
      <c r="F94" s="589" t="inlineStr">
        <is>
          <t>Feb 2055</t>
        </is>
      </c>
      <c r="G94" s="589" t="inlineStr">
        <is>
          <t>Oct 2048</t>
        </is>
      </c>
      <c r="H94" s="590" t="inlineStr">
        <is>
          <t>ND</t>
        </is>
      </c>
      <c r="I94" s="591" t="inlineStr">
        <is>
          <t>May 2055</t>
        </is>
      </c>
      <c r="J94" s="589" t="inlineStr">
        <is>
          <t>May 2055</t>
        </is>
      </c>
      <c r="K94" s="589" t="inlineStr">
        <is>
          <t>ND</t>
        </is>
      </c>
      <c r="L94" s="589" t="inlineStr">
        <is>
          <t>May 2055</t>
        </is>
      </c>
      <c r="M94" s="590" t="inlineStr">
        <is>
          <t>May 2055</t>
        </is>
      </c>
      <c r="N94" s="591" t="inlineStr">
        <is>
          <t>ND</t>
        </is>
      </c>
      <c r="O94" s="589" t="inlineStr">
        <is>
          <t>May 2055</t>
        </is>
      </c>
      <c r="P94" s="589" t="inlineStr">
        <is>
          <t>Jun 2053</t>
        </is>
      </c>
      <c r="Q94" s="589" t="inlineStr">
        <is>
          <t>ND</t>
        </is>
      </c>
      <c r="R94" s="590" t="inlineStr">
        <is>
          <t>May 2055</t>
        </is>
      </c>
      <c r="S94" s="591" t="inlineStr">
        <is>
          <t>May 2055</t>
        </is>
      </c>
      <c r="T94" s="589" t="inlineStr">
        <is>
          <t>ND</t>
        </is>
      </c>
      <c r="U94" s="589" t="inlineStr">
        <is>
          <t>May 2055</t>
        </is>
      </c>
      <c r="V94" s="589" t="inlineStr">
        <is>
          <t>May 2055</t>
        </is>
      </c>
      <c r="W94" s="590" t="inlineStr">
        <is>
          <t>ND</t>
        </is>
      </c>
      <c r="X94" s="591" t="inlineStr">
        <is>
          <t>Oct 2054</t>
        </is>
      </c>
      <c r="Y94" s="589" t="inlineStr">
        <is>
          <t>May 2055</t>
        </is>
      </c>
      <c r="Z94" s="589" t="inlineStr">
        <is>
          <t>ND</t>
        </is>
      </c>
      <c r="AA94" s="589" t="inlineStr">
        <is>
          <t>Jun 2050</t>
        </is>
      </c>
      <c r="AB94" s="590" t="inlineStr">
        <is>
          <t>Apr 2054</t>
        </is>
      </c>
      <c r="AC94" s="591" t="inlineStr">
        <is>
          <t>ND</t>
        </is>
      </c>
      <c r="AD94" s="589" t="inlineStr">
        <is>
          <t>Oct 2050</t>
        </is>
      </c>
      <c r="AE94" s="589" t="inlineStr">
        <is>
          <t>Oct 2047</t>
        </is>
      </c>
      <c r="AF94" s="589" t="inlineStr">
        <is>
          <t>ND</t>
        </is>
      </c>
      <c r="AG94" s="590" t="inlineStr">
        <is>
          <t>May 2055</t>
        </is>
      </c>
      <c r="AH94" s="591" t="inlineStr">
        <is>
          <t>May 2055</t>
        </is>
      </c>
      <c r="AI94" s="589" t="inlineStr">
        <is>
          <t>ND</t>
        </is>
      </c>
      <c r="AJ94" s="589" t="inlineStr">
        <is>
          <t>May 2055</t>
        </is>
      </c>
      <c r="AK94" s="589" t="inlineStr">
        <is>
          <t>May 2055</t>
        </is>
      </c>
      <c r="AL94" s="590" t="inlineStr">
        <is>
          <t>ND</t>
        </is>
      </c>
      <c r="AM94" s="591" t="inlineStr">
        <is>
          <t>May 2055</t>
        </is>
      </c>
      <c r="AN94" s="589" t="inlineStr">
        <is>
          <t>Nov 2047</t>
        </is>
      </c>
      <c r="AO94" s="589" t="inlineStr">
        <is>
          <t>ND</t>
        </is>
      </c>
      <c r="AP94" s="589" t="inlineStr">
        <is>
          <t>Aug 2048</t>
        </is>
      </c>
      <c r="AQ94" s="590" t="inlineStr">
        <is>
          <t>May 2055</t>
        </is>
      </c>
      <c r="AR94" s="591" t="inlineStr">
        <is>
          <t>ND</t>
        </is>
      </c>
      <c r="AS94" s="589" t="inlineStr">
        <is>
          <t>May 2055</t>
        </is>
      </c>
      <c r="AT94" s="589" t="inlineStr">
        <is>
          <t>May 2055</t>
        </is>
      </c>
      <c r="AU94" s="589" t="inlineStr">
        <is>
          <t>ND</t>
        </is>
      </c>
      <c r="AV94" s="590" t="inlineStr">
        <is>
          <t>May 2055</t>
        </is>
      </c>
      <c r="AW94" s="591" t="inlineStr">
        <is>
          <t>May 2055</t>
        </is>
      </c>
      <c r="AX94" s="589" t="inlineStr">
        <is>
          <t>ND</t>
        </is>
      </c>
      <c r="AY94" s="589" t="inlineStr">
        <is>
          <t>May 2055</t>
        </is>
      </c>
      <c r="AZ94" s="589" t="inlineStr">
        <is>
          <t>Apr 2055</t>
        </is>
      </c>
      <c r="BA94" s="590" t="inlineStr">
        <is>
          <t>ND</t>
        </is>
      </c>
      <c r="BB94" s="591" t="inlineStr">
        <is>
          <t>May 2055</t>
        </is>
      </c>
      <c r="BC94" s="589" t="inlineStr">
        <is>
          <t>May 2055</t>
        </is>
      </c>
      <c r="BD94" s="589" t="inlineStr">
        <is>
          <t>ND</t>
        </is>
      </c>
      <c r="BE94" s="589" t="inlineStr">
        <is>
          <t>Nov 2047</t>
        </is>
      </c>
      <c r="BF94" s="590" t="inlineStr">
        <is>
          <t>May 2055</t>
        </is>
      </c>
      <c r="BG94" s="591" t="inlineStr">
        <is>
          <t>ND</t>
        </is>
      </c>
      <c r="BH94" s="589" t="inlineStr">
        <is>
          <t>May 2055</t>
        </is>
      </c>
      <c r="BI94" s="589" t="inlineStr">
        <is>
          <t>May 2055</t>
        </is>
      </c>
      <c r="BJ94" s="589" t="inlineStr">
        <is>
          <t>ND</t>
        </is>
      </c>
      <c r="BK94" s="590" t="inlineStr">
        <is>
          <t>May 2055</t>
        </is>
      </c>
      <c r="BL94" s="591" t="inlineStr">
        <is>
          <t>May 2055</t>
        </is>
      </c>
      <c r="BM94" s="589" t="inlineStr">
        <is>
          <t>ND</t>
        </is>
      </c>
      <c r="BN94" s="589" t="inlineStr">
        <is>
          <t>May 2055</t>
        </is>
      </c>
      <c r="BO94" s="589" t="inlineStr">
        <is>
          <t>May 2055</t>
        </is>
      </c>
      <c r="BP94" s="590" t="inlineStr">
        <is>
          <t>ND</t>
        </is>
      </c>
      <c r="BQ94" s="591" t="inlineStr">
        <is>
          <t>May 2055</t>
        </is>
      </c>
      <c r="BR94" s="589" t="inlineStr">
        <is>
          <t>May 2055</t>
        </is>
      </c>
      <c r="BS94" s="589" t="inlineStr">
        <is>
          <t>ND</t>
        </is>
      </c>
      <c r="BT94" s="590" t="inlineStr">
        <is>
          <t>ND</t>
        </is>
      </c>
      <c r="BU94" s="437" t="n"/>
      <c r="BV94" s="437" t="n"/>
      <c r="BW94" s="437" t="n"/>
      <c r="BX94" s="437" t="n"/>
      <c r="BY94" s="437" t="n"/>
      <c r="BZ94" s="437" t="n"/>
      <c r="CA94" s="437" t="n"/>
      <c r="CB94" s="437" t="n"/>
      <c r="CC94" s="437" t="n"/>
      <c r="CD94" s="437" t="n"/>
      <c r="CE94" s="437" t="n"/>
      <c r="CF94" s="437" t="n"/>
      <c r="CG94" s="437" t="n"/>
      <c r="CH94" s="437" t="n"/>
      <c r="CI94" s="437" t="n"/>
      <c r="CJ94" s="437" t="n"/>
      <c r="CK94" s="437" t="n"/>
      <c r="CL94" s="437" t="n"/>
      <c r="CM94" s="437" t="n"/>
      <c r="CN94" s="437" t="n"/>
      <c r="CO94" s="437" t="n"/>
      <c r="CP94" s="437" t="n"/>
      <c r="CQ94" s="437" t="n"/>
      <c r="CR94" s="437" t="n"/>
      <c r="CS94" s="437" t="n"/>
      <c r="CT94" s="437" t="n"/>
      <c r="CU94" s="437" t="n"/>
      <c r="CV94" s="437" t="n"/>
      <c r="CW94" s="437" t="n"/>
      <c r="CX94" s="437" t="n"/>
      <c r="CY94" s="437" t="n"/>
      <c r="CZ94" s="437" t="n"/>
      <c r="DA94" s="437" t="n"/>
      <c r="DB94" s="437" t="n"/>
      <c r="DC94" s="437" t="n"/>
      <c r="DD94" s="437" t="n"/>
      <c r="DE94" s="437" t="n"/>
      <c r="DF94" s="437" t="n"/>
      <c r="DG94" s="437" t="n"/>
      <c r="DH94" s="437" t="n"/>
      <c r="DI94" s="437" t="n"/>
      <c r="DJ94" s="437" t="n"/>
      <c r="DK94" s="437" t="n"/>
      <c r="DL94" s="437" t="n"/>
      <c r="DM94" s="437" t="n"/>
      <c r="DN94" s="437" t="n"/>
      <c r="DO94" s="437" t="n"/>
      <c r="DP94" s="437" t="n"/>
      <c r="DQ94" s="437" t="n"/>
      <c r="DR94" s="437" t="n"/>
      <c r="DS94" s="437" t="n"/>
      <c r="DT94" s="437" t="n"/>
      <c r="DU94" s="437" t="n"/>
      <c r="DV94" s="437" t="n"/>
      <c r="DW94" s="437" t="n"/>
      <c r="DX94" s="437" t="n"/>
      <c r="DY94" s="238" t="n"/>
      <c r="DZ94" s="23" t="n"/>
      <c r="FQ94" s="212" t="n"/>
      <c r="FR94" s="212" t="n"/>
      <c r="FS94" s="212" t="n"/>
      <c r="FT94" s="212" t="n"/>
      <c r="FU94" s="212" t="n"/>
      <c r="FV94" s="212" t="n"/>
      <c r="FW94" s="212" t="n"/>
      <c r="FX94" s="212" t="n"/>
      <c r="FY94" s="212" t="n"/>
      <c r="FZ94" s="212" t="n"/>
    </row>
    <row r="95" ht="39.95" customFormat="1" customHeight="1" s="5">
      <c r="A95" s="182" t="inlineStr"/>
      <c r="B95" s="7" t="inlineStr">
        <is>
          <t xml:space="preserve">OF THE </t>
        </is>
      </c>
      <c r="C95" s="456" t="n"/>
      <c r="D95" s="13" t="n"/>
      <c r="H95" s="592" t="n"/>
      <c r="I95" s="593" t="n"/>
      <c r="M95" s="592" t="n"/>
      <c r="N95" s="593" t="n"/>
      <c r="R95" s="592" t="n"/>
      <c r="S95" s="593" t="n"/>
      <c r="W95" s="592" t="n"/>
      <c r="X95" s="593" t="n"/>
      <c r="AB95" s="592" t="n"/>
      <c r="AC95" s="593" t="n"/>
      <c r="AG95" s="592" t="n"/>
      <c r="AH95" s="593" t="n"/>
      <c r="AL95" s="592" t="n"/>
      <c r="AM95" s="593" t="n"/>
      <c r="AQ95" s="592" t="n"/>
      <c r="AR95" s="593" t="n"/>
      <c r="AV95" s="592" t="n"/>
      <c r="AW95" s="593" t="n"/>
      <c r="BA95" s="592" t="n"/>
      <c r="BB95" s="593" t="n"/>
      <c r="BF95" s="592" t="n"/>
      <c r="BG95" s="593" t="n"/>
      <c r="BK95" s="592" t="n"/>
      <c r="BL95" s="593" t="n"/>
      <c r="BP95" s="592" t="n"/>
      <c r="BQ95" s="593" t="n"/>
      <c r="BT95" s="592" t="n"/>
      <c r="BU95" s="437" t="n"/>
      <c r="BV95" s="437" t="n"/>
      <c r="BW95" s="437" t="n"/>
      <c r="BX95" s="437" t="n"/>
      <c r="BY95" s="437" t="n"/>
      <c r="BZ95" s="437" t="n"/>
      <c r="CA95" s="437" t="n"/>
      <c r="CB95" s="437" t="n"/>
      <c r="CC95" s="437" t="n"/>
      <c r="CD95" s="437" t="n"/>
      <c r="CE95" s="437" t="n"/>
      <c r="CF95" s="437" t="n"/>
      <c r="CG95" s="437" t="n"/>
      <c r="CH95" s="437" t="n"/>
      <c r="CI95" s="437" t="n"/>
      <c r="CJ95" s="437" t="n"/>
      <c r="CK95" s="437" t="n"/>
      <c r="CL95" s="437" t="n"/>
      <c r="CM95" s="437" t="n"/>
      <c r="CN95" s="437" t="n"/>
      <c r="CO95" s="437" t="n"/>
      <c r="CP95" s="437" t="n"/>
      <c r="CQ95" s="437" t="n"/>
      <c r="CR95" s="437" t="n"/>
      <c r="CS95" s="437" t="n"/>
      <c r="CT95" s="437" t="n"/>
      <c r="CU95" s="437" t="n"/>
      <c r="CV95" s="437" t="n"/>
      <c r="CW95" s="437" t="n"/>
      <c r="CX95" s="437" t="n"/>
      <c r="CY95" s="437" t="n"/>
      <c r="CZ95" s="437" t="n"/>
      <c r="DA95" s="437" t="n"/>
      <c r="DB95" s="437" t="n"/>
      <c r="DC95" s="437" t="n"/>
      <c r="DD95" s="437" t="n"/>
      <c r="DE95" s="437" t="n"/>
      <c r="DF95" s="437" t="n"/>
      <c r="DG95" s="437" t="n"/>
      <c r="DH95" s="437" t="n"/>
      <c r="DI95" s="437" t="n"/>
      <c r="DJ95" s="437" t="n"/>
      <c r="DK95" s="437" t="n"/>
      <c r="DL95" s="437" t="n"/>
      <c r="DM95" s="437" t="n"/>
      <c r="DN95" s="437" t="n"/>
      <c r="DO95" s="437" t="n"/>
      <c r="DP95" s="437" t="n"/>
      <c r="DQ95" s="437" t="n"/>
      <c r="DR95" s="437" t="n"/>
      <c r="DS95" s="437" t="n"/>
      <c r="DT95" s="437" t="n"/>
      <c r="DU95" s="437" t="n"/>
      <c r="DV95" s="437" t="n"/>
      <c r="DW95" s="437" t="n"/>
      <c r="DX95" s="437" t="n"/>
      <c r="DY95" s="238" t="n"/>
      <c r="DZ95" s="23" t="n"/>
      <c r="FQ95" s="212" t="n"/>
      <c r="FR95" s="212" t="n"/>
      <c r="FS95" s="212" t="n"/>
      <c r="FT95" s="212" t="n"/>
      <c r="FU95" s="212" t="n"/>
      <c r="FV95" s="212" t="n"/>
      <c r="FW95" s="212" t="n"/>
      <c r="FX95" s="212" t="n"/>
      <c r="FY95" s="212" t="n"/>
      <c r="FZ95" s="212" t="n"/>
    </row>
    <row r="96" ht="39.95" customFormat="1" customHeight="1" s="5">
      <c r="A96" s="456" t="n"/>
      <c r="B96" s="8" t="inlineStr">
        <is>
          <t>PRIMARIES</t>
        </is>
      </c>
      <c r="C96" s="456" t="n"/>
      <c r="D96" s="594" t="n"/>
      <c r="E96" s="595" t="n"/>
      <c r="F96" s="595" t="n"/>
      <c r="G96" s="595" t="n"/>
      <c r="H96" s="596" t="n"/>
      <c r="I96" s="597" t="n"/>
      <c r="J96" s="595" t="n"/>
      <c r="K96" s="595" t="n"/>
      <c r="L96" s="595" t="n"/>
      <c r="M96" s="596" t="n"/>
      <c r="N96" s="597" t="n"/>
      <c r="O96" s="595" t="n"/>
      <c r="P96" s="595" t="n"/>
      <c r="Q96" s="595" t="n"/>
      <c r="R96" s="596" t="n"/>
      <c r="S96" s="597" t="n"/>
      <c r="T96" s="595" t="n"/>
      <c r="U96" s="595" t="n"/>
      <c r="V96" s="595" t="n"/>
      <c r="W96" s="596" t="n"/>
      <c r="X96" s="597" t="n"/>
      <c r="Y96" s="595" t="n"/>
      <c r="Z96" s="595" t="n"/>
      <c r="AA96" s="595" t="n"/>
      <c r="AB96" s="596" t="n"/>
      <c r="AC96" s="597" t="n"/>
      <c r="AD96" s="595" t="n"/>
      <c r="AE96" s="595" t="n"/>
      <c r="AF96" s="595" t="n"/>
      <c r="AG96" s="596" t="n"/>
      <c r="AH96" s="597" t="n"/>
      <c r="AI96" s="595" t="n"/>
      <c r="AJ96" s="595" t="n"/>
      <c r="AK96" s="595" t="n"/>
      <c r="AL96" s="596" t="n"/>
      <c r="AM96" s="597" t="n"/>
      <c r="AN96" s="595" t="n"/>
      <c r="AO96" s="595" t="n"/>
      <c r="AP96" s="595" t="n"/>
      <c r="AQ96" s="596" t="n"/>
      <c r="AR96" s="597" t="n"/>
      <c r="AS96" s="595" t="n"/>
      <c r="AT96" s="595" t="n"/>
      <c r="AU96" s="595" t="n"/>
      <c r="AV96" s="596" t="n"/>
      <c r="AW96" s="597" t="n"/>
      <c r="AX96" s="595" t="n"/>
      <c r="AY96" s="595" t="n"/>
      <c r="AZ96" s="595" t="n"/>
      <c r="BA96" s="596" t="n"/>
      <c r="BB96" s="597" t="n"/>
      <c r="BC96" s="595" t="n"/>
      <c r="BD96" s="595" t="n"/>
      <c r="BE96" s="595" t="n"/>
      <c r="BF96" s="596" t="n"/>
      <c r="BG96" s="597" t="n"/>
      <c r="BH96" s="595" t="n"/>
      <c r="BI96" s="595" t="n"/>
      <c r="BJ96" s="595" t="n"/>
      <c r="BK96" s="596" t="n"/>
      <c r="BL96" s="597" t="n"/>
      <c r="BM96" s="595" t="n"/>
      <c r="BN96" s="595" t="n"/>
      <c r="BO96" s="595" t="n"/>
      <c r="BP96" s="596" t="n"/>
      <c r="BQ96" s="597" t="n"/>
      <c r="BR96" s="595" t="n"/>
      <c r="BS96" s="595" t="n"/>
      <c r="BT96" s="596" t="n"/>
      <c r="BU96" s="437" t="n"/>
      <c r="BV96" s="437" t="n"/>
      <c r="BW96" s="437" t="n"/>
      <c r="BX96" s="437" t="n"/>
      <c r="BY96" s="437" t="n"/>
      <c r="BZ96" s="437" t="n"/>
      <c r="CA96" s="437" t="n"/>
      <c r="CB96" s="437" t="n"/>
      <c r="CC96" s="437" t="n"/>
      <c r="CD96" s="437" t="n"/>
      <c r="CE96" s="437" t="n"/>
      <c r="CF96" s="437" t="n"/>
      <c r="CG96" s="437" t="n"/>
      <c r="CH96" s="437" t="n"/>
      <c r="CI96" s="437" t="n"/>
      <c r="CJ96" s="437" t="n"/>
      <c r="CK96" s="437" t="n"/>
      <c r="CL96" s="437" t="n"/>
      <c r="CM96" s="437" t="n"/>
      <c r="CN96" s="437" t="n"/>
      <c r="CO96" s="437" t="n"/>
      <c r="CP96" s="437" t="n"/>
      <c r="CQ96" s="437" t="n"/>
      <c r="CR96" s="437" t="n"/>
      <c r="CS96" s="437" t="n"/>
      <c r="CT96" s="437" t="n"/>
      <c r="CU96" s="437" t="n"/>
      <c r="CV96" s="437" t="n"/>
      <c r="CW96" s="437" t="n"/>
      <c r="CX96" s="437" t="n"/>
      <c r="CY96" s="437" t="n"/>
      <c r="CZ96" s="437" t="n"/>
      <c r="DA96" s="437" t="n"/>
      <c r="DB96" s="437" t="n"/>
      <c r="DC96" s="437" t="n"/>
      <c r="DD96" s="437" t="n"/>
      <c r="DE96" s="437" t="n"/>
      <c r="DF96" s="437" t="n"/>
      <c r="DG96" s="437" t="n"/>
      <c r="DH96" s="437" t="n"/>
      <c r="DI96" s="437" t="n"/>
      <c r="DJ96" s="437" t="n"/>
      <c r="DK96" s="437" t="n"/>
      <c r="DL96" s="437" t="n"/>
      <c r="DM96" s="437" t="n"/>
      <c r="DN96" s="437" t="n"/>
      <c r="DO96" s="437" t="n"/>
      <c r="DP96" s="437" t="n"/>
      <c r="DQ96" s="437" t="n"/>
      <c r="DR96" s="437" t="n"/>
      <c r="DS96" s="437" t="n"/>
      <c r="DT96" s="437" t="n"/>
      <c r="DU96" s="437" t="n"/>
      <c r="DV96" s="437" t="n"/>
      <c r="DW96" s="437" t="n"/>
      <c r="DX96" s="437" t="n"/>
      <c r="DY96" s="238" t="n"/>
      <c r="DZ96" s="23" t="n"/>
      <c r="FQ96" s="212" t="n"/>
      <c r="FR96" s="212" t="n"/>
      <c r="FS96" s="212" t="n"/>
      <c r="FT96" s="212" t="n"/>
      <c r="FU96" s="212" t="n"/>
      <c r="FV96" s="212" t="n"/>
      <c r="FW96" s="212" t="n"/>
      <c r="FX96" s="212" t="n"/>
      <c r="FY96" s="212" t="n"/>
      <c r="FZ96" s="212" t="n"/>
    </row>
    <row r="97" ht="39.95" customFormat="1" customHeight="1" s="5">
      <c r="A97" s="10" t="inlineStr">
        <is>
          <t>A</t>
        </is>
      </c>
      <c r="B97" s="6" t="inlineStr">
        <is>
          <t>POSITION 'C'</t>
        </is>
      </c>
      <c r="C97" s="351" t="inlineStr">
        <is>
          <t>Year</t>
        </is>
      </c>
      <c r="D97" s="588" t="inlineStr">
        <is>
          <t>ND</t>
        </is>
      </c>
      <c r="E97" s="589" t="inlineStr">
        <is>
          <t>ND</t>
        </is>
      </c>
      <c r="F97" s="589" t="inlineStr">
        <is>
          <t>Jul 2036</t>
        </is>
      </c>
      <c r="G97" s="589" t="inlineStr">
        <is>
          <t>Aug 2041</t>
        </is>
      </c>
      <c r="H97" s="590" t="inlineStr">
        <is>
          <t>ND</t>
        </is>
      </c>
      <c r="I97" s="591" t="inlineStr">
        <is>
          <t>Feb 2052</t>
        </is>
      </c>
      <c r="J97" s="589" t="inlineStr">
        <is>
          <t>Sep 2043</t>
        </is>
      </c>
      <c r="K97" s="589" t="inlineStr">
        <is>
          <t>ND</t>
        </is>
      </c>
      <c r="L97" s="589" t="inlineStr">
        <is>
          <t>Feb 2051</t>
        </is>
      </c>
      <c r="M97" s="590" t="inlineStr">
        <is>
          <t>May 2055</t>
        </is>
      </c>
      <c r="N97" s="591" t="inlineStr">
        <is>
          <t>ND</t>
        </is>
      </c>
      <c r="O97" s="589" t="inlineStr">
        <is>
          <t>Jan 2054</t>
        </is>
      </c>
      <c r="P97" s="589" t="inlineStr">
        <is>
          <t>May 2055</t>
        </is>
      </c>
      <c r="Q97" s="589" t="inlineStr">
        <is>
          <t>ND</t>
        </is>
      </c>
      <c r="R97" s="590" t="inlineStr">
        <is>
          <t>Jan 2051</t>
        </is>
      </c>
      <c r="S97" s="591" t="inlineStr">
        <is>
          <t>Jun 2054</t>
        </is>
      </c>
      <c r="T97" s="589" t="inlineStr">
        <is>
          <t>ND</t>
        </is>
      </c>
      <c r="U97" s="589" t="inlineStr">
        <is>
          <t>May 2055</t>
        </is>
      </c>
      <c r="V97" s="589" t="inlineStr">
        <is>
          <t>Jun 2054</t>
        </is>
      </c>
      <c r="W97" s="590" t="inlineStr">
        <is>
          <t>ND</t>
        </is>
      </c>
      <c r="X97" s="591" t="inlineStr">
        <is>
          <t>May 2055</t>
        </is>
      </c>
      <c r="Y97" s="589" t="inlineStr">
        <is>
          <t>May 2055</t>
        </is>
      </c>
      <c r="Z97" s="589" t="inlineStr">
        <is>
          <t>ND</t>
        </is>
      </c>
      <c r="AA97" s="589" t="inlineStr">
        <is>
          <t>Oct 2048</t>
        </is>
      </c>
      <c r="AB97" s="590" t="inlineStr">
        <is>
          <t>May 2055</t>
        </is>
      </c>
      <c r="AC97" s="591" t="inlineStr">
        <is>
          <t>ND</t>
        </is>
      </c>
      <c r="AD97" s="589" t="inlineStr">
        <is>
          <t>Jul 2049</t>
        </is>
      </c>
      <c r="AE97" s="589" t="inlineStr">
        <is>
          <t>May 2055</t>
        </is>
      </c>
      <c r="AF97" s="589" t="inlineStr">
        <is>
          <t>ND</t>
        </is>
      </c>
      <c r="AG97" s="590" t="inlineStr">
        <is>
          <t>Dec 2045</t>
        </is>
      </c>
      <c r="AH97" s="591" t="inlineStr">
        <is>
          <t>May 2055</t>
        </is>
      </c>
      <c r="AI97" s="589" t="inlineStr">
        <is>
          <t>ND</t>
        </is>
      </c>
      <c r="AJ97" s="589" t="inlineStr">
        <is>
          <t>Jan 2047</t>
        </is>
      </c>
      <c r="AK97" s="589" t="inlineStr">
        <is>
          <t>May 2055</t>
        </is>
      </c>
      <c r="AL97" s="590" t="inlineStr">
        <is>
          <t>ND</t>
        </is>
      </c>
      <c r="AM97" s="591" t="inlineStr">
        <is>
          <t>Mar 2047</t>
        </is>
      </c>
      <c r="AN97" s="589" t="inlineStr">
        <is>
          <t>May 2047</t>
        </is>
      </c>
      <c r="AO97" s="589" t="inlineStr">
        <is>
          <t>ND</t>
        </is>
      </c>
      <c r="AP97" s="589" t="inlineStr">
        <is>
          <t>Jun 2051</t>
        </is>
      </c>
      <c r="AQ97" s="590" t="inlineStr">
        <is>
          <t>Oct 2053</t>
        </is>
      </c>
      <c r="AR97" s="591" t="inlineStr">
        <is>
          <t>ND</t>
        </is>
      </c>
      <c r="AS97" s="589" t="inlineStr">
        <is>
          <t>May 2055</t>
        </is>
      </c>
      <c r="AT97" s="589" t="inlineStr">
        <is>
          <t>May 2055</t>
        </is>
      </c>
      <c r="AU97" s="589" t="inlineStr">
        <is>
          <t>ND</t>
        </is>
      </c>
      <c r="AV97" s="590" t="inlineStr">
        <is>
          <t>Jan 2044</t>
        </is>
      </c>
      <c r="AW97" s="591" t="inlineStr">
        <is>
          <t>May 2055</t>
        </is>
      </c>
      <c r="AX97" s="589" t="inlineStr">
        <is>
          <t>ND</t>
        </is>
      </c>
      <c r="AY97" s="589" t="inlineStr">
        <is>
          <t>Nov 2047</t>
        </is>
      </c>
      <c r="AZ97" s="589" t="inlineStr">
        <is>
          <t>Nov 2050</t>
        </is>
      </c>
      <c r="BA97" s="590" t="inlineStr">
        <is>
          <t>ND</t>
        </is>
      </c>
      <c r="BB97" s="591" t="inlineStr">
        <is>
          <t>May 2055</t>
        </is>
      </c>
      <c r="BC97" s="589" t="inlineStr">
        <is>
          <t>May 2055</t>
        </is>
      </c>
      <c r="BD97" s="589" t="inlineStr">
        <is>
          <t>ND</t>
        </is>
      </c>
      <c r="BE97" s="589" t="inlineStr">
        <is>
          <t>Jul 2041</t>
        </is>
      </c>
      <c r="BF97" s="590" t="inlineStr">
        <is>
          <t>May 2055</t>
        </is>
      </c>
      <c r="BG97" s="591" t="inlineStr">
        <is>
          <t>ND</t>
        </is>
      </c>
      <c r="BH97" s="589" t="inlineStr">
        <is>
          <t>Apr 2045</t>
        </is>
      </c>
      <c r="BI97" s="589" t="inlineStr">
        <is>
          <t>Jun 2047</t>
        </is>
      </c>
      <c r="BJ97" s="589" t="inlineStr">
        <is>
          <t>ND</t>
        </is>
      </c>
      <c r="BK97" s="590" t="inlineStr">
        <is>
          <t>Dec 2054</t>
        </is>
      </c>
      <c r="BL97" s="591" t="inlineStr">
        <is>
          <t>Nov 2054</t>
        </is>
      </c>
      <c r="BM97" s="589" t="inlineStr">
        <is>
          <t>ND</t>
        </is>
      </c>
      <c r="BN97" s="589" t="inlineStr">
        <is>
          <t>Aug 2047</t>
        </is>
      </c>
      <c r="BO97" s="589" t="inlineStr">
        <is>
          <t>May 2055</t>
        </is>
      </c>
      <c r="BP97" s="590" t="inlineStr">
        <is>
          <t>ND</t>
        </is>
      </c>
      <c r="BQ97" s="591" t="inlineStr">
        <is>
          <t>May 2055</t>
        </is>
      </c>
      <c r="BR97" s="589" t="inlineStr">
        <is>
          <t>May 2055</t>
        </is>
      </c>
      <c r="BS97" s="589" t="inlineStr">
        <is>
          <t>ND</t>
        </is>
      </c>
      <c r="BT97" s="590" t="inlineStr">
        <is>
          <t>ND</t>
        </is>
      </c>
      <c r="BU97" s="437" t="n"/>
      <c r="BV97" s="437" t="n"/>
      <c r="BW97" s="437" t="n"/>
      <c r="BX97" s="437" t="n"/>
      <c r="BY97" s="437" t="n"/>
      <c r="BZ97" s="437" t="n"/>
      <c r="CA97" s="437" t="n"/>
      <c r="CB97" s="437" t="n"/>
      <c r="CC97" s="437" t="n"/>
      <c r="CD97" s="437" t="n"/>
      <c r="CE97" s="437" t="n"/>
      <c r="CF97" s="437" t="n"/>
      <c r="CG97" s="437" t="n"/>
      <c r="CH97" s="437" t="n"/>
      <c r="CI97" s="437" t="n"/>
      <c r="CJ97" s="437" t="n"/>
      <c r="CK97" s="437" t="n"/>
      <c r="CL97" s="437" t="n"/>
      <c r="CM97" s="437" t="n"/>
      <c r="CN97" s="437" t="n"/>
      <c r="CO97" s="437" t="n"/>
      <c r="CP97" s="437" t="n"/>
      <c r="CQ97" s="437" t="n"/>
      <c r="CR97" s="437" t="n"/>
      <c r="CS97" s="437" t="n"/>
      <c r="CT97" s="437" t="n"/>
      <c r="CU97" s="437" t="n"/>
      <c r="CV97" s="437" t="n"/>
      <c r="CW97" s="437" t="n"/>
      <c r="CX97" s="437" t="n"/>
      <c r="CY97" s="437" t="n"/>
      <c r="CZ97" s="437" t="n"/>
      <c r="DA97" s="437" t="n"/>
      <c r="DB97" s="437" t="n"/>
      <c r="DC97" s="437" t="n"/>
      <c r="DD97" s="437" t="n"/>
      <c r="DE97" s="437" t="n"/>
      <c r="DF97" s="437" t="n"/>
      <c r="DG97" s="437" t="n"/>
      <c r="DH97" s="437" t="n"/>
      <c r="DI97" s="437" t="n"/>
      <c r="DJ97" s="437" t="n"/>
      <c r="DK97" s="437" t="n"/>
      <c r="DL97" s="437" t="n"/>
      <c r="DM97" s="437" t="n"/>
      <c r="DN97" s="437" t="n"/>
      <c r="DO97" s="437" t="n"/>
      <c r="DP97" s="437" t="n"/>
      <c r="DQ97" s="437" t="n"/>
      <c r="DR97" s="437" t="n"/>
      <c r="DS97" s="437" t="n"/>
      <c r="DT97" s="437" t="n"/>
      <c r="DU97" s="437" t="n"/>
      <c r="DV97" s="437" t="n"/>
      <c r="DW97" s="437" t="n"/>
      <c r="DX97" s="437" t="n"/>
      <c r="DY97" s="238" t="n"/>
      <c r="DZ97" s="23" t="n"/>
      <c r="FQ97" s="212" t="n"/>
      <c r="FR97" s="212" t="n"/>
      <c r="FS97" s="212" t="n"/>
      <c r="FT97" s="212" t="n"/>
      <c r="FU97" s="212" t="n"/>
      <c r="FV97" s="212" t="n"/>
      <c r="FW97" s="212" t="n"/>
      <c r="FX97" s="212" t="n"/>
      <c r="FY97" s="212" t="n"/>
      <c r="FZ97" s="212" t="n"/>
    </row>
    <row r="98" ht="39.95" customFormat="1" customHeight="1" s="5">
      <c r="A98" s="182" t="inlineStr"/>
      <c r="B98" s="7" t="inlineStr">
        <is>
          <t xml:space="preserve">OF THE </t>
        </is>
      </c>
      <c r="C98" s="456" t="n"/>
      <c r="D98" s="13" t="n"/>
      <c r="H98" s="592" t="n"/>
      <c r="I98" s="593" t="n"/>
      <c r="M98" s="592" t="n"/>
      <c r="N98" s="593" t="n"/>
      <c r="R98" s="592" t="n"/>
      <c r="S98" s="593" t="n"/>
      <c r="W98" s="592" t="n"/>
      <c r="X98" s="593" t="n"/>
      <c r="AB98" s="592" t="n"/>
      <c r="AC98" s="593" t="n"/>
      <c r="AG98" s="592" t="n"/>
      <c r="AH98" s="593" t="n"/>
      <c r="AL98" s="592" t="n"/>
      <c r="AM98" s="593" t="n"/>
      <c r="AQ98" s="592" t="n"/>
      <c r="AR98" s="593" t="n"/>
      <c r="AV98" s="592" t="n"/>
      <c r="AW98" s="593" t="n"/>
      <c r="BA98" s="592" t="n"/>
      <c r="BB98" s="593" t="n"/>
      <c r="BF98" s="592" t="n"/>
      <c r="BG98" s="593" t="n"/>
      <c r="BK98" s="592" t="n"/>
      <c r="BL98" s="593" t="n"/>
      <c r="BP98" s="592" t="n"/>
      <c r="BQ98" s="593" t="n"/>
      <c r="BT98" s="592" t="n"/>
      <c r="BU98" s="437" t="n"/>
      <c r="BV98" s="437" t="n"/>
      <c r="BW98" s="437" t="n"/>
      <c r="BX98" s="437" t="n"/>
      <c r="BY98" s="437" t="n"/>
      <c r="BZ98" s="437" t="n"/>
      <c r="CA98" s="437" t="n"/>
      <c r="CB98" s="437" t="n"/>
      <c r="CC98" s="437" t="n"/>
      <c r="CD98" s="437" t="n"/>
      <c r="CE98" s="437" t="n"/>
      <c r="CF98" s="437" t="n"/>
      <c r="CG98" s="437" t="n"/>
      <c r="CH98" s="437" t="n"/>
      <c r="CI98" s="437" t="n"/>
      <c r="CJ98" s="437" t="n"/>
      <c r="CK98" s="437" t="n"/>
      <c r="CL98" s="437" t="n"/>
      <c r="CM98" s="437" t="n"/>
      <c r="CN98" s="437" t="n"/>
      <c r="CO98" s="437" t="n"/>
      <c r="CP98" s="437" t="n"/>
      <c r="CQ98" s="437" t="n"/>
      <c r="CR98" s="437" t="n"/>
      <c r="CS98" s="437" t="n"/>
      <c r="CT98" s="437" t="n"/>
      <c r="CU98" s="437" t="n"/>
      <c r="CV98" s="437" t="n"/>
      <c r="CW98" s="437" t="n"/>
      <c r="CX98" s="437" t="n"/>
      <c r="CY98" s="437" t="n"/>
      <c r="CZ98" s="437" t="n"/>
      <c r="DA98" s="437" t="n"/>
      <c r="DB98" s="437" t="n"/>
      <c r="DC98" s="437" t="n"/>
      <c r="DD98" s="437" t="n"/>
      <c r="DE98" s="437" t="n"/>
      <c r="DF98" s="437" t="n"/>
      <c r="DG98" s="437" t="n"/>
      <c r="DH98" s="437" t="n"/>
      <c r="DI98" s="437" t="n"/>
      <c r="DJ98" s="437" t="n"/>
      <c r="DK98" s="437" t="n"/>
      <c r="DL98" s="437" t="n"/>
      <c r="DM98" s="437" t="n"/>
      <c r="DN98" s="437" t="n"/>
      <c r="DO98" s="437" t="n"/>
      <c r="DP98" s="437" t="n"/>
      <c r="DQ98" s="437" t="n"/>
      <c r="DR98" s="437" t="n"/>
      <c r="DS98" s="437" t="n"/>
      <c r="DT98" s="437" t="n"/>
      <c r="DU98" s="437" t="n"/>
      <c r="DV98" s="437" t="n"/>
      <c r="DW98" s="437" t="n"/>
      <c r="DX98" s="437" t="n"/>
      <c r="DY98" s="238" t="n"/>
      <c r="DZ98" s="23" t="n"/>
      <c r="FQ98" s="212" t="n"/>
      <c r="FR98" s="212" t="n"/>
      <c r="FS98" s="212" t="n"/>
      <c r="FT98" s="212" t="n"/>
      <c r="FU98" s="212" t="n"/>
      <c r="FV98" s="212" t="n"/>
      <c r="FW98" s="212" t="n"/>
      <c r="FX98" s="212" t="n"/>
      <c r="FY98" s="212" t="n"/>
      <c r="FZ98" s="212" t="n"/>
    </row>
    <row r="99" ht="39.95" customFormat="1" customHeight="1" s="5">
      <c r="A99" s="456" t="n"/>
      <c r="B99" s="8" t="inlineStr">
        <is>
          <t>PRIMARIES</t>
        </is>
      </c>
      <c r="C99" s="456" t="n"/>
      <c r="D99" s="594" t="n"/>
      <c r="E99" s="595" t="n"/>
      <c r="F99" s="595" t="n"/>
      <c r="G99" s="595" t="n"/>
      <c r="H99" s="596" t="n"/>
      <c r="I99" s="597" t="n"/>
      <c r="J99" s="595" t="n"/>
      <c r="K99" s="595" t="n"/>
      <c r="L99" s="595" t="n"/>
      <c r="M99" s="596" t="n"/>
      <c r="N99" s="597" t="n"/>
      <c r="O99" s="595" t="n"/>
      <c r="P99" s="595" t="n"/>
      <c r="Q99" s="595" t="n"/>
      <c r="R99" s="596" t="n"/>
      <c r="S99" s="597" t="n"/>
      <c r="T99" s="595" t="n"/>
      <c r="U99" s="595" t="n"/>
      <c r="V99" s="595" t="n"/>
      <c r="W99" s="596" t="n"/>
      <c r="X99" s="597" t="n"/>
      <c r="Y99" s="595" t="n"/>
      <c r="Z99" s="595" t="n"/>
      <c r="AA99" s="595" t="n"/>
      <c r="AB99" s="596" t="n"/>
      <c r="AC99" s="597" t="n"/>
      <c r="AD99" s="595" t="n"/>
      <c r="AE99" s="595" t="n"/>
      <c r="AF99" s="595" t="n"/>
      <c r="AG99" s="596" t="n"/>
      <c r="AH99" s="597" t="n"/>
      <c r="AI99" s="595" t="n"/>
      <c r="AJ99" s="595" t="n"/>
      <c r="AK99" s="595" t="n"/>
      <c r="AL99" s="596" t="n"/>
      <c r="AM99" s="597" t="n"/>
      <c r="AN99" s="595" t="n"/>
      <c r="AO99" s="595" t="n"/>
      <c r="AP99" s="595" t="n"/>
      <c r="AQ99" s="596" t="n"/>
      <c r="AR99" s="597" t="n"/>
      <c r="AS99" s="595" t="n"/>
      <c r="AT99" s="595" t="n"/>
      <c r="AU99" s="595" t="n"/>
      <c r="AV99" s="596" t="n"/>
      <c r="AW99" s="597" t="n"/>
      <c r="AX99" s="595" t="n"/>
      <c r="AY99" s="595" t="n"/>
      <c r="AZ99" s="595" t="n"/>
      <c r="BA99" s="596" t="n"/>
      <c r="BB99" s="597" t="n"/>
      <c r="BC99" s="595" t="n"/>
      <c r="BD99" s="595" t="n"/>
      <c r="BE99" s="595" t="n"/>
      <c r="BF99" s="596" t="n"/>
      <c r="BG99" s="597" t="n"/>
      <c r="BH99" s="595" t="n"/>
      <c r="BI99" s="595" t="n"/>
      <c r="BJ99" s="595" t="n"/>
      <c r="BK99" s="596" t="n"/>
      <c r="BL99" s="597" t="n"/>
      <c r="BM99" s="595" t="n"/>
      <c r="BN99" s="595" t="n"/>
      <c r="BO99" s="595" t="n"/>
      <c r="BP99" s="596" t="n"/>
      <c r="BQ99" s="597" t="n"/>
      <c r="BR99" s="595" t="n"/>
      <c r="BS99" s="595" t="n"/>
      <c r="BT99" s="596" t="n"/>
      <c r="BU99" s="437" t="n"/>
      <c r="BV99" s="437" t="n"/>
      <c r="BW99" s="437" t="n"/>
      <c r="BX99" s="437" t="n"/>
      <c r="BY99" s="437" t="n"/>
      <c r="BZ99" s="437" t="n"/>
      <c r="CA99" s="437" t="n"/>
      <c r="CB99" s="437" t="n"/>
      <c r="CC99" s="437" t="n"/>
      <c r="CD99" s="437" t="n"/>
      <c r="CE99" s="437" t="n"/>
      <c r="CF99" s="437" t="n"/>
      <c r="CG99" s="437" t="n"/>
      <c r="CH99" s="437" t="n"/>
      <c r="CI99" s="437" t="n"/>
      <c r="CJ99" s="437" t="n"/>
      <c r="CK99" s="437" t="n"/>
      <c r="CL99" s="437" t="n"/>
      <c r="CM99" s="437" t="n"/>
      <c r="CN99" s="437" t="n"/>
      <c r="CO99" s="437" t="n"/>
      <c r="CP99" s="437" t="n"/>
      <c r="CQ99" s="437" t="n"/>
      <c r="CR99" s="437" t="n"/>
      <c r="CS99" s="437" t="n"/>
      <c r="CT99" s="437" t="n"/>
      <c r="CU99" s="437" t="n"/>
      <c r="CV99" s="437" t="n"/>
      <c r="CW99" s="437" t="n"/>
      <c r="CX99" s="437" t="n"/>
      <c r="CY99" s="437" t="n"/>
      <c r="CZ99" s="437" t="n"/>
      <c r="DA99" s="437" t="n"/>
      <c r="DB99" s="437" t="n"/>
      <c r="DC99" s="437" t="n"/>
      <c r="DD99" s="437" t="n"/>
      <c r="DE99" s="437" t="n"/>
      <c r="DF99" s="437" t="n"/>
      <c r="DG99" s="437" t="n"/>
      <c r="DH99" s="437" t="n"/>
      <c r="DI99" s="437" t="n"/>
      <c r="DJ99" s="437" t="n"/>
      <c r="DK99" s="437" t="n"/>
      <c r="DL99" s="437" t="n"/>
      <c r="DM99" s="437" t="n"/>
      <c r="DN99" s="437" t="n"/>
      <c r="DO99" s="437" t="n"/>
      <c r="DP99" s="437" t="n"/>
      <c r="DQ99" s="437" t="n"/>
      <c r="DR99" s="437" t="n"/>
      <c r="DS99" s="437" t="n"/>
      <c r="DT99" s="437" t="n"/>
      <c r="DU99" s="437" t="n"/>
      <c r="DV99" s="437" t="n"/>
      <c r="DW99" s="437" t="n"/>
      <c r="DX99" s="437" t="n"/>
      <c r="DY99" s="238" t="n"/>
      <c r="DZ99" s="23" t="n"/>
      <c r="FQ99" s="212" t="n"/>
      <c r="FR99" s="212" t="n"/>
      <c r="FS99" s="212" t="n"/>
      <c r="FT99" s="212" t="n"/>
      <c r="FU99" s="212" t="n"/>
      <c r="FV99" s="212" t="n"/>
      <c r="FW99" s="212" t="n"/>
      <c r="FX99" s="212" t="n"/>
      <c r="FY99" s="212" t="n"/>
      <c r="FZ99" s="212" t="n"/>
    </row>
    <row r="100" ht="39.95" customFormat="1" customHeight="1" s="5">
      <c r="A100" s="10" t="inlineStr">
        <is>
          <t>A</t>
        </is>
      </c>
      <c r="B100" s="6" t="n"/>
      <c r="C100" s="351" t="inlineStr">
        <is>
          <t>Year</t>
        </is>
      </c>
      <c r="D100" s="588" t="inlineStr">
        <is>
          <t>May 2055</t>
        </is>
      </c>
      <c r="E100" s="589" t="inlineStr">
        <is>
          <t>Dec 2045</t>
        </is>
      </c>
      <c r="F100" s="589" t="inlineStr">
        <is>
          <t>May 2055</t>
        </is>
      </c>
      <c r="G100" s="589" t="inlineStr">
        <is>
          <t>May 2055</t>
        </is>
      </c>
      <c r="H100" s="590" t="inlineStr">
        <is>
          <t>May 2055</t>
        </is>
      </c>
      <c r="I100" s="591" t="inlineStr">
        <is>
          <t>Nov 2041</t>
        </is>
      </c>
      <c r="J100" s="589" t="inlineStr">
        <is>
          <t>May 2055</t>
        </is>
      </c>
      <c r="K100" s="589" t="inlineStr">
        <is>
          <t>May 2055</t>
        </is>
      </c>
      <c r="L100" s="589" t="inlineStr">
        <is>
          <t>May 2055</t>
        </is>
      </c>
      <c r="M100" s="590" t="inlineStr">
        <is>
          <t>May 2055</t>
        </is>
      </c>
      <c r="N100" s="591" t="inlineStr">
        <is>
          <t>May 2055</t>
        </is>
      </c>
      <c r="O100" s="589" t="inlineStr">
        <is>
          <t>May 2055</t>
        </is>
      </c>
      <c r="P100" s="589" t="inlineStr">
        <is>
          <t>May 2055</t>
        </is>
      </c>
      <c r="Q100" s="589" t="inlineStr">
        <is>
          <t>May 2055</t>
        </is>
      </c>
      <c r="R100" s="590" t="inlineStr">
        <is>
          <t>May 2055</t>
        </is>
      </c>
      <c r="S100" s="591" t="inlineStr">
        <is>
          <t>May 2055</t>
        </is>
      </c>
      <c r="T100" s="589" t="inlineStr">
        <is>
          <t>Apr 2051</t>
        </is>
      </c>
      <c r="U100" s="589" t="inlineStr">
        <is>
          <t>May 2055</t>
        </is>
      </c>
      <c r="V100" s="589" t="inlineStr">
        <is>
          <t>ND</t>
        </is>
      </c>
      <c r="W100" s="590" t="inlineStr">
        <is>
          <t>Jul 2052</t>
        </is>
      </c>
      <c r="X100" s="591" t="inlineStr">
        <is>
          <t>May 2055</t>
        </is>
      </c>
      <c r="Y100" s="589" t="inlineStr">
        <is>
          <t>Aug 2036</t>
        </is>
      </c>
      <c r="Z100" s="589" t="inlineStr">
        <is>
          <t>May 2055</t>
        </is>
      </c>
      <c r="AA100" s="589" t="inlineStr">
        <is>
          <t>May 2055</t>
        </is>
      </c>
      <c r="AB100" s="590" t="inlineStr">
        <is>
          <t>May 2055</t>
        </is>
      </c>
      <c r="AC100" s="591" t="inlineStr">
        <is>
          <t>Jan 2055</t>
        </is>
      </c>
      <c r="AD100" s="589" t="inlineStr">
        <is>
          <t>May 2055</t>
        </is>
      </c>
      <c r="AE100" s="589" t="inlineStr">
        <is>
          <t>May 2055</t>
        </is>
      </c>
      <c r="AF100" s="589" t="inlineStr">
        <is>
          <t>Nov 2043</t>
        </is>
      </c>
      <c r="AG100" s="590" t="inlineStr">
        <is>
          <t>May 2055</t>
        </is>
      </c>
      <c r="AH100" s="591" t="inlineStr">
        <is>
          <t>May 2055</t>
        </is>
      </c>
      <c r="AI100" s="589" t="inlineStr">
        <is>
          <t>May 2055</t>
        </is>
      </c>
      <c r="AJ100" s="589" t="inlineStr">
        <is>
          <t>May 2055</t>
        </is>
      </c>
      <c r="AK100" s="589" t="inlineStr">
        <is>
          <t>May 2055</t>
        </is>
      </c>
      <c r="AL100" s="590" t="inlineStr">
        <is>
          <t>May 2055</t>
        </is>
      </c>
      <c r="AM100" s="591" t="inlineStr">
        <is>
          <t>Apr 2050</t>
        </is>
      </c>
      <c r="AN100" s="589" t="inlineStr">
        <is>
          <t>Dec 2043</t>
        </is>
      </c>
      <c r="AO100" s="589" t="inlineStr">
        <is>
          <t>Oct 2054</t>
        </is>
      </c>
      <c r="AP100" s="589" t="inlineStr">
        <is>
          <t>May 2055</t>
        </is>
      </c>
      <c r="AQ100" s="590" t="inlineStr">
        <is>
          <t>May 2055</t>
        </is>
      </c>
      <c r="AR100" s="591" t="inlineStr">
        <is>
          <t>Apr 2049</t>
        </is>
      </c>
      <c r="AS100" s="589" t="inlineStr">
        <is>
          <t>May 2055</t>
        </is>
      </c>
      <c r="AT100" s="589" t="inlineStr">
        <is>
          <t>May 2055</t>
        </is>
      </c>
      <c r="AU100" s="589" t="inlineStr">
        <is>
          <t>May 2055</t>
        </is>
      </c>
      <c r="AV100" s="590" t="inlineStr">
        <is>
          <t>May 2055</t>
        </is>
      </c>
      <c r="AW100" s="591" t="inlineStr">
        <is>
          <t>May 2055</t>
        </is>
      </c>
      <c r="AX100" s="589" t="inlineStr">
        <is>
          <t>May 2055</t>
        </is>
      </c>
      <c r="AY100" s="589" t="inlineStr">
        <is>
          <t>May 2055</t>
        </is>
      </c>
      <c r="AZ100" s="589" t="inlineStr">
        <is>
          <t>May 2055</t>
        </is>
      </c>
      <c r="BA100" s="590" t="inlineStr">
        <is>
          <t>May 2039</t>
        </is>
      </c>
      <c r="BB100" s="591" t="inlineStr">
        <is>
          <t>May 2055</t>
        </is>
      </c>
      <c r="BC100" s="589" t="inlineStr">
        <is>
          <t>May 2055</t>
        </is>
      </c>
      <c r="BD100" s="589" t="inlineStr">
        <is>
          <t>May 2055</t>
        </is>
      </c>
      <c r="BE100" s="589" t="inlineStr">
        <is>
          <t>Jun 2037</t>
        </is>
      </c>
      <c r="BF100" s="590" t="inlineStr">
        <is>
          <t>May 2055</t>
        </is>
      </c>
      <c r="BG100" s="591" t="inlineStr">
        <is>
          <t>May 2055</t>
        </is>
      </c>
      <c r="BH100" s="589" t="inlineStr">
        <is>
          <t>May 2055</t>
        </is>
      </c>
      <c r="BI100" s="589" t="inlineStr">
        <is>
          <t>May 2055</t>
        </is>
      </c>
      <c r="BJ100" s="589" t="inlineStr">
        <is>
          <t>May 2055</t>
        </is>
      </c>
      <c r="BK100" s="590" t="inlineStr">
        <is>
          <t>May 2055</t>
        </is>
      </c>
      <c r="BL100" s="591" t="inlineStr">
        <is>
          <t>May 2055</t>
        </is>
      </c>
      <c r="BM100" s="589" t="inlineStr">
        <is>
          <t>May 2055</t>
        </is>
      </c>
      <c r="BN100" s="589" t="inlineStr">
        <is>
          <t>Jul 2047</t>
        </is>
      </c>
      <c r="BO100" s="589" t="inlineStr">
        <is>
          <t>Mar 2051</t>
        </is>
      </c>
      <c r="BP100" s="590" t="inlineStr">
        <is>
          <t>May 2055</t>
        </is>
      </c>
      <c r="BQ100" s="591" t="inlineStr">
        <is>
          <t>Jul 2049</t>
        </is>
      </c>
      <c r="BR100" s="589" t="inlineStr">
        <is>
          <t>Jan 2045</t>
        </is>
      </c>
      <c r="BS100" s="589" t="inlineStr">
        <is>
          <t>May 2055</t>
        </is>
      </c>
      <c r="BT100" s="590" t="inlineStr">
        <is>
          <t>May 2055</t>
        </is>
      </c>
      <c r="BU100" s="437" t="n"/>
      <c r="BV100" s="437" t="n"/>
      <c r="BW100" s="437" t="n"/>
      <c r="BX100" s="437" t="n"/>
      <c r="BY100" s="437" t="n"/>
      <c r="BZ100" s="437" t="n"/>
      <c r="CA100" s="437" t="n"/>
      <c r="CB100" s="437" t="n"/>
      <c r="CC100" s="437" t="n"/>
      <c r="CD100" s="437" t="n"/>
      <c r="CE100" s="437" t="n"/>
      <c r="CF100" s="437" t="n"/>
      <c r="CG100" s="437" t="n"/>
      <c r="CH100" s="437" t="n"/>
      <c r="CI100" s="437" t="n"/>
      <c r="CJ100" s="437" t="n"/>
      <c r="CK100" s="437" t="n"/>
      <c r="CL100" s="437" t="n"/>
      <c r="CM100" s="437" t="n"/>
      <c r="CN100" s="437" t="n"/>
      <c r="CO100" s="437" t="n"/>
      <c r="CP100" s="437" t="n"/>
      <c r="CQ100" s="437" t="n"/>
      <c r="CR100" s="437" t="n"/>
      <c r="CS100" s="437" t="n"/>
      <c r="CT100" s="437" t="n"/>
      <c r="CU100" s="437" t="n"/>
      <c r="CV100" s="437" t="n"/>
      <c r="CW100" s="437" t="n"/>
      <c r="CX100" s="437" t="n"/>
      <c r="CY100" s="437" t="n"/>
      <c r="CZ100" s="437" t="n"/>
      <c r="DA100" s="437" t="n"/>
      <c r="DB100" s="437" t="n"/>
      <c r="DC100" s="437" t="n"/>
      <c r="DD100" s="437" t="n"/>
      <c r="DE100" s="437" t="n"/>
      <c r="DF100" s="437" t="n"/>
      <c r="DG100" s="437" t="n"/>
      <c r="DH100" s="437" t="n"/>
      <c r="DI100" s="437" t="n"/>
      <c r="DJ100" s="437" t="n"/>
      <c r="DK100" s="437" t="n"/>
      <c r="DL100" s="437" t="n"/>
      <c r="DM100" s="437" t="n"/>
      <c r="DN100" s="437" t="n"/>
      <c r="DO100" s="437" t="n"/>
      <c r="DP100" s="437" t="n"/>
      <c r="DQ100" s="437" t="n"/>
      <c r="DR100" s="437" t="n"/>
      <c r="DS100" s="437" t="n"/>
      <c r="DT100" s="437" t="n"/>
      <c r="DU100" s="437" t="n"/>
      <c r="DV100" s="437" t="n"/>
      <c r="DW100" s="437" t="n"/>
      <c r="DX100" s="437" t="n"/>
      <c r="DY100" s="238" t="n"/>
      <c r="DZ100" s="23" t="n"/>
      <c r="FQ100" s="212" t="n"/>
      <c r="FR100" s="212" t="n"/>
      <c r="FS100" s="212" t="n"/>
      <c r="FT100" s="212" t="n"/>
      <c r="FU100" s="212" t="n"/>
      <c r="FV100" s="212" t="n"/>
      <c r="FW100" s="212" t="n"/>
      <c r="FX100" s="212" t="n"/>
      <c r="FY100" s="212" t="n"/>
      <c r="FZ100" s="212" t="n"/>
    </row>
    <row r="101" ht="39.95" customFormat="1" customHeight="1" s="5">
      <c r="A101" s="182" t="inlineStr"/>
      <c r="B101" s="7" t="inlineStr">
        <is>
          <t>-63 IN</t>
        </is>
      </c>
      <c r="C101" s="456" t="n"/>
      <c r="D101" s="13" t="n"/>
      <c r="H101" s="592" t="n"/>
      <c r="I101" s="593" t="n"/>
      <c r="M101" s="592" t="n"/>
      <c r="N101" s="593" t="n"/>
      <c r="R101" s="592" t="n"/>
      <c r="S101" s="593" t="n"/>
      <c r="W101" s="592" t="n"/>
      <c r="X101" s="593" t="n"/>
      <c r="AB101" s="592" t="n"/>
      <c r="AC101" s="593" t="n"/>
      <c r="AG101" s="592" t="n"/>
      <c r="AH101" s="593" t="n"/>
      <c r="AL101" s="592" t="n"/>
      <c r="AM101" s="593" t="n"/>
      <c r="AQ101" s="592" t="n"/>
      <c r="AR101" s="593" t="n"/>
      <c r="AV101" s="592" t="n"/>
      <c r="AW101" s="593" t="n"/>
      <c r="BA101" s="592" t="n"/>
      <c r="BB101" s="593" t="n"/>
      <c r="BF101" s="592" t="n"/>
      <c r="BG101" s="593" t="n"/>
      <c r="BK101" s="592" t="n"/>
      <c r="BL101" s="593" t="n"/>
      <c r="BP101" s="592" t="n"/>
      <c r="BQ101" s="593" t="n"/>
      <c r="BT101" s="592" t="n"/>
      <c r="BU101" s="437" t="n"/>
      <c r="BV101" s="437" t="n"/>
      <c r="BW101" s="437" t="n"/>
      <c r="BX101" s="437" t="n"/>
      <c r="BY101" s="437" t="n"/>
      <c r="BZ101" s="437" t="n"/>
      <c r="CA101" s="437" t="n"/>
      <c r="CB101" s="437" t="n"/>
      <c r="CC101" s="437" t="n"/>
      <c r="CD101" s="437" t="n"/>
      <c r="CE101" s="437" t="n"/>
      <c r="CF101" s="437" t="n"/>
      <c r="CG101" s="437" t="n"/>
      <c r="CH101" s="437" t="n"/>
      <c r="CI101" s="437" t="n"/>
      <c r="CJ101" s="437" t="n"/>
      <c r="CK101" s="437" t="n"/>
      <c r="CL101" s="437" t="n"/>
      <c r="CM101" s="437" t="n"/>
      <c r="CN101" s="437" t="n"/>
      <c r="CO101" s="437" t="n"/>
      <c r="CP101" s="437" t="n"/>
      <c r="CQ101" s="437" t="n"/>
      <c r="CR101" s="437" t="n"/>
      <c r="CS101" s="437" t="n"/>
      <c r="CT101" s="437" t="n"/>
      <c r="CU101" s="437" t="n"/>
      <c r="CV101" s="437" t="n"/>
      <c r="CW101" s="437" t="n"/>
      <c r="CX101" s="437" t="n"/>
      <c r="CY101" s="437" t="n"/>
      <c r="CZ101" s="437" t="n"/>
      <c r="DA101" s="437" t="n"/>
      <c r="DB101" s="437" t="n"/>
      <c r="DC101" s="437" t="n"/>
      <c r="DD101" s="437" t="n"/>
      <c r="DE101" s="437" t="n"/>
      <c r="DF101" s="437" t="n"/>
      <c r="DG101" s="437" t="n"/>
      <c r="DH101" s="437" t="n"/>
      <c r="DI101" s="437" t="n"/>
      <c r="DJ101" s="437" t="n"/>
      <c r="DK101" s="437" t="n"/>
      <c r="DL101" s="437" t="n"/>
      <c r="DM101" s="437" t="n"/>
      <c r="DN101" s="437" t="n"/>
      <c r="DO101" s="437" t="n"/>
      <c r="DP101" s="437" t="n"/>
      <c r="DQ101" s="437" t="n"/>
      <c r="DR101" s="437" t="n"/>
      <c r="DS101" s="437" t="n"/>
      <c r="DT101" s="437" t="n"/>
      <c r="DU101" s="437" t="n"/>
      <c r="DV101" s="437" t="n"/>
      <c r="DW101" s="437" t="n"/>
      <c r="DX101" s="437" t="n"/>
      <c r="DY101" s="238" t="n"/>
      <c r="DZ101" s="23" t="n"/>
      <c r="FQ101" s="212" t="n"/>
      <c r="FR101" s="212" t="n"/>
      <c r="FS101" s="212" t="n"/>
      <c r="FT101" s="212" t="n"/>
      <c r="FU101" s="212" t="n"/>
      <c r="FV101" s="212" t="n"/>
      <c r="FW101" s="212" t="n"/>
      <c r="FX101" s="212" t="n"/>
      <c r="FY101" s="212" t="n"/>
      <c r="FZ101" s="212" t="n"/>
    </row>
    <row r="102" ht="39.95" customFormat="1" customHeight="1" s="5">
      <c r="A102" s="456" t="n"/>
      <c r="B102" s="8" t="n"/>
      <c r="C102" s="456" t="n"/>
      <c r="D102" s="594" t="n"/>
      <c r="E102" s="595" t="n"/>
      <c r="F102" s="595" t="n"/>
      <c r="G102" s="595" t="n"/>
      <c r="H102" s="596" t="n"/>
      <c r="I102" s="597" t="n"/>
      <c r="J102" s="595" t="n"/>
      <c r="K102" s="595" t="n"/>
      <c r="L102" s="595" t="n"/>
      <c r="M102" s="596" t="n"/>
      <c r="N102" s="597" t="n"/>
      <c r="O102" s="595" t="n"/>
      <c r="P102" s="595" t="n"/>
      <c r="Q102" s="595" t="n"/>
      <c r="R102" s="596" t="n"/>
      <c r="S102" s="597" t="n"/>
      <c r="T102" s="595" t="n"/>
      <c r="U102" s="595" t="n"/>
      <c r="V102" s="595" t="n"/>
      <c r="W102" s="596" t="n"/>
      <c r="X102" s="597" t="n"/>
      <c r="Y102" s="595" t="n"/>
      <c r="Z102" s="595" t="n"/>
      <c r="AA102" s="595" t="n"/>
      <c r="AB102" s="596" t="n"/>
      <c r="AC102" s="597" t="n"/>
      <c r="AD102" s="595" t="n"/>
      <c r="AE102" s="595" t="n"/>
      <c r="AF102" s="595" t="n"/>
      <c r="AG102" s="596" t="n"/>
      <c r="AH102" s="597" t="n"/>
      <c r="AI102" s="595" t="n"/>
      <c r="AJ102" s="595" t="n"/>
      <c r="AK102" s="595" t="n"/>
      <c r="AL102" s="596" t="n"/>
      <c r="AM102" s="597" t="n"/>
      <c r="AN102" s="595" t="n"/>
      <c r="AO102" s="595" t="n"/>
      <c r="AP102" s="595" t="n"/>
      <c r="AQ102" s="596" t="n"/>
      <c r="AR102" s="597" t="n"/>
      <c r="AS102" s="595" t="n"/>
      <c r="AT102" s="595" t="n"/>
      <c r="AU102" s="595" t="n"/>
      <c r="AV102" s="596" t="n"/>
      <c r="AW102" s="597" t="n"/>
      <c r="AX102" s="595" t="n"/>
      <c r="AY102" s="595" t="n"/>
      <c r="AZ102" s="595" t="n"/>
      <c r="BA102" s="596" t="n"/>
      <c r="BB102" s="597" t="n"/>
      <c r="BC102" s="595" t="n"/>
      <c r="BD102" s="595" t="n"/>
      <c r="BE102" s="595" t="n"/>
      <c r="BF102" s="596" t="n"/>
      <c r="BG102" s="597" t="n"/>
      <c r="BH102" s="595" t="n"/>
      <c r="BI102" s="595" t="n"/>
      <c r="BJ102" s="595" t="n"/>
      <c r="BK102" s="596" t="n"/>
      <c r="BL102" s="597" t="n"/>
      <c r="BM102" s="595" t="n"/>
      <c r="BN102" s="595" t="n"/>
      <c r="BO102" s="595" t="n"/>
      <c r="BP102" s="596" t="n"/>
      <c r="BQ102" s="597" t="n"/>
      <c r="BR102" s="595" t="n"/>
      <c r="BS102" s="595" t="n"/>
      <c r="BT102" s="596" t="n"/>
      <c r="BU102" s="437" t="n"/>
      <c r="BV102" s="437" t="n"/>
      <c r="BW102" s="437" t="n"/>
      <c r="BX102" s="437" t="n"/>
      <c r="BY102" s="437" t="n"/>
      <c r="BZ102" s="437" t="n"/>
      <c r="CA102" s="437" t="n"/>
      <c r="CB102" s="437" t="n"/>
      <c r="CC102" s="437" t="n"/>
      <c r="CD102" s="437" t="n"/>
      <c r="CE102" s="437" t="n"/>
      <c r="CF102" s="437" t="n"/>
      <c r="CG102" s="437" t="n"/>
      <c r="CH102" s="437" t="n"/>
      <c r="CI102" s="437" t="n"/>
      <c r="CJ102" s="437" t="n"/>
      <c r="CK102" s="437" t="n"/>
      <c r="CL102" s="437" t="n"/>
      <c r="CM102" s="437" t="n"/>
      <c r="CN102" s="437" t="n"/>
      <c r="CO102" s="437" t="n"/>
      <c r="CP102" s="437" t="n"/>
      <c r="CQ102" s="437" t="n"/>
      <c r="CR102" s="437" t="n"/>
      <c r="CS102" s="437" t="n"/>
      <c r="CT102" s="437" t="n"/>
      <c r="CU102" s="437" t="n"/>
      <c r="CV102" s="437" t="n"/>
      <c r="CW102" s="437" t="n"/>
      <c r="CX102" s="437" t="n"/>
      <c r="CY102" s="437" t="n"/>
      <c r="CZ102" s="437" t="n"/>
      <c r="DA102" s="437" t="n"/>
      <c r="DB102" s="437" t="n"/>
      <c r="DC102" s="437" t="n"/>
      <c r="DD102" s="437" t="n"/>
      <c r="DE102" s="437" t="n"/>
      <c r="DF102" s="437" t="n"/>
      <c r="DG102" s="437" t="n"/>
      <c r="DH102" s="437" t="n"/>
      <c r="DI102" s="437" t="n"/>
      <c r="DJ102" s="437" t="n"/>
      <c r="DK102" s="437" t="n"/>
      <c r="DL102" s="437" t="n"/>
      <c r="DM102" s="437" t="n"/>
      <c r="DN102" s="437" t="n"/>
      <c r="DO102" s="437" t="n"/>
      <c r="DP102" s="437" t="n"/>
      <c r="DQ102" s="437" t="n"/>
      <c r="DR102" s="437" t="n"/>
      <c r="DS102" s="437" t="n"/>
      <c r="DT102" s="437" t="n"/>
      <c r="DU102" s="437" t="n"/>
      <c r="DV102" s="437" t="n"/>
      <c r="DW102" s="437" t="n"/>
      <c r="DX102" s="437" t="n"/>
      <c r="DY102" s="238" t="n"/>
      <c r="DZ102" s="23" t="n"/>
      <c r="FQ102" s="212" t="n"/>
      <c r="FR102" s="212" t="n"/>
      <c r="FS102" s="212" t="n"/>
      <c r="FT102" s="212" t="n"/>
      <c r="FU102" s="212" t="n"/>
      <c r="FV102" s="212" t="n"/>
      <c r="FW102" s="212" t="n"/>
      <c r="FX102" s="212" t="n"/>
      <c r="FY102" s="212" t="n"/>
      <c r="FZ102" s="212" t="n"/>
    </row>
    <row r="103" ht="39.95" customFormat="1" customHeight="1" s="5">
      <c r="A103" s="10" t="inlineStr">
        <is>
          <t>A</t>
        </is>
      </c>
      <c r="B103" s="6" t="n"/>
      <c r="C103" s="351" t="inlineStr">
        <is>
          <t>Year</t>
        </is>
      </c>
      <c r="D103" s="588" t="inlineStr">
        <is>
          <t>May 2055</t>
        </is>
      </c>
      <c r="E103" s="589" t="inlineStr">
        <is>
          <t>May 2055</t>
        </is>
      </c>
      <c r="F103" s="589" t="inlineStr">
        <is>
          <t>May 2055</t>
        </is>
      </c>
      <c r="G103" s="589" t="inlineStr">
        <is>
          <t>May 2055</t>
        </is>
      </c>
      <c r="H103" s="590" t="inlineStr">
        <is>
          <t>Apr 2055</t>
        </is>
      </c>
      <c r="I103" s="591" t="inlineStr">
        <is>
          <t>May 2055</t>
        </is>
      </c>
      <c r="J103" s="589" t="inlineStr">
        <is>
          <t>May 2055</t>
        </is>
      </c>
      <c r="K103" s="589" t="inlineStr">
        <is>
          <t>May 2055</t>
        </is>
      </c>
      <c r="L103" s="589" t="inlineStr">
        <is>
          <t>May 2055</t>
        </is>
      </c>
      <c r="M103" s="590" t="inlineStr">
        <is>
          <t>May 2055</t>
        </is>
      </c>
      <c r="N103" s="591" t="inlineStr">
        <is>
          <t>May 2055</t>
        </is>
      </c>
      <c r="O103" s="589" t="inlineStr">
        <is>
          <t>Oct 2042</t>
        </is>
      </c>
      <c r="P103" s="589" t="inlineStr">
        <is>
          <t>Apr 2037</t>
        </is>
      </c>
      <c r="Q103" s="589" t="inlineStr">
        <is>
          <t>Aug 2052</t>
        </is>
      </c>
      <c r="R103" s="590" t="inlineStr">
        <is>
          <t>Feb 2049</t>
        </is>
      </c>
      <c r="S103" s="591" t="inlineStr">
        <is>
          <t>Oct 2043</t>
        </is>
      </c>
      <c r="T103" s="589" t="inlineStr">
        <is>
          <t>Apr 2034</t>
        </is>
      </c>
      <c r="U103" s="589" t="inlineStr">
        <is>
          <t>May 2055</t>
        </is>
      </c>
      <c r="V103" s="589" t="inlineStr">
        <is>
          <t>May 2055</t>
        </is>
      </c>
      <c r="W103" s="590" t="inlineStr">
        <is>
          <t>Apr 2045</t>
        </is>
      </c>
      <c r="X103" s="591" t="inlineStr">
        <is>
          <t>Feb 2051</t>
        </is>
      </c>
      <c r="Y103" s="589" t="inlineStr">
        <is>
          <t>May 2055</t>
        </is>
      </c>
      <c r="Z103" s="589" t="inlineStr">
        <is>
          <t>Feb 2040</t>
        </is>
      </c>
      <c r="AA103" s="589" t="inlineStr">
        <is>
          <t>May 2055</t>
        </is>
      </c>
      <c r="AB103" s="590" t="inlineStr">
        <is>
          <t>Jun 2052</t>
        </is>
      </c>
      <c r="AC103" s="591" t="inlineStr">
        <is>
          <t>May 2032</t>
        </is>
      </c>
      <c r="AD103" s="589" t="inlineStr">
        <is>
          <t>Oct 2048</t>
        </is>
      </c>
      <c r="AE103" s="589" t="inlineStr">
        <is>
          <t>May 2055</t>
        </is>
      </c>
      <c r="AF103" s="589" t="inlineStr">
        <is>
          <t>May 2036</t>
        </is>
      </c>
      <c r="AG103" s="590" t="inlineStr">
        <is>
          <t>May 2055</t>
        </is>
      </c>
      <c r="AH103" s="591" t="inlineStr">
        <is>
          <t>Aug 2054</t>
        </is>
      </c>
      <c r="AI103" s="589" t="inlineStr">
        <is>
          <t>Nov 2054</t>
        </is>
      </c>
      <c r="AJ103" s="589" t="inlineStr">
        <is>
          <t>May 2055</t>
        </is>
      </c>
      <c r="AK103" s="589" t="inlineStr">
        <is>
          <t>May 2055</t>
        </is>
      </c>
      <c r="AL103" s="590" t="inlineStr">
        <is>
          <t>Oct 2048</t>
        </is>
      </c>
      <c r="AM103" s="591" t="inlineStr">
        <is>
          <t>Sep 2047</t>
        </is>
      </c>
      <c r="AN103" s="589" t="inlineStr">
        <is>
          <t>May 2055</t>
        </is>
      </c>
      <c r="AO103" s="589" t="inlineStr">
        <is>
          <t>May 2055</t>
        </is>
      </c>
      <c r="AP103" s="589" t="inlineStr">
        <is>
          <t>Nov 2047</t>
        </is>
      </c>
      <c r="AQ103" s="590" t="inlineStr">
        <is>
          <t>May 2055</t>
        </is>
      </c>
      <c r="AR103" s="591" t="inlineStr">
        <is>
          <t>Aug 2050</t>
        </is>
      </c>
      <c r="AS103" s="589" t="inlineStr">
        <is>
          <t>May 2055</t>
        </is>
      </c>
      <c r="AT103" s="589" t="inlineStr">
        <is>
          <t>Mar 2034</t>
        </is>
      </c>
      <c r="AU103" s="589" t="inlineStr">
        <is>
          <t>May 2055</t>
        </is>
      </c>
      <c r="AV103" s="590" t="inlineStr">
        <is>
          <t>Jun 2052</t>
        </is>
      </c>
      <c r="AW103" s="591" t="inlineStr">
        <is>
          <t>May 2055</t>
        </is>
      </c>
      <c r="AX103" s="589" t="inlineStr">
        <is>
          <t>May 2055</t>
        </is>
      </c>
      <c r="AY103" s="589" t="inlineStr">
        <is>
          <t>May 2055</t>
        </is>
      </c>
      <c r="AZ103" s="589" t="inlineStr">
        <is>
          <t>Nov 2050</t>
        </is>
      </c>
      <c r="BA103" s="590" t="inlineStr">
        <is>
          <t>May 2055</t>
        </is>
      </c>
      <c r="BB103" s="591" t="inlineStr">
        <is>
          <t>May 2055</t>
        </is>
      </c>
      <c r="BC103" s="589" t="inlineStr">
        <is>
          <t>May 2055</t>
        </is>
      </c>
      <c r="BD103" s="589" t="inlineStr">
        <is>
          <t>May 2055</t>
        </is>
      </c>
      <c r="BE103" s="589" t="inlineStr">
        <is>
          <t>May 2055</t>
        </is>
      </c>
      <c r="BF103" s="590" t="inlineStr">
        <is>
          <t>May 2055</t>
        </is>
      </c>
      <c r="BG103" s="591" t="inlineStr">
        <is>
          <t>ND</t>
        </is>
      </c>
      <c r="BH103" s="589" t="inlineStr">
        <is>
          <t>ND</t>
        </is>
      </c>
      <c r="BI103" s="589" t="inlineStr">
        <is>
          <t>Aug 2046</t>
        </is>
      </c>
      <c r="BJ103" s="589" t="inlineStr">
        <is>
          <t>ND</t>
        </is>
      </c>
      <c r="BK103" s="590" t="inlineStr">
        <is>
          <t>May 2055</t>
        </is>
      </c>
      <c r="BL103" s="591" t="inlineStr">
        <is>
          <t>Aug 2035</t>
        </is>
      </c>
      <c r="BM103" s="589" t="inlineStr">
        <is>
          <t>Apr 2042</t>
        </is>
      </c>
      <c r="BN103" s="589" t="inlineStr">
        <is>
          <t>May 2055</t>
        </is>
      </c>
      <c r="BO103" s="589" t="inlineStr">
        <is>
          <t>Oct 2054</t>
        </is>
      </c>
      <c r="BP103" s="590" t="inlineStr">
        <is>
          <t>Aug 2039</t>
        </is>
      </c>
      <c r="BQ103" s="591" t="inlineStr">
        <is>
          <t>May 2055</t>
        </is>
      </c>
      <c r="BR103" s="589" t="inlineStr">
        <is>
          <t>May 2055</t>
        </is>
      </c>
      <c r="BS103" s="589" t="inlineStr">
        <is>
          <t>Aug 2043</t>
        </is>
      </c>
      <c r="BT103" s="590" t="inlineStr">
        <is>
          <t>Mar 2046</t>
        </is>
      </c>
      <c r="BU103" s="437" t="n"/>
      <c r="BV103" s="437" t="n"/>
      <c r="BW103" s="437" t="n"/>
      <c r="BX103" s="437" t="n"/>
      <c r="BY103" s="437" t="n"/>
      <c r="BZ103" s="437" t="n"/>
      <c r="CA103" s="437" t="n"/>
      <c r="CB103" s="437" t="n"/>
      <c r="CC103" s="437" t="n"/>
      <c r="CD103" s="437" t="n"/>
      <c r="CE103" s="437" t="n"/>
      <c r="CF103" s="437" t="n"/>
      <c r="CG103" s="437" t="n"/>
      <c r="CH103" s="437" t="n"/>
      <c r="CI103" s="437" t="n"/>
      <c r="CJ103" s="437" t="n"/>
      <c r="CK103" s="437" t="n"/>
      <c r="CL103" s="437" t="n"/>
      <c r="CM103" s="437" t="n"/>
      <c r="CN103" s="437" t="n"/>
      <c r="CO103" s="437" t="n"/>
      <c r="CP103" s="437" t="n"/>
      <c r="CQ103" s="437" t="n"/>
      <c r="CR103" s="437" t="n"/>
      <c r="CS103" s="437" t="n"/>
      <c r="CT103" s="437" t="n"/>
      <c r="CU103" s="437" t="n"/>
      <c r="CV103" s="437" t="n"/>
      <c r="CW103" s="437" t="n"/>
      <c r="CX103" s="437" t="n"/>
      <c r="CY103" s="437" t="n"/>
      <c r="CZ103" s="437" t="n"/>
      <c r="DA103" s="437" t="n"/>
      <c r="DB103" s="437" t="n"/>
      <c r="DC103" s="437" t="n"/>
      <c r="DD103" s="437" t="n"/>
      <c r="DE103" s="437" t="n"/>
      <c r="DF103" s="437" t="n"/>
      <c r="DG103" s="437" t="n"/>
      <c r="DH103" s="437" t="n"/>
      <c r="DI103" s="437" t="n"/>
      <c r="DJ103" s="437" t="n"/>
      <c r="DK103" s="437" t="n"/>
      <c r="DL103" s="437" t="n"/>
      <c r="DM103" s="437" t="n"/>
      <c r="DN103" s="437" t="n"/>
      <c r="DO103" s="437" t="n"/>
      <c r="DP103" s="437" t="n"/>
      <c r="DQ103" s="437" t="n"/>
      <c r="DR103" s="437" t="n"/>
      <c r="DS103" s="437" t="n"/>
      <c r="DT103" s="437" t="n"/>
      <c r="DU103" s="437" t="n"/>
      <c r="DV103" s="437" t="n"/>
      <c r="DW103" s="437" t="n"/>
      <c r="DX103" s="437" t="n"/>
      <c r="DY103" s="238" t="n"/>
      <c r="DZ103" s="23" t="n"/>
      <c r="FQ103" s="212" t="n"/>
      <c r="FR103" s="212" t="n"/>
      <c r="FS103" s="212" t="n"/>
      <c r="FT103" s="212" t="n"/>
      <c r="FU103" s="212" t="n"/>
      <c r="FV103" s="212" t="n"/>
      <c r="FW103" s="212" t="n"/>
      <c r="FX103" s="212" t="n"/>
      <c r="FY103" s="212" t="n"/>
      <c r="FZ103" s="212" t="n"/>
    </row>
    <row r="104" ht="39.95" customFormat="1" customHeight="1" s="5">
      <c r="A104" s="182" t="inlineStr"/>
      <c r="B104" s="7" t="inlineStr">
        <is>
          <t>-72 IN</t>
        </is>
      </c>
      <c r="C104" s="456" t="n"/>
      <c r="D104" s="13" t="n"/>
      <c r="H104" s="592" t="n"/>
      <c r="I104" s="593" t="n"/>
      <c r="M104" s="592" t="n"/>
      <c r="N104" s="593" t="n"/>
      <c r="R104" s="592" t="n"/>
      <c r="S104" s="593" t="n"/>
      <c r="W104" s="592" t="n"/>
      <c r="X104" s="593" t="n"/>
      <c r="AB104" s="592" t="n"/>
      <c r="AC104" s="593" t="n"/>
      <c r="AG104" s="592" t="n"/>
      <c r="AH104" s="593" t="n"/>
      <c r="AL104" s="592" t="n"/>
      <c r="AM104" s="593" t="n"/>
      <c r="AQ104" s="592" t="n"/>
      <c r="AR104" s="593" t="n"/>
      <c r="AV104" s="592" t="n"/>
      <c r="AW104" s="593" t="n"/>
      <c r="BA104" s="592" t="n"/>
      <c r="BB104" s="593" t="n"/>
      <c r="BF104" s="592" t="n"/>
      <c r="BG104" s="593" t="n"/>
      <c r="BK104" s="592" t="n"/>
      <c r="BL104" s="593" t="n"/>
      <c r="BP104" s="592" t="n"/>
      <c r="BQ104" s="593" t="n"/>
      <c r="BT104" s="592" t="n"/>
      <c r="BU104" s="437" t="n"/>
      <c r="BV104" s="437" t="n"/>
      <c r="BW104" s="437" t="n"/>
      <c r="BX104" s="437" t="n"/>
      <c r="BY104" s="437" t="n"/>
      <c r="BZ104" s="437" t="n"/>
      <c r="CA104" s="437" t="n"/>
      <c r="CB104" s="437" t="n"/>
      <c r="CC104" s="437" t="n"/>
      <c r="CD104" s="437" t="n"/>
      <c r="CE104" s="437" t="n"/>
      <c r="CF104" s="437" t="n"/>
      <c r="CG104" s="437" t="n"/>
      <c r="CH104" s="437" t="n"/>
      <c r="CI104" s="437" t="n"/>
      <c r="CJ104" s="437" t="n"/>
      <c r="CK104" s="437" t="n"/>
      <c r="CL104" s="437" t="n"/>
      <c r="CM104" s="437" t="n"/>
      <c r="CN104" s="437" t="n"/>
      <c r="CO104" s="437" t="n"/>
      <c r="CP104" s="437" t="n"/>
      <c r="CQ104" s="437" t="n"/>
      <c r="CR104" s="437" t="n"/>
      <c r="CS104" s="437" t="n"/>
      <c r="CT104" s="437" t="n"/>
      <c r="CU104" s="437" t="n"/>
      <c r="CV104" s="437" t="n"/>
      <c r="CW104" s="437" t="n"/>
      <c r="CX104" s="437" t="n"/>
      <c r="CY104" s="437" t="n"/>
      <c r="CZ104" s="437" t="n"/>
      <c r="DA104" s="437" t="n"/>
      <c r="DB104" s="437" t="n"/>
      <c r="DC104" s="437" t="n"/>
      <c r="DD104" s="437" t="n"/>
      <c r="DE104" s="437" t="n"/>
      <c r="DF104" s="437" t="n"/>
      <c r="DG104" s="437" t="n"/>
      <c r="DH104" s="437" t="n"/>
      <c r="DI104" s="437" t="n"/>
      <c r="DJ104" s="437" t="n"/>
      <c r="DK104" s="437" t="n"/>
      <c r="DL104" s="437" t="n"/>
      <c r="DM104" s="437" t="n"/>
      <c r="DN104" s="437" t="n"/>
      <c r="DO104" s="437" t="n"/>
      <c r="DP104" s="437" t="n"/>
      <c r="DQ104" s="437" t="n"/>
      <c r="DR104" s="437" t="n"/>
      <c r="DS104" s="437" t="n"/>
      <c r="DT104" s="437" t="n"/>
      <c r="DU104" s="437" t="n"/>
      <c r="DV104" s="437" t="n"/>
      <c r="DW104" s="437" t="n"/>
      <c r="DX104" s="437" t="n"/>
      <c r="DY104" s="238" t="n"/>
      <c r="DZ104" s="23" t="n"/>
      <c r="FQ104" s="212" t="n"/>
      <c r="FR104" s="212" t="n"/>
      <c r="FS104" s="212" t="n"/>
      <c r="FT104" s="212" t="n"/>
      <c r="FU104" s="212" t="n"/>
      <c r="FV104" s="212" t="n"/>
      <c r="FW104" s="212" t="n"/>
      <c r="FX104" s="212" t="n"/>
      <c r="FY104" s="212" t="n"/>
      <c r="FZ104" s="212" t="n"/>
    </row>
    <row r="105" ht="39.95" customFormat="1" customHeight="1" s="5">
      <c r="A105" s="456" t="n"/>
      <c r="B105" s="8" t="n"/>
      <c r="C105" s="456" t="n"/>
      <c r="D105" s="594" t="n"/>
      <c r="E105" s="595" t="n"/>
      <c r="F105" s="595" t="n"/>
      <c r="G105" s="595" t="n"/>
      <c r="H105" s="596" t="n"/>
      <c r="I105" s="597" t="n"/>
      <c r="J105" s="595" t="n"/>
      <c r="K105" s="595" t="n"/>
      <c r="L105" s="595" t="n"/>
      <c r="M105" s="596" t="n"/>
      <c r="N105" s="597" t="n"/>
      <c r="O105" s="595" t="n"/>
      <c r="P105" s="595" t="n"/>
      <c r="Q105" s="595" t="n"/>
      <c r="R105" s="596" t="n"/>
      <c r="S105" s="597" t="n"/>
      <c r="T105" s="595" t="n"/>
      <c r="U105" s="595" t="n"/>
      <c r="V105" s="595" t="n"/>
      <c r="W105" s="596" t="n"/>
      <c r="X105" s="597" t="n"/>
      <c r="Y105" s="595" t="n"/>
      <c r="Z105" s="595" t="n"/>
      <c r="AA105" s="595" t="n"/>
      <c r="AB105" s="596" t="n"/>
      <c r="AC105" s="597" t="n"/>
      <c r="AD105" s="595" t="n"/>
      <c r="AE105" s="595" t="n"/>
      <c r="AF105" s="595" t="n"/>
      <c r="AG105" s="596" t="n"/>
      <c r="AH105" s="597" t="n"/>
      <c r="AI105" s="595" t="n"/>
      <c r="AJ105" s="595" t="n"/>
      <c r="AK105" s="595" t="n"/>
      <c r="AL105" s="596" t="n"/>
      <c r="AM105" s="597" t="n"/>
      <c r="AN105" s="595" t="n"/>
      <c r="AO105" s="595" t="n"/>
      <c r="AP105" s="595" t="n"/>
      <c r="AQ105" s="596" t="n"/>
      <c r="AR105" s="597" t="n"/>
      <c r="AS105" s="595" t="n"/>
      <c r="AT105" s="595" t="n"/>
      <c r="AU105" s="595" t="n"/>
      <c r="AV105" s="596" t="n"/>
      <c r="AW105" s="597" t="n"/>
      <c r="AX105" s="595" t="n"/>
      <c r="AY105" s="595" t="n"/>
      <c r="AZ105" s="595" t="n"/>
      <c r="BA105" s="596" t="n"/>
      <c r="BB105" s="597" t="n"/>
      <c r="BC105" s="595" t="n"/>
      <c r="BD105" s="595" t="n"/>
      <c r="BE105" s="595" t="n"/>
      <c r="BF105" s="596" t="n"/>
      <c r="BG105" s="597" t="n"/>
      <c r="BH105" s="595" t="n"/>
      <c r="BI105" s="595" t="n"/>
      <c r="BJ105" s="595" t="n"/>
      <c r="BK105" s="596" t="n"/>
      <c r="BL105" s="597" t="n"/>
      <c r="BM105" s="595" t="n"/>
      <c r="BN105" s="595" t="n"/>
      <c r="BO105" s="595" t="n"/>
      <c r="BP105" s="596" t="n"/>
      <c r="BQ105" s="597" t="n"/>
      <c r="BR105" s="595" t="n"/>
      <c r="BS105" s="595" t="n"/>
      <c r="BT105" s="596" t="n"/>
      <c r="BU105" s="437" t="n"/>
      <c r="BV105" s="437" t="n"/>
      <c r="BW105" s="437" t="n"/>
      <c r="BX105" s="437" t="n"/>
      <c r="BY105" s="437" t="n"/>
      <c r="BZ105" s="437" t="n"/>
      <c r="CA105" s="437" t="n"/>
      <c r="CB105" s="437" t="n"/>
      <c r="CC105" s="437" t="n"/>
      <c r="CD105" s="437" t="n"/>
      <c r="CE105" s="437" t="n"/>
      <c r="CF105" s="437" t="n"/>
      <c r="CG105" s="437" t="n"/>
      <c r="CH105" s="437" t="n"/>
      <c r="CI105" s="437" t="n"/>
      <c r="CJ105" s="437" t="n"/>
      <c r="CK105" s="437" t="n"/>
      <c r="CL105" s="437" t="n"/>
      <c r="CM105" s="437" t="n"/>
      <c r="CN105" s="437" t="n"/>
      <c r="CO105" s="437" t="n"/>
      <c r="CP105" s="437" t="n"/>
      <c r="CQ105" s="437" t="n"/>
      <c r="CR105" s="437" t="n"/>
      <c r="CS105" s="437" t="n"/>
      <c r="CT105" s="437" t="n"/>
      <c r="CU105" s="437" t="n"/>
      <c r="CV105" s="437" t="n"/>
      <c r="CW105" s="437" t="n"/>
      <c r="CX105" s="437" t="n"/>
      <c r="CY105" s="437" t="n"/>
      <c r="CZ105" s="437" t="n"/>
      <c r="DA105" s="437" t="n"/>
      <c r="DB105" s="437" t="n"/>
      <c r="DC105" s="437" t="n"/>
      <c r="DD105" s="437" t="n"/>
      <c r="DE105" s="437" t="n"/>
      <c r="DF105" s="437" t="n"/>
      <c r="DG105" s="437" t="n"/>
      <c r="DH105" s="437" t="n"/>
      <c r="DI105" s="437" t="n"/>
      <c r="DJ105" s="437" t="n"/>
      <c r="DK105" s="437" t="n"/>
      <c r="DL105" s="437" t="n"/>
      <c r="DM105" s="437" t="n"/>
      <c r="DN105" s="437" t="n"/>
      <c r="DO105" s="437" t="n"/>
      <c r="DP105" s="437" t="n"/>
      <c r="DQ105" s="437" t="n"/>
      <c r="DR105" s="437" t="n"/>
      <c r="DS105" s="437" t="n"/>
      <c r="DT105" s="437" t="n"/>
      <c r="DU105" s="437" t="n"/>
      <c r="DV105" s="437" t="n"/>
      <c r="DW105" s="437" t="n"/>
      <c r="DX105" s="437" t="n"/>
      <c r="DY105" s="238" t="n"/>
      <c r="DZ105" s="23" t="n"/>
      <c r="FQ105" s="212" t="n"/>
      <c r="FR105" s="212" t="n"/>
      <c r="FS105" s="212" t="n"/>
      <c r="FT105" s="212" t="n"/>
      <c r="FU105" s="212" t="n"/>
      <c r="FV105" s="212" t="n"/>
      <c r="FW105" s="212" t="n"/>
      <c r="FX105" s="212" t="n"/>
      <c r="FY105" s="212" t="n"/>
      <c r="FZ105" s="212" t="n"/>
    </row>
    <row r="106" ht="39.95" customFormat="1" customHeight="1" s="5">
      <c r="A106" s="10" t="inlineStr">
        <is>
          <t>A</t>
        </is>
      </c>
      <c r="B106" s="6" t="n"/>
      <c r="C106" s="351" t="inlineStr">
        <is>
          <t>Year</t>
        </is>
      </c>
      <c r="D106" s="588" t="inlineStr">
        <is>
          <t>Apr 2034</t>
        </is>
      </c>
      <c r="E106" s="589" t="inlineStr">
        <is>
          <t>May 2055</t>
        </is>
      </c>
      <c r="F106" s="589" t="inlineStr">
        <is>
          <t>Dec 2034</t>
        </is>
      </c>
      <c r="G106" s="589" t="inlineStr">
        <is>
          <t>May 2055</t>
        </is>
      </c>
      <c r="H106" s="590" t="inlineStr">
        <is>
          <t>Jan 2045</t>
        </is>
      </c>
      <c r="I106" s="591" t="inlineStr">
        <is>
          <t>May 2055</t>
        </is>
      </c>
      <c r="J106" s="589" t="inlineStr">
        <is>
          <t>Oct 2047</t>
        </is>
      </c>
      <c r="K106" s="589" t="inlineStr">
        <is>
          <t>May 2055</t>
        </is>
      </c>
      <c r="L106" s="589" t="inlineStr">
        <is>
          <t>Sep 2041</t>
        </is>
      </c>
      <c r="M106" s="590" t="inlineStr">
        <is>
          <t>May 2055</t>
        </is>
      </c>
      <c r="N106" s="591" t="inlineStr">
        <is>
          <t>May 2055</t>
        </is>
      </c>
      <c r="O106" s="589" t="inlineStr">
        <is>
          <t>Feb 2051</t>
        </is>
      </c>
      <c r="P106" s="589" t="inlineStr">
        <is>
          <t>Jul 2050</t>
        </is>
      </c>
      <c r="Q106" s="589" t="inlineStr">
        <is>
          <t>May 2055</t>
        </is>
      </c>
      <c r="R106" s="590" t="inlineStr">
        <is>
          <t>May 2055</t>
        </is>
      </c>
      <c r="S106" s="591" t="inlineStr">
        <is>
          <t>May 2055</t>
        </is>
      </c>
      <c r="T106" s="589" t="inlineStr">
        <is>
          <t>May 2055</t>
        </is>
      </c>
      <c r="U106" s="589" t="inlineStr">
        <is>
          <t>Oct 2037</t>
        </is>
      </c>
      <c r="V106" s="589" t="inlineStr">
        <is>
          <t>May 2055</t>
        </is>
      </c>
      <c r="W106" s="590" t="inlineStr">
        <is>
          <t>Apr 2054</t>
        </is>
      </c>
      <c r="X106" s="591" t="inlineStr">
        <is>
          <t>Sep 2045</t>
        </is>
      </c>
      <c r="Y106" s="589" t="inlineStr">
        <is>
          <t>May 2055</t>
        </is>
      </c>
      <c r="Z106" s="589" t="inlineStr">
        <is>
          <t>Feb 2046</t>
        </is>
      </c>
      <c r="AA106" s="589" t="inlineStr">
        <is>
          <t>May 2055</t>
        </is>
      </c>
      <c r="AB106" s="590" t="inlineStr">
        <is>
          <t>May 2055</t>
        </is>
      </c>
      <c r="AC106" s="591" t="inlineStr">
        <is>
          <t>May 2055</t>
        </is>
      </c>
      <c r="AD106" s="589" t="inlineStr">
        <is>
          <t>May 2055</t>
        </is>
      </c>
      <c r="AE106" s="589" t="inlineStr">
        <is>
          <t>May 2055</t>
        </is>
      </c>
      <c r="AF106" s="589" t="inlineStr">
        <is>
          <t>May 2055</t>
        </is>
      </c>
      <c r="AG106" s="590" t="inlineStr">
        <is>
          <t>May 2055</t>
        </is>
      </c>
      <c r="AH106" s="591" t="inlineStr">
        <is>
          <t>May 2055</t>
        </is>
      </c>
      <c r="AI106" s="589" t="inlineStr">
        <is>
          <t>May 2055</t>
        </is>
      </c>
      <c r="AJ106" s="589" t="inlineStr">
        <is>
          <t>May 2055</t>
        </is>
      </c>
      <c r="AK106" s="589" t="inlineStr">
        <is>
          <t>Mar 2045</t>
        </is>
      </c>
      <c r="AL106" s="590" t="inlineStr">
        <is>
          <t>Apr 2054</t>
        </is>
      </c>
      <c r="AM106" s="591" t="inlineStr">
        <is>
          <t>May 2055</t>
        </is>
      </c>
      <c r="AN106" s="589" t="inlineStr">
        <is>
          <t>May 2055</t>
        </is>
      </c>
      <c r="AO106" s="589" t="inlineStr">
        <is>
          <t>May 2055</t>
        </is>
      </c>
      <c r="AP106" s="589" t="inlineStr">
        <is>
          <t>ND</t>
        </is>
      </c>
      <c r="AQ106" s="590" t="inlineStr">
        <is>
          <t>May 2055</t>
        </is>
      </c>
      <c r="AR106" s="591" t="inlineStr">
        <is>
          <t>ND</t>
        </is>
      </c>
      <c r="AS106" s="589" t="inlineStr">
        <is>
          <t>May 2055</t>
        </is>
      </c>
      <c r="AT106" s="589" t="inlineStr">
        <is>
          <t>May 2055</t>
        </is>
      </c>
      <c r="AU106" s="589" t="inlineStr">
        <is>
          <t>May 2055</t>
        </is>
      </c>
      <c r="AV106" s="590" t="inlineStr">
        <is>
          <t>May 2055</t>
        </is>
      </c>
      <c r="AW106" s="591" t="inlineStr">
        <is>
          <t>May 2055</t>
        </is>
      </c>
      <c r="AX106" s="589" t="inlineStr">
        <is>
          <t>May 2055</t>
        </is>
      </c>
      <c r="AY106" s="589" t="inlineStr">
        <is>
          <t>May 2055</t>
        </is>
      </c>
      <c r="AZ106" s="589" t="inlineStr">
        <is>
          <t>ND</t>
        </is>
      </c>
      <c r="BA106" s="590" t="inlineStr">
        <is>
          <t>May 2055</t>
        </is>
      </c>
      <c r="BB106" s="591" t="inlineStr">
        <is>
          <t>May 2055</t>
        </is>
      </c>
      <c r="BC106" s="589" t="inlineStr">
        <is>
          <t>May 2055</t>
        </is>
      </c>
      <c r="BD106" s="589" t="inlineStr">
        <is>
          <t>ND</t>
        </is>
      </c>
      <c r="BE106" s="589" t="inlineStr">
        <is>
          <t>May 2055</t>
        </is>
      </c>
      <c r="BF106" s="590" t="inlineStr">
        <is>
          <t>May 2055</t>
        </is>
      </c>
      <c r="BG106" s="591" t="inlineStr">
        <is>
          <t>May 2055</t>
        </is>
      </c>
      <c r="BH106" s="589" t="inlineStr">
        <is>
          <t>ND</t>
        </is>
      </c>
      <c r="BI106" s="589" t="inlineStr">
        <is>
          <t>ND</t>
        </is>
      </c>
      <c r="BJ106" s="589" t="inlineStr">
        <is>
          <t>ND</t>
        </is>
      </c>
      <c r="BK106" s="590" t="inlineStr">
        <is>
          <t>ND</t>
        </is>
      </c>
      <c r="BL106" s="591" t="inlineStr">
        <is>
          <t>ND</t>
        </is>
      </c>
      <c r="BM106" s="589" t="inlineStr">
        <is>
          <t>ND</t>
        </is>
      </c>
      <c r="BN106" s="589" t="inlineStr">
        <is>
          <t>ND</t>
        </is>
      </c>
      <c r="BO106" s="589" t="inlineStr">
        <is>
          <t>ND</t>
        </is>
      </c>
      <c r="BP106" s="590" t="inlineStr">
        <is>
          <t>ND</t>
        </is>
      </c>
      <c r="BQ106" s="591" t="inlineStr">
        <is>
          <t>ND</t>
        </is>
      </c>
      <c r="BR106" s="589" t="inlineStr">
        <is>
          <t>ND</t>
        </is>
      </c>
      <c r="BS106" s="589" t="inlineStr">
        <is>
          <t>ND</t>
        </is>
      </c>
      <c r="BT106" s="590" t="inlineStr">
        <is>
          <t>ND</t>
        </is>
      </c>
      <c r="BU106" s="437" t="n"/>
      <c r="BV106" s="437" t="n"/>
      <c r="BW106" s="437" t="n"/>
      <c r="BX106" s="437" t="n"/>
      <c r="BY106" s="437" t="n"/>
      <c r="BZ106" s="437" t="n"/>
      <c r="CA106" s="437" t="n"/>
      <c r="CB106" s="437" t="n"/>
      <c r="CC106" s="437" t="n"/>
      <c r="CD106" s="437" t="n"/>
      <c r="CE106" s="437" t="n"/>
      <c r="CF106" s="437" t="n"/>
      <c r="CG106" s="437" t="n"/>
      <c r="CH106" s="437" t="n"/>
      <c r="CI106" s="437" t="n"/>
      <c r="CJ106" s="437" t="n"/>
      <c r="CK106" s="437" t="n"/>
      <c r="CL106" s="437" t="n"/>
      <c r="CM106" s="437" t="n"/>
      <c r="CN106" s="437" t="n"/>
      <c r="CO106" s="437" t="n"/>
      <c r="CP106" s="437" t="n"/>
      <c r="CQ106" s="437" t="n"/>
      <c r="CR106" s="437" t="n"/>
      <c r="CS106" s="437" t="n"/>
      <c r="CT106" s="437" t="n"/>
      <c r="CU106" s="437" t="n"/>
      <c r="CV106" s="437" t="n"/>
      <c r="CW106" s="437" t="n"/>
      <c r="CX106" s="437" t="n"/>
      <c r="CY106" s="437" t="n"/>
      <c r="CZ106" s="437" t="n"/>
      <c r="DA106" s="437" t="n"/>
      <c r="DB106" s="437" t="n"/>
      <c r="DC106" s="437" t="n"/>
      <c r="DD106" s="437" t="n"/>
      <c r="DE106" s="437" t="n"/>
      <c r="DF106" s="437" t="n"/>
      <c r="DG106" s="437" t="n"/>
      <c r="DH106" s="437" t="n"/>
      <c r="DI106" s="437" t="n"/>
      <c r="DJ106" s="437" t="n"/>
      <c r="DK106" s="437" t="n"/>
      <c r="DL106" s="437" t="n"/>
      <c r="DM106" s="437" t="n"/>
      <c r="DN106" s="437" t="n"/>
      <c r="DO106" s="437" t="n"/>
      <c r="DP106" s="437" t="n"/>
      <c r="DQ106" s="437" t="n"/>
      <c r="DR106" s="437" t="n"/>
      <c r="DS106" s="437" t="n"/>
      <c r="DT106" s="437" t="n"/>
      <c r="DU106" s="437" t="n"/>
      <c r="DV106" s="437" t="n"/>
      <c r="DW106" s="437" t="n"/>
      <c r="DX106" s="437" t="n"/>
      <c r="DY106" s="238" t="n"/>
      <c r="DZ106" s="23" t="n"/>
      <c r="FQ106" s="212" t="n"/>
      <c r="FR106" s="212" t="n"/>
      <c r="FS106" s="212" t="n"/>
      <c r="FT106" s="212" t="n"/>
      <c r="FU106" s="212" t="n"/>
      <c r="FV106" s="212" t="n"/>
      <c r="FW106" s="212" t="n"/>
      <c r="FX106" s="212" t="n"/>
      <c r="FY106" s="212" t="n"/>
      <c r="FZ106" s="212" t="n"/>
    </row>
    <row r="107" ht="39.95" customFormat="1" customHeight="1" s="5">
      <c r="A107" s="182" t="inlineStr"/>
      <c r="B107" s="7" t="inlineStr">
        <is>
          <t>-81 IN</t>
        </is>
      </c>
      <c r="C107" s="456" t="n"/>
      <c r="D107" s="13" t="n"/>
      <c r="H107" s="592" t="n"/>
      <c r="I107" s="593" t="n"/>
      <c r="M107" s="592" t="n"/>
      <c r="N107" s="593" t="n"/>
      <c r="R107" s="592" t="n"/>
      <c r="S107" s="593" t="n"/>
      <c r="W107" s="592" t="n"/>
      <c r="X107" s="593" t="n"/>
      <c r="AB107" s="592" t="n"/>
      <c r="AC107" s="593" t="n"/>
      <c r="AG107" s="592" t="n"/>
      <c r="AH107" s="593" t="n"/>
      <c r="AL107" s="592" t="n"/>
      <c r="AM107" s="593" t="n"/>
      <c r="AQ107" s="592" t="n"/>
      <c r="AR107" s="593" t="n"/>
      <c r="AV107" s="592" t="n"/>
      <c r="AW107" s="593" t="n"/>
      <c r="BA107" s="592" t="n"/>
      <c r="BB107" s="593" t="n"/>
      <c r="BF107" s="592" t="n"/>
      <c r="BG107" s="593" t="n"/>
      <c r="BK107" s="592" t="n"/>
      <c r="BL107" s="593" t="n"/>
      <c r="BP107" s="592" t="n"/>
      <c r="BQ107" s="593" t="n"/>
      <c r="BT107" s="592" t="n"/>
      <c r="BU107" s="437" t="n"/>
      <c r="BV107" s="437" t="n"/>
      <c r="BW107" s="437" t="n"/>
      <c r="BX107" s="437" t="n"/>
      <c r="BY107" s="437" t="n"/>
      <c r="BZ107" s="437" t="n"/>
      <c r="CA107" s="437" t="n"/>
      <c r="CB107" s="437" t="n"/>
      <c r="CC107" s="437" t="n"/>
      <c r="CD107" s="437" t="n"/>
      <c r="CE107" s="437" t="n"/>
      <c r="CF107" s="437" t="n"/>
      <c r="CG107" s="437" t="n"/>
      <c r="CH107" s="437" t="n"/>
      <c r="CI107" s="437" t="n"/>
      <c r="CJ107" s="437" t="n"/>
      <c r="CK107" s="437" t="n"/>
      <c r="CL107" s="437" t="n"/>
      <c r="CM107" s="437" t="n"/>
      <c r="CN107" s="437" t="n"/>
      <c r="CO107" s="437" t="n"/>
      <c r="CP107" s="437" t="n"/>
      <c r="CQ107" s="437" t="n"/>
      <c r="CR107" s="437" t="n"/>
      <c r="CS107" s="437" t="n"/>
      <c r="CT107" s="437" t="n"/>
      <c r="CU107" s="437" t="n"/>
      <c r="CV107" s="437" t="n"/>
      <c r="CW107" s="437" t="n"/>
      <c r="CX107" s="437" t="n"/>
      <c r="CY107" s="437" t="n"/>
      <c r="CZ107" s="437" t="n"/>
      <c r="DA107" s="437" t="n"/>
      <c r="DB107" s="437" t="n"/>
      <c r="DC107" s="437" t="n"/>
      <c r="DD107" s="437" t="n"/>
      <c r="DE107" s="437" t="n"/>
      <c r="DF107" s="437" t="n"/>
      <c r="DG107" s="437" t="n"/>
      <c r="DH107" s="437" t="n"/>
      <c r="DI107" s="437" t="n"/>
      <c r="DJ107" s="437" t="n"/>
      <c r="DK107" s="437" t="n"/>
      <c r="DL107" s="437" t="n"/>
      <c r="DM107" s="437" t="n"/>
      <c r="DN107" s="437" t="n"/>
      <c r="DO107" s="437" t="n"/>
      <c r="DP107" s="437" t="n"/>
      <c r="DQ107" s="437" t="n"/>
      <c r="DR107" s="437" t="n"/>
      <c r="DS107" s="437" t="n"/>
      <c r="DT107" s="437" t="n"/>
      <c r="DU107" s="437" t="n"/>
      <c r="DV107" s="437" t="n"/>
      <c r="DW107" s="437" t="n"/>
      <c r="DX107" s="437" t="n"/>
      <c r="DY107" s="238" t="n"/>
      <c r="DZ107" s="23" t="n"/>
      <c r="FQ107" s="212" t="n"/>
      <c r="FR107" s="212" t="n"/>
      <c r="FS107" s="212" t="n"/>
      <c r="FT107" s="212" t="n"/>
      <c r="FU107" s="212" t="n"/>
      <c r="FV107" s="212" t="n"/>
      <c r="FW107" s="212" t="n"/>
      <c r="FX107" s="212" t="n"/>
      <c r="FY107" s="212" t="n"/>
      <c r="FZ107" s="212" t="n"/>
    </row>
    <row r="108" ht="39.95" customFormat="1" customHeight="1" s="5">
      <c r="A108" s="456" t="n"/>
      <c r="B108" s="8" t="n"/>
      <c r="C108" s="456" t="n"/>
      <c r="D108" s="594" t="n"/>
      <c r="E108" s="595" t="n"/>
      <c r="F108" s="595" t="n"/>
      <c r="G108" s="595" t="n"/>
      <c r="H108" s="596" t="n"/>
      <c r="I108" s="597" t="n"/>
      <c r="J108" s="595" t="n"/>
      <c r="K108" s="595" t="n"/>
      <c r="L108" s="595" t="n"/>
      <c r="M108" s="596" t="n"/>
      <c r="N108" s="597" t="n"/>
      <c r="O108" s="595" t="n"/>
      <c r="P108" s="595" t="n"/>
      <c r="Q108" s="595" t="n"/>
      <c r="R108" s="596" t="n"/>
      <c r="S108" s="597" t="n"/>
      <c r="T108" s="595" t="n"/>
      <c r="U108" s="595" t="n"/>
      <c r="V108" s="595" t="n"/>
      <c r="W108" s="596" t="n"/>
      <c r="X108" s="597" t="n"/>
      <c r="Y108" s="595" t="n"/>
      <c r="Z108" s="595" t="n"/>
      <c r="AA108" s="595" t="n"/>
      <c r="AB108" s="596" t="n"/>
      <c r="AC108" s="597" t="n"/>
      <c r="AD108" s="595" t="n"/>
      <c r="AE108" s="595" t="n"/>
      <c r="AF108" s="595" t="n"/>
      <c r="AG108" s="596" t="n"/>
      <c r="AH108" s="597" t="n"/>
      <c r="AI108" s="595" t="n"/>
      <c r="AJ108" s="595" t="n"/>
      <c r="AK108" s="595" t="n"/>
      <c r="AL108" s="596" t="n"/>
      <c r="AM108" s="597" t="n"/>
      <c r="AN108" s="595" t="n"/>
      <c r="AO108" s="595" t="n"/>
      <c r="AP108" s="595" t="n"/>
      <c r="AQ108" s="596" t="n"/>
      <c r="AR108" s="597" t="n"/>
      <c r="AS108" s="595" t="n"/>
      <c r="AT108" s="595" t="n"/>
      <c r="AU108" s="595" t="n"/>
      <c r="AV108" s="596" t="n"/>
      <c r="AW108" s="597" t="n"/>
      <c r="AX108" s="595" t="n"/>
      <c r="AY108" s="595" t="n"/>
      <c r="AZ108" s="595" t="n"/>
      <c r="BA108" s="596" t="n"/>
      <c r="BB108" s="597" t="n"/>
      <c r="BC108" s="595" t="n"/>
      <c r="BD108" s="595" t="n"/>
      <c r="BE108" s="595" t="n"/>
      <c r="BF108" s="596" t="n"/>
      <c r="BG108" s="597" t="n"/>
      <c r="BH108" s="595" t="n"/>
      <c r="BI108" s="595" t="n"/>
      <c r="BJ108" s="595" t="n"/>
      <c r="BK108" s="596" t="n"/>
      <c r="BL108" s="597" t="n"/>
      <c r="BM108" s="595" t="n"/>
      <c r="BN108" s="595" t="n"/>
      <c r="BO108" s="595" t="n"/>
      <c r="BP108" s="596" t="n"/>
      <c r="BQ108" s="597" t="n"/>
      <c r="BR108" s="595" t="n"/>
      <c r="BS108" s="595" t="n"/>
      <c r="BT108" s="596" t="n"/>
      <c r="BU108" s="437" t="n"/>
      <c r="BV108" s="437" t="n"/>
      <c r="BW108" s="437" t="n"/>
      <c r="BX108" s="437" t="n"/>
      <c r="BY108" s="437" t="n"/>
      <c r="BZ108" s="437" t="n"/>
      <c r="CA108" s="437" t="n"/>
      <c r="CB108" s="437" t="n"/>
      <c r="CC108" s="437" t="n"/>
      <c r="CD108" s="437" t="n"/>
      <c r="CE108" s="437" t="n"/>
      <c r="CF108" s="437" t="n"/>
      <c r="CG108" s="437" t="n"/>
      <c r="CH108" s="437" t="n"/>
      <c r="CI108" s="437" t="n"/>
      <c r="CJ108" s="437" t="n"/>
      <c r="CK108" s="437" t="n"/>
      <c r="CL108" s="437" t="n"/>
      <c r="CM108" s="437" t="n"/>
      <c r="CN108" s="437" t="n"/>
      <c r="CO108" s="437" t="n"/>
      <c r="CP108" s="437" t="n"/>
      <c r="CQ108" s="437" t="n"/>
      <c r="CR108" s="437" t="n"/>
      <c r="CS108" s="437" t="n"/>
      <c r="CT108" s="437" t="n"/>
      <c r="CU108" s="437" t="n"/>
      <c r="CV108" s="437" t="n"/>
      <c r="CW108" s="437" t="n"/>
      <c r="CX108" s="437" t="n"/>
      <c r="CY108" s="437" t="n"/>
      <c r="CZ108" s="437" t="n"/>
      <c r="DA108" s="437" t="n"/>
      <c r="DB108" s="437" t="n"/>
      <c r="DC108" s="437" t="n"/>
      <c r="DD108" s="437" t="n"/>
      <c r="DE108" s="437" t="n"/>
      <c r="DF108" s="437" t="n"/>
      <c r="DG108" s="437" t="n"/>
      <c r="DH108" s="437" t="n"/>
      <c r="DI108" s="437" t="n"/>
      <c r="DJ108" s="437" t="n"/>
      <c r="DK108" s="437" t="n"/>
      <c r="DL108" s="437" t="n"/>
      <c r="DM108" s="437" t="n"/>
      <c r="DN108" s="437" t="n"/>
      <c r="DO108" s="437" t="n"/>
      <c r="DP108" s="437" t="n"/>
      <c r="DQ108" s="437" t="n"/>
      <c r="DR108" s="437" t="n"/>
      <c r="DS108" s="437" t="n"/>
      <c r="DT108" s="437" t="n"/>
      <c r="DU108" s="437" t="n"/>
      <c r="DV108" s="437" t="n"/>
      <c r="DW108" s="437" t="n"/>
      <c r="DX108" s="437" t="n"/>
      <c r="DY108" s="238" t="n"/>
      <c r="DZ108" s="23" t="n"/>
      <c r="FQ108" s="212" t="n"/>
      <c r="FR108" s="212" t="n"/>
      <c r="FS108" s="212" t="n"/>
      <c r="FT108" s="212" t="n"/>
      <c r="FU108" s="212" t="n"/>
      <c r="FV108" s="212" t="n"/>
      <c r="FW108" s="212" t="n"/>
      <c r="FX108" s="212" t="n"/>
      <c r="FY108" s="212" t="n"/>
      <c r="FZ108" s="212" t="n"/>
    </row>
    <row r="109" ht="39.95" customFormat="1" customHeight="1" s="5">
      <c r="A109" s="10" t="inlineStr">
        <is>
          <t>A</t>
        </is>
      </c>
      <c r="B109" s="6" t="n"/>
      <c r="C109" s="351" t="inlineStr">
        <is>
          <t>Year</t>
        </is>
      </c>
      <c r="D109" s="588" t="inlineStr">
        <is>
          <t>Oct 2040</t>
        </is>
      </c>
      <c r="E109" s="589" t="inlineStr">
        <is>
          <t>May 2055</t>
        </is>
      </c>
      <c r="F109" s="589" t="inlineStr">
        <is>
          <t>Dec 2052</t>
        </is>
      </c>
      <c r="G109" s="589" t="inlineStr">
        <is>
          <t>ND</t>
        </is>
      </c>
      <c r="H109" s="590" t="inlineStr">
        <is>
          <t>Sep 2043</t>
        </is>
      </c>
      <c r="I109" s="591" t="inlineStr">
        <is>
          <t>May 2055</t>
        </is>
      </c>
      <c r="J109" s="589" t="inlineStr">
        <is>
          <t>May 2055</t>
        </is>
      </c>
      <c r="K109" s="589" t="inlineStr">
        <is>
          <t>May 2043</t>
        </is>
      </c>
      <c r="L109" s="589" t="inlineStr">
        <is>
          <t>May 2055</t>
        </is>
      </c>
      <c r="M109" s="590" t="inlineStr">
        <is>
          <t>May 2055</t>
        </is>
      </c>
      <c r="N109" s="591" t="inlineStr">
        <is>
          <t>May 2055</t>
        </is>
      </c>
      <c r="O109" s="589" t="inlineStr">
        <is>
          <t>ND</t>
        </is>
      </c>
      <c r="P109" s="589" t="inlineStr">
        <is>
          <t>Jan 2051</t>
        </is>
      </c>
      <c r="Q109" s="589" t="inlineStr">
        <is>
          <t>ND</t>
        </is>
      </c>
      <c r="R109" s="590" t="inlineStr">
        <is>
          <t>ND</t>
        </is>
      </c>
      <c r="S109" s="591" t="inlineStr">
        <is>
          <t>ND</t>
        </is>
      </c>
      <c r="T109" s="589" t="inlineStr">
        <is>
          <t>ND</t>
        </is>
      </c>
      <c r="U109" s="589" t="inlineStr">
        <is>
          <t>May 2055</t>
        </is>
      </c>
      <c r="V109" s="589" t="inlineStr">
        <is>
          <t>ND</t>
        </is>
      </c>
      <c r="W109" s="590" t="inlineStr">
        <is>
          <t>May 2039</t>
        </is>
      </c>
      <c r="X109" s="591" t="inlineStr">
        <is>
          <t>May 2055</t>
        </is>
      </c>
      <c r="Y109" s="589" t="inlineStr">
        <is>
          <t>May 2055</t>
        </is>
      </c>
      <c r="Z109" s="589" t="inlineStr">
        <is>
          <t>ND</t>
        </is>
      </c>
      <c r="AA109" s="589" t="inlineStr">
        <is>
          <t>ND</t>
        </is>
      </c>
      <c r="AB109" s="590" t="inlineStr">
        <is>
          <t>May 2055</t>
        </is>
      </c>
      <c r="AC109" s="591" t="inlineStr">
        <is>
          <t>Aug 2052</t>
        </is>
      </c>
      <c r="AD109" s="589" t="inlineStr">
        <is>
          <t>ND</t>
        </is>
      </c>
      <c r="AE109" s="589" t="inlineStr">
        <is>
          <t>Feb 2044</t>
        </is>
      </c>
      <c r="AF109" s="589" t="inlineStr">
        <is>
          <t>ND</t>
        </is>
      </c>
      <c r="AG109" s="590" t="inlineStr">
        <is>
          <t>ND</t>
        </is>
      </c>
      <c r="AH109" s="591" t="inlineStr">
        <is>
          <t>May 2055</t>
        </is>
      </c>
      <c r="AI109" s="589" t="inlineStr">
        <is>
          <t>ND</t>
        </is>
      </c>
      <c r="AJ109" s="589" t="inlineStr">
        <is>
          <t>May 2055</t>
        </is>
      </c>
      <c r="AK109" s="589" t="inlineStr">
        <is>
          <t>ND</t>
        </is>
      </c>
      <c r="AL109" s="590" t="inlineStr">
        <is>
          <t>May 2055</t>
        </is>
      </c>
      <c r="AM109" s="591" t="inlineStr">
        <is>
          <t>ND</t>
        </is>
      </c>
      <c r="AN109" s="589" t="inlineStr">
        <is>
          <t>ND</t>
        </is>
      </c>
      <c r="AO109" s="589" t="inlineStr">
        <is>
          <t>ND</t>
        </is>
      </c>
      <c r="AP109" s="589" t="inlineStr">
        <is>
          <t>ND</t>
        </is>
      </c>
      <c r="AQ109" s="590" t="inlineStr">
        <is>
          <t>ND</t>
        </is>
      </c>
      <c r="AR109" s="591" t="inlineStr">
        <is>
          <t>ND</t>
        </is>
      </c>
      <c r="AS109" s="589" t="inlineStr">
        <is>
          <t>ND</t>
        </is>
      </c>
      <c r="AT109" s="589" t="inlineStr">
        <is>
          <t>ND</t>
        </is>
      </c>
      <c r="AU109" s="589" t="inlineStr">
        <is>
          <t>ND</t>
        </is>
      </c>
      <c r="AV109" s="590" t="inlineStr">
        <is>
          <t>ND</t>
        </is>
      </c>
      <c r="AW109" s="591" t="inlineStr">
        <is>
          <t>ND</t>
        </is>
      </c>
      <c r="AX109" s="589" t="inlineStr">
        <is>
          <t>ND</t>
        </is>
      </c>
      <c r="AY109" s="589" t="inlineStr">
        <is>
          <t>ND</t>
        </is>
      </c>
      <c r="AZ109" s="589" t="inlineStr">
        <is>
          <t>ND</t>
        </is>
      </c>
      <c r="BA109" s="590" t="inlineStr">
        <is>
          <t>ND</t>
        </is>
      </c>
      <c r="BB109" s="591" t="inlineStr">
        <is>
          <t>ND</t>
        </is>
      </c>
      <c r="BC109" s="589" t="inlineStr">
        <is>
          <t>ND</t>
        </is>
      </c>
      <c r="BD109" s="589" t="inlineStr">
        <is>
          <t>ND</t>
        </is>
      </c>
      <c r="BE109" s="589" t="inlineStr">
        <is>
          <t>ND</t>
        </is>
      </c>
      <c r="BF109" s="590" t="inlineStr">
        <is>
          <t>ND</t>
        </is>
      </c>
      <c r="BG109" s="591" t="inlineStr">
        <is>
          <t>ND</t>
        </is>
      </c>
      <c r="BH109" s="589" t="inlineStr">
        <is>
          <t>ND</t>
        </is>
      </c>
      <c r="BI109" s="589" t="inlineStr">
        <is>
          <t>ND</t>
        </is>
      </c>
      <c r="BJ109" s="589" t="inlineStr">
        <is>
          <t>ND</t>
        </is>
      </c>
      <c r="BK109" s="590" t="inlineStr">
        <is>
          <t>ND</t>
        </is>
      </c>
      <c r="BL109" s="591" t="inlineStr">
        <is>
          <t>ND</t>
        </is>
      </c>
      <c r="BM109" s="589" t="inlineStr">
        <is>
          <t>ND</t>
        </is>
      </c>
      <c r="BN109" s="589" t="inlineStr">
        <is>
          <t>ND</t>
        </is>
      </c>
      <c r="BO109" s="589" t="inlineStr">
        <is>
          <t>ND</t>
        </is>
      </c>
      <c r="BP109" s="590" t="inlineStr">
        <is>
          <t>ND</t>
        </is>
      </c>
      <c r="BQ109" s="591" t="inlineStr">
        <is>
          <t>ND</t>
        </is>
      </c>
      <c r="BR109" s="589" t="inlineStr">
        <is>
          <t>ND</t>
        </is>
      </c>
      <c r="BS109" s="589" t="inlineStr">
        <is>
          <t>ND</t>
        </is>
      </c>
      <c r="BT109" s="590" t="inlineStr">
        <is>
          <t>ND</t>
        </is>
      </c>
      <c r="BU109" s="437" t="n"/>
      <c r="BV109" s="437" t="n"/>
      <c r="BW109" s="437" t="n"/>
      <c r="BX109" s="437" t="n"/>
      <c r="BY109" s="437" t="n"/>
      <c r="BZ109" s="437" t="n"/>
      <c r="CA109" s="437" t="n"/>
      <c r="CB109" s="437" t="n"/>
      <c r="CC109" s="437" t="n"/>
      <c r="CD109" s="437" t="n"/>
      <c r="CE109" s="437" t="n"/>
      <c r="CF109" s="437" t="n"/>
      <c r="CG109" s="437" t="n"/>
      <c r="CH109" s="437" t="n"/>
      <c r="CI109" s="437" t="n"/>
      <c r="CJ109" s="437" t="n"/>
      <c r="CK109" s="437" t="n"/>
      <c r="CL109" s="437" t="n"/>
      <c r="CM109" s="437" t="n"/>
      <c r="CN109" s="437" t="n"/>
      <c r="CO109" s="437" t="n"/>
      <c r="CP109" s="437" t="n"/>
      <c r="CQ109" s="437" t="n"/>
      <c r="CR109" s="437" t="n"/>
      <c r="CS109" s="437" t="n"/>
      <c r="CT109" s="437" t="n"/>
      <c r="CU109" s="437" t="n"/>
      <c r="CV109" s="437" t="n"/>
      <c r="CW109" s="437" t="n"/>
      <c r="CX109" s="437" t="n"/>
      <c r="CY109" s="437" t="n"/>
      <c r="CZ109" s="437" t="n"/>
      <c r="DA109" s="437" t="n"/>
      <c r="DB109" s="437" t="n"/>
      <c r="DC109" s="437" t="n"/>
      <c r="DD109" s="437" t="n"/>
      <c r="DE109" s="437" t="n"/>
      <c r="DF109" s="437" t="n"/>
      <c r="DG109" s="437" t="n"/>
      <c r="DH109" s="437" t="n"/>
      <c r="DI109" s="437" t="n"/>
      <c r="DJ109" s="437" t="n"/>
      <c r="DK109" s="437" t="n"/>
      <c r="DL109" s="437" t="n"/>
      <c r="DM109" s="437" t="n"/>
      <c r="DN109" s="437" t="n"/>
      <c r="DO109" s="437" t="n"/>
      <c r="DP109" s="437" t="n"/>
      <c r="DQ109" s="437" t="n"/>
      <c r="DR109" s="437" t="n"/>
      <c r="DS109" s="437" t="n"/>
      <c r="DT109" s="437" t="n"/>
      <c r="DU109" s="437" t="n"/>
      <c r="DV109" s="437" t="n"/>
      <c r="DW109" s="437" t="n"/>
      <c r="DX109" s="437" t="n"/>
      <c r="DY109" s="238" t="n"/>
      <c r="DZ109" s="23" t="n"/>
      <c r="FQ109" s="212" t="n"/>
      <c r="FR109" s="212" t="n"/>
      <c r="FS109" s="212" t="n"/>
      <c r="FT109" s="212" t="n"/>
      <c r="FU109" s="212" t="n"/>
      <c r="FV109" s="212" t="n"/>
      <c r="FW109" s="212" t="n"/>
      <c r="FX109" s="212" t="n"/>
      <c r="FY109" s="212" t="n"/>
      <c r="FZ109" s="212" t="n"/>
    </row>
    <row r="110" ht="39.95" customFormat="1" customHeight="1" s="5">
      <c r="A110" s="182" t="inlineStr"/>
      <c r="B110" s="7" t="inlineStr">
        <is>
          <t>-90 IN</t>
        </is>
      </c>
      <c r="C110" s="456" t="n"/>
      <c r="D110" s="13" t="n"/>
      <c r="H110" s="592" t="n"/>
      <c r="I110" s="593" t="n"/>
      <c r="M110" s="592" t="n"/>
      <c r="N110" s="593" t="n"/>
      <c r="R110" s="592" t="n"/>
      <c r="S110" s="593" t="n"/>
      <c r="W110" s="592" t="n"/>
      <c r="X110" s="593" t="n"/>
      <c r="AB110" s="592" t="n"/>
      <c r="AC110" s="593" t="n"/>
      <c r="AG110" s="592" t="n"/>
      <c r="AH110" s="593" t="n"/>
      <c r="AL110" s="592" t="n"/>
      <c r="AM110" s="593" t="n"/>
      <c r="AQ110" s="592" t="n"/>
      <c r="AR110" s="593" t="n"/>
      <c r="AV110" s="592" t="n"/>
      <c r="AW110" s="593" t="n"/>
      <c r="BA110" s="592" t="n"/>
      <c r="BB110" s="593" t="n"/>
      <c r="BF110" s="592" t="n"/>
      <c r="BG110" s="593" t="n"/>
      <c r="BK110" s="592" t="n"/>
      <c r="BL110" s="593" t="n"/>
      <c r="BP110" s="592" t="n"/>
      <c r="BQ110" s="593" t="n"/>
      <c r="BT110" s="592" t="n"/>
      <c r="BU110" s="437" t="n"/>
      <c r="BV110" s="437" t="n"/>
      <c r="BW110" s="437" t="n"/>
      <c r="BX110" s="437" t="n"/>
      <c r="BY110" s="437" t="n"/>
      <c r="BZ110" s="437" t="n"/>
      <c r="CA110" s="437" t="n"/>
      <c r="CB110" s="437" t="n"/>
      <c r="CC110" s="437" t="n"/>
      <c r="CD110" s="437" t="n"/>
      <c r="CE110" s="437" t="n"/>
      <c r="CF110" s="437" t="n"/>
      <c r="CG110" s="437" t="n"/>
      <c r="CH110" s="437" t="n"/>
      <c r="CI110" s="437" t="n"/>
      <c r="CJ110" s="437" t="n"/>
      <c r="CK110" s="437" t="n"/>
      <c r="CL110" s="437" t="n"/>
      <c r="CM110" s="437" t="n"/>
      <c r="CN110" s="437" t="n"/>
      <c r="CO110" s="437" t="n"/>
      <c r="CP110" s="437" t="n"/>
      <c r="CQ110" s="437" t="n"/>
      <c r="CR110" s="437" t="n"/>
      <c r="CS110" s="437" t="n"/>
      <c r="CT110" s="437" t="n"/>
      <c r="CU110" s="437" t="n"/>
      <c r="CV110" s="437" t="n"/>
      <c r="CW110" s="437" t="n"/>
      <c r="CX110" s="437" t="n"/>
      <c r="CY110" s="437" t="n"/>
      <c r="CZ110" s="437" t="n"/>
      <c r="DA110" s="437" t="n"/>
      <c r="DB110" s="437" t="n"/>
      <c r="DC110" s="437" t="n"/>
      <c r="DD110" s="437" t="n"/>
      <c r="DE110" s="437" t="n"/>
      <c r="DF110" s="437" t="n"/>
      <c r="DG110" s="437" t="n"/>
      <c r="DH110" s="437" t="n"/>
      <c r="DI110" s="437" t="n"/>
      <c r="DJ110" s="437" t="n"/>
      <c r="DK110" s="437" t="n"/>
      <c r="DL110" s="437" t="n"/>
      <c r="DM110" s="437" t="n"/>
      <c r="DN110" s="437" t="n"/>
      <c r="DO110" s="437" t="n"/>
      <c r="DP110" s="437" t="n"/>
      <c r="DQ110" s="437" t="n"/>
      <c r="DR110" s="437" t="n"/>
      <c r="DS110" s="437" t="n"/>
      <c r="DT110" s="437" t="n"/>
      <c r="DU110" s="437" t="n"/>
      <c r="DV110" s="437" t="n"/>
      <c r="DW110" s="437" t="n"/>
      <c r="DX110" s="437" t="n"/>
      <c r="DY110" s="238" t="n"/>
      <c r="DZ110" s="23" t="n"/>
      <c r="FQ110" s="212" t="n"/>
      <c r="FR110" s="212" t="n"/>
      <c r="FS110" s="212" t="n"/>
      <c r="FT110" s="212" t="n"/>
      <c r="FU110" s="212" t="n"/>
      <c r="FV110" s="212" t="n"/>
      <c r="FW110" s="212" t="n"/>
      <c r="FX110" s="212" t="n"/>
      <c r="FY110" s="212" t="n"/>
      <c r="FZ110" s="212" t="n"/>
    </row>
    <row r="111" ht="39.95" customFormat="1" customHeight="1" s="5">
      <c r="A111" s="456" t="n"/>
      <c r="B111" s="8" t="n"/>
      <c r="C111" s="456" t="n"/>
      <c r="D111" s="594" t="n"/>
      <c r="E111" s="595" t="n"/>
      <c r="F111" s="595" t="n"/>
      <c r="G111" s="595" t="n"/>
      <c r="H111" s="596" t="n"/>
      <c r="I111" s="597" t="n"/>
      <c r="J111" s="595" t="n"/>
      <c r="K111" s="595" t="n"/>
      <c r="L111" s="595" t="n"/>
      <c r="M111" s="596" t="n"/>
      <c r="N111" s="597" t="n"/>
      <c r="O111" s="595" t="n"/>
      <c r="P111" s="595" t="n"/>
      <c r="Q111" s="595" t="n"/>
      <c r="R111" s="596" t="n"/>
      <c r="S111" s="597" t="n"/>
      <c r="T111" s="595" t="n"/>
      <c r="U111" s="595" t="n"/>
      <c r="V111" s="595" t="n"/>
      <c r="W111" s="596" t="n"/>
      <c r="X111" s="597" t="n"/>
      <c r="Y111" s="595" t="n"/>
      <c r="Z111" s="595" t="n"/>
      <c r="AA111" s="595" t="n"/>
      <c r="AB111" s="596" t="n"/>
      <c r="AC111" s="597" t="n"/>
      <c r="AD111" s="595" t="n"/>
      <c r="AE111" s="595" t="n"/>
      <c r="AF111" s="595" t="n"/>
      <c r="AG111" s="596" t="n"/>
      <c r="AH111" s="597" t="n"/>
      <c r="AI111" s="595" t="n"/>
      <c r="AJ111" s="595" t="n"/>
      <c r="AK111" s="595" t="n"/>
      <c r="AL111" s="596" t="n"/>
      <c r="AM111" s="597" t="n"/>
      <c r="AN111" s="595" t="n"/>
      <c r="AO111" s="595" t="n"/>
      <c r="AP111" s="595" t="n"/>
      <c r="AQ111" s="596" t="n"/>
      <c r="AR111" s="597" t="n"/>
      <c r="AS111" s="595" t="n"/>
      <c r="AT111" s="595" t="n"/>
      <c r="AU111" s="595" t="n"/>
      <c r="AV111" s="596" t="n"/>
      <c r="AW111" s="597" t="n"/>
      <c r="AX111" s="595" t="n"/>
      <c r="AY111" s="595" t="n"/>
      <c r="AZ111" s="595" t="n"/>
      <c r="BA111" s="596" t="n"/>
      <c r="BB111" s="597" t="n"/>
      <c r="BC111" s="595" t="n"/>
      <c r="BD111" s="595" t="n"/>
      <c r="BE111" s="595" t="n"/>
      <c r="BF111" s="596" t="n"/>
      <c r="BG111" s="597" t="n"/>
      <c r="BH111" s="595" t="n"/>
      <c r="BI111" s="595" t="n"/>
      <c r="BJ111" s="595" t="n"/>
      <c r="BK111" s="596" t="n"/>
      <c r="BL111" s="597" t="n"/>
      <c r="BM111" s="595" t="n"/>
      <c r="BN111" s="595" t="n"/>
      <c r="BO111" s="595" t="n"/>
      <c r="BP111" s="596" t="n"/>
      <c r="BQ111" s="597" t="n"/>
      <c r="BR111" s="595" t="n"/>
      <c r="BS111" s="595" t="n"/>
      <c r="BT111" s="596" t="n"/>
      <c r="BU111" s="437" t="n"/>
      <c r="BV111" s="437" t="n"/>
      <c r="BW111" s="437" t="n"/>
      <c r="BX111" s="437" t="n"/>
      <c r="BY111" s="437" t="n"/>
      <c r="BZ111" s="437" t="n"/>
      <c r="CA111" s="437" t="n"/>
      <c r="CB111" s="437" t="n"/>
      <c r="CC111" s="437" t="n"/>
      <c r="CD111" s="437" t="n"/>
      <c r="CE111" s="437" t="n"/>
      <c r="CF111" s="437" t="n"/>
      <c r="CG111" s="437" t="n"/>
      <c r="CH111" s="437" t="n"/>
      <c r="CI111" s="437" t="n"/>
      <c r="CJ111" s="437" t="n"/>
      <c r="CK111" s="437" t="n"/>
      <c r="CL111" s="437" t="n"/>
      <c r="CM111" s="437" t="n"/>
      <c r="CN111" s="437" t="n"/>
      <c r="CO111" s="437" t="n"/>
      <c r="CP111" s="437" t="n"/>
      <c r="CQ111" s="437" t="n"/>
      <c r="CR111" s="437" t="n"/>
      <c r="CS111" s="437" t="n"/>
      <c r="CT111" s="437" t="n"/>
      <c r="CU111" s="437" t="n"/>
      <c r="CV111" s="437" t="n"/>
      <c r="CW111" s="437" t="n"/>
      <c r="CX111" s="437" t="n"/>
      <c r="CY111" s="437" t="n"/>
      <c r="CZ111" s="437" t="n"/>
      <c r="DA111" s="437" t="n"/>
      <c r="DB111" s="437" t="n"/>
      <c r="DC111" s="437" t="n"/>
      <c r="DD111" s="437" t="n"/>
      <c r="DE111" s="437" t="n"/>
      <c r="DF111" s="437" t="n"/>
      <c r="DG111" s="437" t="n"/>
      <c r="DH111" s="437" t="n"/>
      <c r="DI111" s="437" t="n"/>
      <c r="DJ111" s="437" t="n"/>
      <c r="DK111" s="437" t="n"/>
      <c r="DL111" s="437" t="n"/>
      <c r="DM111" s="437" t="n"/>
      <c r="DN111" s="437" t="n"/>
      <c r="DO111" s="437" t="n"/>
      <c r="DP111" s="437" t="n"/>
      <c r="DQ111" s="437" t="n"/>
      <c r="DR111" s="437" t="n"/>
      <c r="DS111" s="437" t="n"/>
      <c r="DT111" s="437" t="n"/>
      <c r="DU111" s="437" t="n"/>
      <c r="DV111" s="437" t="n"/>
      <c r="DW111" s="437" t="n"/>
      <c r="DX111" s="437" t="n"/>
      <c r="DY111" s="238" t="n"/>
      <c r="DZ111" s="23" t="n"/>
      <c r="FQ111" s="212" t="n"/>
      <c r="FR111" s="212" t="n"/>
      <c r="FS111" s="212" t="n"/>
      <c r="FT111" s="212" t="n"/>
      <c r="FU111" s="212" t="n"/>
      <c r="FV111" s="212" t="n"/>
      <c r="FW111" s="212" t="n"/>
      <c r="FX111" s="212" t="n"/>
      <c r="FY111" s="212" t="n"/>
      <c r="FZ111" s="212" t="n"/>
    </row>
    <row r="112" ht="36" customFormat="1" customHeight="1" s="5">
      <c r="A112" s="453" t="inlineStr">
        <is>
          <t>ELEVATION</t>
        </is>
      </c>
      <c r="B112" s="449" t="n"/>
      <c r="C112" s="18" t="inlineStr">
        <is>
          <t>LOC</t>
        </is>
      </c>
      <c r="D112" s="95" t="n">
        <v>1</v>
      </c>
      <c r="E112" s="96" t="n">
        <v>2</v>
      </c>
      <c r="F112" s="96" t="n">
        <v>3</v>
      </c>
      <c r="G112" s="96" t="n">
        <v>4</v>
      </c>
      <c r="H112" s="96" t="n">
        <v>5</v>
      </c>
      <c r="I112" s="96" t="n">
        <v>6</v>
      </c>
      <c r="J112" s="96" t="n">
        <v>7</v>
      </c>
      <c r="K112" s="96" t="n">
        <v>8</v>
      </c>
      <c r="L112" s="96" t="n">
        <v>9</v>
      </c>
      <c r="M112" s="96" t="n">
        <v>10</v>
      </c>
      <c r="N112" s="96" t="n">
        <v>11</v>
      </c>
      <c r="O112" s="96" t="n">
        <v>12</v>
      </c>
      <c r="P112" s="96" t="n">
        <v>13</v>
      </c>
      <c r="Q112" s="96" t="n">
        <v>14</v>
      </c>
      <c r="R112" s="96" t="n">
        <v>15</v>
      </c>
      <c r="S112" s="96" t="n">
        <v>16</v>
      </c>
      <c r="T112" s="96" t="n">
        <v>17</v>
      </c>
      <c r="U112" s="96" t="n">
        <v>18</v>
      </c>
      <c r="V112" s="96" t="n">
        <v>19</v>
      </c>
      <c r="W112" s="96" t="n">
        <v>20</v>
      </c>
      <c r="X112" s="96" t="n">
        <v>21</v>
      </c>
      <c r="Y112" s="96" t="n">
        <v>22</v>
      </c>
      <c r="Z112" s="96" t="n">
        <v>23</v>
      </c>
      <c r="AA112" s="96" t="n">
        <v>24</v>
      </c>
      <c r="AB112" s="96" t="n">
        <v>25</v>
      </c>
      <c r="AC112" s="96" t="n">
        <v>26</v>
      </c>
      <c r="AD112" s="96" t="n">
        <v>27</v>
      </c>
      <c r="AE112" s="96" t="n">
        <v>28</v>
      </c>
      <c r="AF112" s="96" t="n">
        <v>29</v>
      </c>
      <c r="AG112" s="96" t="n">
        <v>30</v>
      </c>
      <c r="AH112" s="96" t="n">
        <v>31</v>
      </c>
      <c r="AI112" s="96" t="n">
        <v>32</v>
      </c>
      <c r="AJ112" s="96" t="n">
        <v>33</v>
      </c>
      <c r="AK112" s="96" t="n">
        <v>34</v>
      </c>
      <c r="AL112" s="96" t="n">
        <v>35</v>
      </c>
      <c r="AM112" s="96" t="n">
        <v>36</v>
      </c>
      <c r="AN112" s="96" t="n">
        <v>37</v>
      </c>
      <c r="AO112" s="96" t="n">
        <v>38</v>
      </c>
      <c r="AP112" s="96" t="n">
        <v>39</v>
      </c>
      <c r="AQ112" s="96" t="n">
        <v>40</v>
      </c>
      <c r="AR112" s="96" t="n">
        <v>41</v>
      </c>
      <c r="AS112" s="96" t="n">
        <v>42</v>
      </c>
      <c r="AT112" s="96" t="n">
        <v>43</v>
      </c>
      <c r="AU112" s="96" t="n">
        <v>44</v>
      </c>
      <c r="AV112" s="96" t="n">
        <v>45</v>
      </c>
      <c r="AW112" s="96" t="n">
        <v>46</v>
      </c>
      <c r="AX112" s="96" t="n">
        <v>47</v>
      </c>
      <c r="AY112" s="96" t="n">
        <v>48</v>
      </c>
      <c r="AZ112" s="96" t="n">
        <v>49</v>
      </c>
      <c r="BA112" s="96" t="n">
        <v>50</v>
      </c>
      <c r="BB112" s="96" t="n">
        <v>51</v>
      </c>
      <c r="BC112" s="96" t="n">
        <v>52</v>
      </c>
      <c r="BD112" s="96" t="n">
        <v>53</v>
      </c>
      <c r="BE112" s="96" t="n">
        <v>54</v>
      </c>
      <c r="BF112" s="96" t="n">
        <v>55</v>
      </c>
      <c r="BG112" s="96" t="n">
        <v>56</v>
      </c>
      <c r="BH112" s="96" t="n">
        <v>57</v>
      </c>
      <c r="BI112" s="96" t="n">
        <v>58</v>
      </c>
      <c r="BJ112" s="96" t="n">
        <v>59</v>
      </c>
      <c r="BK112" s="96" t="n">
        <v>60</v>
      </c>
      <c r="BL112" s="96" t="n">
        <v>61</v>
      </c>
      <c r="BM112" s="96" t="n">
        <v>62</v>
      </c>
      <c r="BN112" s="96" t="n">
        <v>63</v>
      </c>
      <c r="BO112" s="96" t="n">
        <v>64</v>
      </c>
      <c r="BP112" s="96" t="n">
        <v>65</v>
      </c>
      <c r="BQ112" s="96" t="n">
        <v>66</v>
      </c>
      <c r="BR112" s="96" t="n">
        <v>67</v>
      </c>
      <c r="BS112" s="96" t="n">
        <v>68</v>
      </c>
      <c r="BT112" s="97" t="n">
        <v>69</v>
      </c>
      <c r="BU112" s="19" t="n"/>
      <c r="BV112" s="19" t="n"/>
      <c r="BW112" s="238" t="n"/>
      <c r="BX112" s="238" t="n"/>
      <c r="BY112" s="238" t="n"/>
      <c r="BZ112" s="238" t="n"/>
      <c r="CA112" s="238" t="n"/>
      <c r="CB112" s="238" t="n"/>
      <c r="CC112" s="238" t="n"/>
      <c r="CD112" s="238" t="n"/>
      <c r="CE112" s="238" t="n"/>
      <c r="CF112" s="238" t="n"/>
      <c r="CG112" s="238" t="n"/>
      <c r="CH112" s="238" t="n"/>
      <c r="CI112" s="238" t="n"/>
      <c r="CJ112" s="238" t="n"/>
      <c r="CK112" s="238" t="n"/>
      <c r="CL112" s="238" t="n"/>
      <c r="CM112" s="238" t="n"/>
      <c r="CN112" s="238" t="n"/>
      <c r="CO112" s="238" t="n"/>
      <c r="CP112" s="238" t="n"/>
      <c r="CQ112" s="238" t="n"/>
      <c r="CR112" s="238" t="n"/>
      <c r="CS112" s="238" t="n"/>
      <c r="CT112" s="238" t="n"/>
      <c r="CU112" s="238" t="n"/>
      <c r="CV112" s="238" t="n"/>
      <c r="CW112" s="238" t="n"/>
      <c r="CX112" s="238" t="n"/>
      <c r="CY112" s="238" t="n"/>
      <c r="CZ112" s="238" t="n"/>
      <c r="DA112" s="238" t="n"/>
      <c r="DB112" s="238" t="n"/>
      <c r="DC112" s="238" t="n"/>
      <c r="DD112" s="238" t="n"/>
      <c r="DE112" s="238" t="n"/>
      <c r="DF112" s="238" t="n"/>
      <c r="DG112" s="238" t="n"/>
      <c r="DH112" s="238" t="n"/>
      <c r="DI112" s="238" t="n"/>
      <c r="DJ112" s="238" t="n"/>
      <c r="DK112" s="238" t="n"/>
      <c r="DL112" s="238" t="n"/>
      <c r="DM112" s="238" t="n"/>
      <c r="DN112" s="238" t="n"/>
      <c r="DO112" s="238" t="n"/>
      <c r="DP112" s="238" t="n"/>
      <c r="DQ112" s="238" t="n"/>
      <c r="DR112" s="238" t="n"/>
      <c r="DS112" s="238" t="n"/>
      <c r="DT112" s="238" t="n"/>
      <c r="DU112" s="238" t="n"/>
      <c r="DV112" s="238" t="n"/>
      <c r="DW112" s="238" t="n"/>
      <c r="DX112" s="238" t="n"/>
      <c r="DY112" s="238" t="n"/>
      <c r="DZ112" s="23" t="n"/>
      <c r="FQ112" s="212" t="n"/>
      <c r="FR112" s="212" t="n"/>
      <c r="FS112" s="212" t="n"/>
      <c r="FT112" s="212" t="n"/>
      <c r="FU112" s="212" t="n"/>
      <c r="FV112" s="212" t="n"/>
      <c r="FW112" s="212" t="n"/>
      <c r="FX112" s="212" t="n"/>
      <c r="FY112" s="212" t="n"/>
      <c r="FZ112" s="212" t="n"/>
    </row>
    <row r="113" hidden="1" ht="36" customFormat="1" customHeight="1" s="5">
      <c r="A113" s="13" t="n"/>
      <c r="C113" s="238" t="n"/>
      <c r="D113" s="238" t="n"/>
      <c r="E113" s="238" t="n"/>
      <c r="F113" s="238" t="n"/>
      <c r="G113" s="238" t="n"/>
      <c r="H113" s="238" t="n"/>
      <c r="I113" s="238" t="n"/>
      <c r="J113" s="238" t="n"/>
      <c r="K113" s="238" t="n"/>
      <c r="L113" s="238" t="n"/>
      <c r="M113" s="238" t="n"/>
      <c r="N113" s="238" t="n"/>
      <c r="O113" s="238" t="n"/>
      <c r="P113" s="238" t="n"/>
      <c r="Q113" s="238" t="n"/>
      <c r="R113" s="238" t="n"/>
      <c r="S113" s="238" t="n"/>
      <c r="T113" s="238" t="n"/>
      <c r="U113" s="238" t="n"/>
      <c r="V113" s="238" t="n"/>
      <c r="W113" s="238" t="n"/>
      <c r="X113" s="238" t="n"/>
      <c r="Y113" s="238" t="n"/>
      <c r="Z113" s="238" t="n"/>
      <c r="AA113" s="238" t="n"/>
      <c r="AB113" s="238" t="n"/>
      <c r="AC113" s="238" t="n"/>
      <c r="AD113" s="238" t="n"/>
      <c r="AE113" s="238" t="n"/>
      <c r="AF113" s="238" t="n"/>
      <c r="AG113" s="238" t="n"/>
      <c r="AH113" s="238" t="n"/>
      <c r="AI113" s="238" t="n"/>
      <c r="AJ113" s="238" t="n"/>
      <c r="AK113" s="238" t="n"/>
      <c r="AL113" s="238" t="n"/>
      <c r="AM113" s="238" t="n"/>
      <c r="AN113" s="238" t="n"/>
      <c r="AO113" s="238" t="n"/>
      <c r="AP113" s="238" t="n"/>
      <c r="AQ113" s="238" t="n"/>
      <c r="AR113" s="238" t="n"/>
      <c r="AS113" s="238" t="n"/>
      <c r="AT113" s="238" t="n"/>
      <c r="AU113" s="238" t="n"/>
      <c r="AV113" s="238" t="n"/>
      <c r="AW113" s="238" t="n"/>
      <c r="AX113" s="238" t="n"/>
      <c r="AY113" s="238" t="n"/>
      <c r="AZ113" s="238" t="n"/>
      <c r="BA113" s="238" t="n"/>
      <c r="BB113" s="238" t="n"/>
      <c r="BC113" s="238" t="n"/>
      <c r="BD113" s="238" t="n"/>
      <c r="BE113" s="238" t="n"/>
      <c r="BF113" s="238" t="n"/>
      <c r="BG113" s="238" t="n"/>
      <c r="BH113" s="238" t="n"/>
      <c r="BI113" s="238" t="n"/>
      <c r="BJ113" s="238" t="n"/>
      <c r="BK113" s="238" t="n"/>
      <c r="BL113" s="238" t="n"/>
      <c r="BM113" s="238" t="n"/>
      <c r="BN113" s="238" t="n"/>
      <c r="BO113" s="238" t="n"/>
      <c r="BP113" s="238" t="n"/>
      <c r="BQ113" s="238" t="n"/>
      <c r="BR113" s="238" t="n"/>
      <c r="BS113" s="238" t="n"/>
      <c r="BT113" s="238" t="n"/>
      <c r="BU113" s="238" t="n"/>
      <c r="BV113" s="238" t="n"/>
      <c r="BW113" s="238" t="n"/>
      <c r="BX113" s="238" t="n"/>
      <c r="BY113" s="238" t="n"/>
      <c r="BZ113" s="238" t="n"/>
      <c r="CA113" s="238" t="n"/>
      <c r="CB113" s="238" t="n"/>
      <c r="CC113" s="238" t="n"/>
      <c r="CD113" s="238" t="n"/>
      <c r="CE113" s="238" t="n"/>
      <c r="CF113" s="238" t="n"/>
      <c r="CG113" s="238" t="n"/>
      <c r="CH113" s="238" t="n"/>
      <c r="CI113" s="238" t="n"/>
      <c r="CJ113" s="238" t="n"/>
      <c r="CK113" s="238" t="n"/>
      <c r="CL113" s="238" t="n"/>
      <c r="CM113" s="238" t="n"/>
      <c r="CN113" s="238" t="n"/>
      <c r="CO113" s="238" t="n"/>
      <c r="CP113" s="238" t="n"/>
      <c r="CQ113" s="238" t="n"/>
      <c r="CR113" s="238" t="n"/>
      <c r="CS113" s="238" t="n"/>
      <c r="CT113" s="238" t="n"/>
      <c r="CU113" s="238" t="n"/>
      <c r="CV113" s="238" t="n"/>
      <c r="CW113" s="238" t="n"/>
      <c r="CX113" s="238" t="n"/>
      <c r="CY113" s="238" t="n"/>
      <c r="CZ113" s="238" t="n"/>
      <c r="DA113" s="238" t="n"/>
      <c r="DB113" s="238" t="n"/>
      <c r="DC113" s="238" t="n"/>
      <c r="DD113" s="238" t="n"/>
      <c r="DE113" s="238" t="n"/>
      <c r="DF113" s="238" t="n"/>
      <c r="DG113" s="238" t="n"/>
      <c r="DH113" s="238" t="n"/>
      <c r="DI113" s="238" t="n"/>
      <c r="DJ113" s="238" t="n"/>
      <c r="DK113" s="238" t="n"/>
      <c r="DL113" s="238" t="n"/>
      <c r="DM113" s="238" t="n"/>
      <c r="DN113" s="238" t="n"/>
      <c r="DO113" s="238" t="n"/>
      <c r="DP113" s="238" t="n"/>
      <c r="DQ113" s="238" t="n"/>
      <c r="DR113" s="238" t="n"/>
      <c r="DS113" s="238" t="n"/>
      <c r="DT113" s="238" t="n"/>
      <c r="DU113" s="238" t="n"/>
      <c r="DV113" s="238" t="n"/>
      <c r="DW113" s="238" t="n"/>
      <c r="DX113" s="238" t="n"/>
      <c r="DY113" s="238" t="n"/>
      <c r="DZ113" s="23" t="n"/>
      <c r="FQ113" s="212" t="n"/>
      <c r="FR113" s="212" t="n"/>
      <c r="FS113" s="212" t="n"/>
      <c r="FT113" s="212" t="n"/>
      <c r="FU113" s="212" t="n"/>
      <c r="FV113" s="212" t="n"/>
      <c r="FW113" s="212" t="n"/>
      <c r="FX113" s="212" t="n"/>
      <c r="FY113" s="212" t="n"/>
      <c r="FZ113" s="212" t="n"/>
    </row>
    <row r="114" hidden="1" ht="36" customFormat="1" customHeight="1" s="5">
      <c r="A114" s="13" t="n"/>
      <c r="C114" s="238" t="n"/>
      <c r="D114" s="238" t="n"/>
      <c r="E114" s="238" t="n"/>
      <c r="F114" s="238" t="n"/>
      <c r="G114" s="238" t="n"/>
      <c r="H114" s="238" t="n"/>
      <c r="I114" s="238" t="n"/>
      <c r="J114" s="238" t="n"/>
      <c r="K114" s="238" t="n"/>
      <c r="L114" s="238" t="n"/>
      <c r="M114" s="238" t="n"/>
      <c r="N114" s="238" t="n"/>
      <c r="O114" s="238" t="n"/>
      <c r="P114" s="238" t="n"/>
      <c r="Q114" s="238" t="n"/>
      <c r="R114" s="238" t="n"/>
      <c r="S114" s="238" t="n"/>
      <c r="T114" s="238" t="n"/>
      <c r="U114" s="238" t="n"/>
      <c r="V114" s="238" t="n"/>
      <c r="W114" s="238" t="n"/>
      <c r="X114" s="238" t="n"/>
      <c r="Y114" s="238" t="n"/>
      <c r="Z114" s="238" t="n"/>
      <c r="AA114" s="238" t="n"/>
      <c r="AB114" s="238" t="n"/>
      <c r="AC114" s="238" t="n"/>
      <c r="AD114" s="238" t="n"/>
      <c r="AE114" s="238" t="n"/>
      <c r="AF114" s="238" t="n"/>
      <c r="AG114" s="238" t="n"/>
      <c r="AH114" s="238" t="n"/>
      <c r="AI114" s="238" t="n"/>
      <c r="AJ114" s="238" t="n"/>
      <c r="AK114" s="238" t="n"/>
      <c r="AL114" s="238" t="n"/>
      <c r="AM114" s="238" t="n"/>
      <c r="AN114" s="238" t="n"/>
      <c r="AO114" s="238" t="n"/>
      <c r="AP114" s="238" t="n"/>
      <c r="AQ114" s="238" t="n"/>
      <c r="AR114" s="238" t="n"/>
      <c r="AS114" s="238" t="n"/>
      <c r="AT114" s="238" t="n"/>
      <c r="AU114" s="238" t="n"/>
      <c r="AV114" s="238" t="n"/>
      <c r="AW114" s="238" t="n"/>
      <c r="AX114" s="238" t="n"/>
      <c r="AY114" s="238" t="n"/>
      <c r="AZ114" s="238" t="n"/>
      <c r="BA114" s="238" t="n"/>
      <c r="BB114" s="238" t="n"/>
      <c r="BC114" s="238" t="n"/>
      <c r="BD114" s="238" t="n"/>
      <c r="BE114" s="238" t="n"/>
      <c r="BF114" s="238" t="n"/>
      <c r="BG114" s="238" t="n"/>
      <c r="BH114" s="238" t="n"/>
      <c r="BI114" s="238" t="n"/>
      <c r="BJ114" s="238" t="n"/>
      <c r="BK114" s="238" t="n"/>
      <c r="BL114" s="238" t="n"/>
      <c r="BM114" s="238" t="n"/>
      <c r="BN114" s="238" t="n"/>
      <c r="BO114" s="238" t="n"/>
      <c r="BP114" s="238" t="n"/>
      <c r="BQ114" s="238" t="n"/>
      <c r="BR114" s="238" t="n"/>
      <c r="BS114" s="238" t="n"/>
      <c r="BT114" s="238" t="n"/>
      <c r="BU114" s="238" t="n"/>
      <c r="BV114" s="238" t="n"/>
      <c r="BW114" s="238" t="n"/>
      <c r="BX114" s="238" t="n"/>
      <c r="BY114" s="238" t="n"/>
      <c r="BZ114" s="238" t="n"/>
      <c r="CA114" s="238" t="n"/>
      <c r="CB114" s="238" t="n"/>
      <c r="CC114" s="238" t="n"/>
      <c r="CD114" s="238" t="n"/>
      <c r="CE114" s="238" t="n"/>
      <c r="CF114" s="238" t="n"/>
      <c r="CG114" s="238" t="n"/>
      <c r="CH114" s="238" t="n"/>
      <c r="CI114" s="238" t="n"/>
      <c r="CJ114" s="238" t="n"/>
      <c r="CK114" s="238" t="n"/>
      <c r="CL114" s="238" t="n"/>
      <c r="CM114" s="238" t="n"/>
      <c r="CN114" s="238" t="n"/>
      <c r="CO114" s="238" t="n"/>
      <c r="CP114" s="238" t="n"/>
      <c r="CQ114" s="238" t="n"/>
      <c r="CR114" s="238" t="n"/>
      <c r="CS114" s="238" t="n"/>
      <c r="CT114" s="238" t="n"/>
      <c r="CU114" s="238" t="n"/>
      <c r="CV114" s="238" t="n"/>
      <c r="CW114" s="238" t="n"/>
      <c r="CX114" s="238" t="n"/>
      <c r="CY114" s="238" t="n"/>
      <c r="CZ114" s="238" t="n"/>
      <c r="DA114" s="238" t="n"/>
      <c r="DB114" s="238" t="n"/>
      <c r="DC114" s="238" t="n"/>
      <c r="DD114" s="238" t="n"/>
      <c r="DE114" s="238" t="n"/>
      <c r="DF114" s="238" t="n"/>
      <c r="DG114" s="238" t="n"/>
      <c r="DH114" s="238" t="n"/>
      <c r="DI114" s="238" t="n"/>
      <c r="DJ114" s="238" t="n"/>
      <c r="DK114" s="238" t="n"/>
      <c r="DL114" s="238" t="n"/>
      <c r="DM114" s="238" t="n"/>
      <c r="DN114" s="238" t="n"/>
      <c r="DO114" s="238" t="n"/>
      <c r="DP114" s="238" t="n"/>
      <c r="DQ114" s="238" t="n"/>
      <c r="DR114" s="238" t="n"/>
      <c r="DS114" s="238" t="n"/>
      <c r="DT114" s="238" t="n"/>
      <c r="DU114" s="238" t="n"/>
      <c r="DV114" s="238" t="n"/>
      <c r="DW114" s="238" t="n"/>
      <c r="DX114" s="238" t="n"/>
      <c r="DY114" s="238" t="n"/>
      <c r="DZ114" s="23" t="n"/>
      <c r="FQ114" s="212" t="n"/>
      <c r="FR114" s="212" t="n"/>
      <c r="FS114" s="212" t="n"/>
      <c r="FT114" s="212" t="n"/>
      <c r="FU114" s="212" t="n"/>
      <c r="FV114" s="212" t="n"/>
      <c r="FW114" s="212" t="n"/>
      <c r="FX114" s="212" t="n"/>
      <c r="FY114" s="212" t="n"/>
      <c r="FZ114" s="212" t="n"/>
    </row>
    <row r="115" hidden="1" ht="36" customFormat="1" customHeight="1" s="5">
      <c r="A115" s="13" t="n"/>
      <c r="C115" s="238" t="n"/>
      <c r="D115" s="238" t="n"/>
      <c r="E115" s="238" t="n"/>
      <c r="F115" s="238" t="n"/>
      <c r="G115" s="238" t="n"/>
      <c r="H115" s="238" t="n"/>
      <c r="I115" s="238" t="n"/>
      <c r="J115" s="238" t="n"/>
      <c r="K115" s="238" t="n"/>
      <c r="L115" s="238" t="n"/>
      <c r="M115" s="238" t="n"/>
      <c r="N115" s="238" t="n"/>
      <c r="O115" s="238" t="n"/>
      <c r="P115" s="238" t="n"/>
      <c r="Q115" s="238" t="n"/>
      <c r="R115" s="238" t="n"/>
      <c r="S115" s="238" t="n"/>
      <c r="T115" s="238" t="n"/>
      <c r="U115" s="238" t="n"/>
      <c r="V115" s="238" t="n"/>
      <c r="W115" s="238" t="n"/>
      <c r="X115" s="238" t="n"/>
      <c r="Y115" s="238" t="n"/>
      <c r="Z115" s="238" t="n"/>
      <c r="AA115" s="238" t="n"/>
      <c r="AB115" s="238" t="n"/>
      <c r="AC115" s="238" t="n"/>
      <c r="AD115" s="238" t="n"/>
      <c r="AE115" s="238" t="n"/>
      <c r="AF115" s="238" t="n"/>
      <c r="AG115" s="238" t="n"/>
      <c r="AH115" s="238" t="n"/>
      <c r="AI115" s="238" t="n"/>
      <c r="AJ115" s="238" t="n"/>
      <c r="AK115" s="238" t="n"/>
      <c r="AL115" s="238" t="n"/>
      <c r="AM115" s="238" t="n"/>
      <c r="AN115" s="238" t="n"/>
      <c r="AO115" s="238" t="n"/>
      <c r="AP115" s="238" t="n"/>
      <c r="AQ115" s="238" t="n"/>
      <c r="AR115" s="238" t="n"/>
      <c r="AS115" s="238" t="n"/>
      <c r="AT115" s="238" t="n"/>
      <c r="AU115" s="238" t="n"/>
      <c r="AV115" s="238" t="n"/>
      <c r="AW115" s="238" t="n"/>
      <c r="AX115" s="238" t="n"/>
      <c r="AY115" s="238" t="n"/>
      <c r="AZ115" s="238" t="n"/>
      <c r="BA115" s="238" t="n"/>
      <c r="BB115" s="238" t="n"/>
      <c r="BC115" s="238" t="n"/>
      <c r="BD115" s="238" t="n"/>
      <c r="BE115" s="238" t="n"/>
      <c r="BF115" s="238" t="n"/>
      <c r="BG115" s="238" t="n"/>
      <c r="BH115" s="238" t="n"/>
      <c r="BI115" s="238" t="n"/>
      <c r="BJ115" s="238" t="n"/>
      <c r="BK115" s="238" t="n"/>
      <c r="BL115" s="238" t="n"/>
      <c r="BM115" s="238" t="n"/>
      <c r="BN115" s="238" t="n"/>
      <c r="BO115" s="238" t="n"/>
      <c r="BP115" s="238" t="n"/>
      <c r="BQ115" s="238" t="n"/>
      <c r="BR115" s="238" t="n"/>
      <c r="BS115" s="238" t="n"/>
      <c r="BT115" s="238" t="n"/>
      <c r="BU115" s="238" t="n"/>
      <c r="BV115" s="238" t="n"/>
      <c r="BW115" s="238" t="n"/>
      <c r="BX115" s="238" t="n"/>
      <c r="BY115" s="238" t="n"/>
      <c r="BZ115" s="238" t="n"/>
      <c r="CA115" s="238" t="n"/>
      <c r="CB115" s="238" t="n"/>
      <c r="CC115" s="238" t="n"/>
      <c r="CD115" s="238" t="n"/>
      <c r="CE115" s="238" t="n"/>
      <c r="CF115" s="238" t="n"/>
      <c r="CG115" s="238" t="n"/>
      <c r="CH115" s="238" t="n"/>
      <c r="CI115" s="238" t="n"/>
      <c r="CJ115" s="238" t="n"/>
      <c r="CK115" s="238" t="n"/>
      <c r="CL115" s="238" t="n"/>
      <c r="CM115" s="238" t="n"/>
      <c r="CN115" s="238" t="n"/>
      <c r="CO115" s="238" t="n"/>
      <c r="CP115" s="238" t="n"/>
      <c r="CQ115" s="238" t="n"/>
      <c r="CR115" s="238" t="n"/>
      <c r="CS115" s="238" t="n"/>
      <c r="CT115" s="238" t="n"/>
      <c r="CU115" s="238" t="n"/>
      <c r="CV115" s="238" t="n"/>
      <c r="CW115" s="238" t="n"/>
      <c r="CX115" s="238" t="n"/>
      <c r="CY115" s="238" t="n"/>
      <c r="CZ115" s="238" t="n"/>
      <c r="DA115" s="238" t="n"/>
      <c r="DB115" s="238" t="n"/>
      <c r="DC115" s="238" t="n"/>
      <c r="DD115" s="238" t="n"/>
      <c r="DE115" s="238" t="n"/>
      <c r="DF115" s="238" t="n"/>
      <c r="DG115" s="238" t="n"/>
      <c r="DH115" s="238" t="n"/>
      <c r="DI115" s="238" t="n"/>
      <c r="DJ115" s="238" t="n"/>
      <c r="DK115" s="238" t="n"/>
      <c r="DL115" s="238" t="n"/>
      <c r="DM115" s="238" t="n"/>
      <c r="DN115" s="238" t="n"/>
      <c r="DO115" s="238" t="n"/>
      <c r="DP115" s="238" t="n"/>
      <c r="DQ115" s="238" t="n"/>
      <c r="DR115" s="238" t="n"/>
      <c r="DS115" s="238" t="n"/>
      <c r="DT115" s="238" t="n"/>
      <c r="DU115" s="238" t="n"/>
      <c r="DV115" s="238" t="n"/>
      <c r="DW115" s="238" t="n"/>
      <c r="DX115" s="238" t="n"/>
      <c r="DY115" s="238" t="n"/>
      <c r="DZ115" s="23" t="n"/>
      <c r="FQ115" s="212" t="n"/>
      <c r="FR115" s="212" t="n"/>
      <c r="FS115" s="212" t="n"/>
      <c r="FT115" s="212" t="n"/>
      <c r="FU115" s="212" t="n"/>
      <c r="FV115" s="212" t="n"/>
      <c r="FW115" s="212" t="n"/>
      <c r="FX115" s="212" t="n"/>
      <c r="FY115" s="212" t="n"/>
      <c r="FZ115" s="212" t="n"/>
    </row>
    <row r="116" hidden="1" ht="36" customFormat="1" customHeight="1" s="5">
      <c r="A116" s="13" t="n"/>
      <c r="C116" s="238" t="n"/>
      <c r="D116" s="238" t="n"/>
      <c r="E116" s="238" t="n"/>
      <c r="F116" s="238" t="n"/>
      <c r="G116" s="238" t="n"/>
      <c r="H116" s="238" t="n"/>
      <c r="I116" s="238" t="n"/>
      <c r="J116" s="238" t="n"/>
      <c r="K116" s="238" t="n"/>
      <c r="L116" s="238" t="n"/>
      <c r="M116" s="238" t="n"/>
      <c r="N116" s="238" t="n"/>
      <c r="O116" s="238" t="n"/>
      <c r="P116" s="238" t="n"/>
      <c r="Q116" s="238" t="n"/>
      <c r="R116" s="238" t="n"/>
      <c r="S116" s="238" t="n"/>
      <c r="T116" s="238" t="n"/>
      <c r="U116" s="238" t="n"/>
      <c r="V116" s="238" t="n"/>
      <c r="W116" s="238" t="n"/>
      <c r="X116" s="238" t="n"/>
      <c r="Y116" s="238" t="n"/>
      <c r="Z116" s="238" t="n"/>
      <c r="AA116" s="238" t="n"/>
      <c r="AB116" s="238" t="n"/>
      <c r="AC116" s="238" t="n"/>
      <c r="AD116" s="238" t="n"/>
      <c r="AE116" s="238" t="n"/>
      <c r="AF116" s="238" t="n"/>
      <c r="AG116" s="238" t="n"/>
      <c r="AH116" s="238" t="n"/>
      <c r="AI116" s="238" t="n"/>
      <c r="AJ116" s="238" t="n"/>
      <c r="AK116" s="238" t="n"/>
      <c r="AL116" s="238" t="n"/>
      <c r="AM116" s="238" t="n"/>
      <c r="AN116" s="238" t="n"/>
      <c r="AO116" s="238" t="n"/>
      <c r="AP116" s="238" t="n"/>
      <c r="AQ116" s="238" t="n"/>
      <c r="AR116" s="238" t="n"/>
      <c r="AS116" s="238" t="n"/>
      <c r="AT116" s="238" t="n"/>
      <c r="AU116" s="238" t="n"/>
      <c r="AV116" s="238" t="n"/>
      <c r="AW116" s="238" t="n"/>
      <c r="AX116" s="238" t="n"/>
      <c r="AY116" s="238" t="n"/>
      <c r="AZ116" s="238" t="n"/>
      <c r="BA116" s="238" t="n"/>
      <c r="BB116" s="238" t="n"/>
      <c r="BC116" s="238" t="n"/>
      <c r="BD116" s="238" t="n"/>
      <c r="BE116" s="238" t="n"/>
      <c r="BF116" s="238" t="n"/>
      <c r="BG116" s="238" t="n"/>
      <c r="BH116" s="238" t="n"/>
      <c r="BI116" s="238" t="n"/>
      <c r="BJ116" s="238" t="n"/>
      <c r="BK116" s="238" t="n"/>
      <c r="BL116" s="238" t="n"/>
      <c r="BM116" s="238" t="n"/>
      <c r="BN116" s="238" t="n"/>
      <c r="BO116" s="238" t="n"/>
      <c r="BP116" s="238" t="n"/>
      <c r="BQ116" s="238" t="n"/>
      <c r="BR116" s="238" t="n"/>
      <c r="BS116" s="238" t="n"/>
      <c r="BT116" s="238" t="n"/>
      <c r="BU116" s="238" t="n"/>
      <c r="BV116" s="238" t="n"/>
      <c r="BW116" s="238" t="n"/>
      <c r="BX116" s="238" t="n"/>
      <c r="BY116" s="238" t="n"/>
      <c r="BZ116" s="238" t="n"/>
      <c r="CA116" s="238" t="n"/>
      <c r="CB116" s="238" t="n"/>
      <c r="CC116" s="238" t="n"/>
      <c r="CD116" s="238" t="n"/>
      <c r="CE116" s="238" t="n"/>
      <c r="CF116" s="238" t="n"/>
      <c r="CG116" s="238" t="n"/>
      <c r="CH116" s="238" t="n"/>
      <c r="CI116" s="238" t="n"/>
      <c r="CJ116" s="238" t="n"/>
      <c r="CK116" s="238" t="n"/>
      <c r="CL116" s="238" t="n"/>
      <c r="CM116" s="238" t="n"/>
      <c r="CN116" s="238" t="n"/>
      <c r="CO116" s="238" t="n"/>
      <c r="CP116" s="238" t="n"/>
      <c r="CQ116" s="238" t="n"/>
      <c r="CR116" s="238" t="n"/>
      <c r="CS116" s="238" t="n"/>
      <c r="CT116" s="238" t="n"/>
      <c r="CU116" s="238" t="n"/>
      <c r="CV116" s="238" t="n"/>
      <c r="CW116" s="238" t="n"/>
      <c r="CX116" s="238" t="n"/>
      <c r="CY116" s="238" t="n"/>
      <c r="CZ116" s="238" t="n"/>
      <c r="DA116" s="238" t="n"/>
      <c r="DB116" s="238" t="n"/>
      <c r="DC116" s="238" t="n"/>
      <c r="DD116" s="238" t="n"/>
      <c r="DE116" s="238" t="n"/>
      <c r="DF116" s="238" t="n"/>
      <c r="DG116" s="238" t="n"/>
      <c r="DH116" s="238" t="n"/>
      <c r="DI116" s="238" t="n"/>
      <c r="DJ116" s="238" t="n"/>
      <c r="DK116" s="238" t="n"/>
      <c r="DL116" s="238" t="n"/>
      <c r="DM116" s="238" t="n"/>
      <c r="DN116" s="238" t="n"/>
      <c r="DO116" s="238" t="n"/>
      <c r="DP116" s="238" t="n"/>
      <c r="DQ116" s="238" t="n"/>
      <c r="DR116" s="238" t="n"/>
      <c r="DS116" s="238" t="n"/>
      <c r="DT116" s="238" t="n"/>
      <c r="DU116" s="238" t="n"/>
      <c r="DV116" s="238" t="n"/>
      <c r="DW116" s="238" t="n"/>
      <c r="DX116" s="238" t="n"/>
      <c r="DY116" s="238" t="n"/>
      <c r="DZ116" s="23" t="n"/>
      <c r="FQ116" s="212" t="n"/>
      <c r="FR116" s="212" t="n"/>
      <c r="FS116" s="212" t="n"/>
      <c r="FT116" s="212" t="n"/>
      <c r="FU116" s="212" t="n"/>
      <c r="FV116" s="212" t="n"/>
      <c r="FW116" s="212" t="n"/>
      <c r="FX116" s="212" t="n"/>
      <c r="FY116" s="212" t="n"/>
      <c r="FZ116" s="212" t="n"/>
    </row>
    <row r="117" hidden="1" ht="36" customFormat="1" customHeight="1" s="5">
      <c r="A117" s="13" t="n"/>
      <c r="C117" s="238" t="n"/>
      <c r="D117" s="238" t="n"/>
      <c r="E117" s="238" t="n"/>
      <c r="F117" s="238" t="n"/>
      <c r="G117" s="238" t="n"/>
      <c r="H117" s="238" t="n"/>
      <c r="I117" s="238" t="n"/>
      <c r="J117" s="238" t="n"/>
      <c r="K117" s="238" t="n"/>
      <c r="L117" s="238" t="n"/>
      <c r="M117" s="238" t="n"/>
      <c r="N117" s="238" t="n"/>
      <c r="O117" s="238" t="n"/>
      <c r="P117" s="238" t="n"/>
      <c r="Q117" s="238" t="n"/>
      <c r="R117" s="238" t="n"/>
      <c r="S117" s="238" t="n"/>
      <c r="T117" s="238" t="n"/>
      <c r="U117" s="238" t="n"/>
      <c r="V117" s="238" t="n"/>
      <c r="W117" s="238" t="n"/>
      <c r="X117" s="238" t="n"/>
      <c r="Y117" s="238" t="n"/>
      <c r="Z117" s="238" t="n"/>
      <c r="AA117" s="238" t="n"/>
      <c r="AB117" s="238" t="n"/>
      <c r="AC117" s="238" t="n"/>
      <c r="AD117" s="238" t="n"/>
      <c r="AE117" s="238" t="n"/>
      <c r="AF117" s="238" t="n"/>
      <c r="AG117" s="238" t="n"/>
      <c r="AH117" s="238" t="n"/>
      <c r="AI117" s="238" t="n"/>
      <c r="AJ117" s="238" t="n"/>
      <c r="AK117" s="238" t="n"/>
      <c r="AL117" s="238" t="n"/>
      <c r="AM117" s="238" t="n"/>
      <c r="AN117" s="238" t="n"/>
      <c r="AO117" s="238" t="n"/>
      <c r="AP117" s="238" t="n"/>
      <c r="AQ117" s="238" t="n"/>
      <c r="AR117" s="238" t="n"/>
      <c r="AS117" s="238" t="n"/>
      <c r="AT117" s="238" t="n"/>
      <c r="AU117" s="238" t="n"/>
      <c r="AV117" s="238" t="n"/>
      <c r="AW117" s="238" t="n"/>
      <c r="AX117" s="238" t="n"/>
      <c r="AY117" s="238" t="n"/>
      <c r="AZ117" s="238" t="n"/>
      <c r="BA117" s="238" t="n"/>
      <c r="BB117" s="238" t="n"/>
      <c r="BC117" s="238" t="n"/>
      <c r="BD117" s="238" t="n"/>
      <c r="BE117" s="238" t="n"/>
      <c r="BF117" s="238" t="n"/>
      <c r="BG117" s="238" t="n"/>
      <c r="BH117" s="238" t="n"/>
      <c r="BI117" s="238" t="n"/>
      <c r="BJ117" s="238" t="n"/>
      <c r="BK117" s="238" t="n"/>
      <c r="BL117" s="238" t="n"/>
      <c r="BM117" s="238" t="n"/>
      <c r="BN117" s="238" t="n"/>
      <c r="BO117" s="238" t="n"/>
      <c r="BP117" s="238" t="n"/>
      <c r="BQ117" s="238" t="n"/>
      <c r="BR117" s="238" t="n"/>
      <c r="BS117" s="238" t="n"/>
      <c r="BT117" s="238" t="n"/>
      <c r="BU117" s="238" t="n"/>
      <c r="BV117" s="238" t="n"/>
      <c r="BW117" s="238" t="n"/>
      <c r="BX117" s="238" t="n"/>
      <c r="BY117" s="238" t="n"/>
      <c r="BZ117" s="238" t="n"/>
      <c r="CA117" s="238" t="n"/>
      <c r="CB117" s="238" t="n"/>
      <c r="CC117" s="238" t="n"/>
      <c r="CD117" s="238" t="n"/>
      <c r="CE117" s="238" t="n"/>
      <c r="CF117" s="238" t="n"/>
      <c r="CG117" s="238" t="n"/>
      <c r="CH117" s="238" t="n"/>
      <c r="CI117" s="238" t="n"/>
      <c r="CJ117" s="238" t="n"/>
      <c r="CK117" s="238" t="n"/>
      <c r="CL117" s="238" t="n"/>
      <c r="CM117" s="238" t="n"/>
      <c r="CN117" s="238" t="n"/>
      <c r="CO117" s="238" t="n"/>
      <c r="CP117" s="238" t="n"/>
      <c r="CQ117" s="238" t="n"/>
      <c r="CR117" s="238" t="n"/>
      <c r="CS117" s="238" t="n"/>
      <c r="CT117" s="238" t="n"/>
      <c r="CU117" s="238" t="n"/>
      <c r="CV117" s="238" t="n"/>
      <c r="CW117" s="238" t="n"/>
      <c r="CX117" s="238" t="n"/>
      <c r="CY117" s="238" t="n"/>
      <c r="CZ117" s="238" t="n"/>
      <c r="DA117" s="238" t="n"/>
      <c r="DB117" s="238" t="n"/>
      <c r="DC117" s="238" t="n"/>
      <c r="DD117" s="238" t="n"/>
      <c r="DE117" s="238" t="n"/>
      <c r="DF117" s="238" t="n"/>
      <c r="DG117" s="238" t="n"/>
      <c r="DH117" s="238" t="n"/>
      <c r="DI117" s="238" t="n"/>
      <c r="DJ117" s="238" t="n"/>
      <c r="DK117" s="238" t="n"/>
      <c r="DL117" s="238" t="n"/>
      <c r="DM117" s="238" t="n"/>
      <c r="DN117" s="238" t="n"/>
      <c r="DO117" s="238" t="n"/>
      <c r="DP117" s="238" t="n"/>
      <c r="DQ117" s="238" t="n"/>
      <c r="DR117" s="238" t="n"/>
      <c r="DS117" s="238" t="n"/>
      <c r="DT117" s="238" t="n"/>
      <c r="DU117" s="238" t="n"/>
      <c r="DV117" s="238" t="n"/>
      <c r="DW117" s="238" t="n"/>
      <c r="DX117" s="238" t="n"/>
      <c r="DY117" s="238" t="n"/>
      <c r="DZ117" s="23" t="n"/>
      <c r="FQ117" s="212" t="n"/>
      <c r="FR117" s="212" t="n"/>
      <c r="FS117" s="212" t="n"/>
      <c r="FT117" s="212" t="n"/>
      <c r="FU117" s="212" t="n"/>
      <c r="FV117" s="212" t="n"/>
      <c r="FW117" s="212" t="n"/>
      <c r="FX117" s="212" t="n"/>
      <c r="FY117" s="212" t="n"/>
      <c r="FZ117" s="212" t="n"/>
    </row>
    <row r="118" hidden="1" ht="36" customFormat="1" customHeight="1" s="5">
      <c r="A118" s="13" t="n"/>
      <c r="C118" s="238" t="n"/>
      <c r="D118" s="238" t="n"/>
      <c r="E118" s="238" t="n"/>
      <c r="F118" s="238" t="n"/>
      <c r="G118" s="238" t="n"/>
      <c r="H118" s="238" t="n"/>
      <c r="I118" s="238" t="n"/>
      <c r="J118" s="238" t="n"/>
      <c r="K118" s="238" t="n"/>
      <c r="L118" s="238" t="n"/>
      <c r="M118" s="238" t="n"/>
      <c r="N118" s="238" t="n"/>
      <c r="O118" s="238" t="n"/>
      <c r="P118" s="238" t="n"/>
      <c r="Q118" s="238" t="n"/>
      <c r="R118" s="238" t="n"/>
      <c r="S118" s="238" t="n"/>
      <c r="T118" s="238" t="n"/>
      <c r="U118" s="238" t="n"/>
      <c r="V118" s="238" t="n"/>
      <c r="W118" s="238" t="n"/>
      <c r="X118" s="238" t="n"/>
      <c r="Y118" s="238" t="n"/>
      <c r="Z118" s="238" t="n"/>
      <c r="AA118" s="238" t="n"/>
      <c r="AB118" s="238" t="n"/>
      <c r="AC118" s="238" t="n"/>
      <c r="AD118" s="238" t="n"/>
      <c r="AE118" s="238" t="n"/>
      <c r="AF118" s="238" t="n"/>
      <c r="AG118" s="238" t="n"/>
      <c r="AH118" s="238" t="n"/>
      <c r="AI118" s="238" t="n"/>
      <c r="AJ118" s="238" t="n"/>
      <c r="AK118" s="238" t="n"/>
      <c r="AL118" s="238" t="n"/>
      <c r="AM118" s="238" t="n"/>
      <c r="AN118" s="238" t="n"/>
      <c r="AO118" s="238" t="n"/>
      <c r="AP118" s="238" t="n"/>
      <c r="AQ118" s="238" t="n"/>
      <c r="AR118" s="238" t="n"/>
      <c r="AS118" s="238" t="n"/>
      <c r="AT118" s="238" t="n"/>
      <c r="AU118" s="238" t="n"/>
      <c r="AV118" s="238" t="n"/>
      <c r="AW118" s="238" t="n"/>
      <c r="AX118" s="238" t="n"/>
      <c r="AY118" s="238" t="n"/>
      <c r="AZ118" s="238" t="n"/>
      <c r="BA118" s="238" t="n"/>
      <c r="BB118" s="238" t="n"/>
      <c r="BC118" s="238" t="n"/>
      <c r="BD118" s="238" t="n"/>
      <c r="BE118" s="238" t="n"/>
      <c r="BF118" s="238" t="n"/>
      <c r="BG118" s="238" t="n"/>
      <c r="BH118" s="238" t="n"/>
      <c r="BI118" s="238" t="n"/>
      <c r="BJ118" s="238" t="n"/>
      <c r="BK118" s="238" t="n"/>
      <c r="BL118" s="238" t="n"/>
      <c r="BM118" s="238" t="n"/>
      <c r="BN118" s="238" t="n"/>
      <c r="BO118" s="238" t="n"/>
      <c r="BP118" s="238" t="n"/>
      <c r="BQ118" s="238" t="n"/>
      <c r="BR118" s="238" t="n"/>
      <c r="BS118" s="238" t="n"/>
      <c r="BT118" s="238" t="n"/>
      <c r="BU118" s="238" t="n"/>
      <c r="BV118" s="238" t="n"/>
      <c r="BW118" s="238" t="n"/>
      <c r="BX118" s="238" t="n"/>
      <c r="BY118" s="238" t="n"/>
      <c r="BZ118" s="238" t="n"/>
      <c r="CA118" s="238" t="n"/>
      <c r="CB118" s="238" t="n"/>
      <c r="CC118" s="238" t="n"/>
      <c r="CD118" s="238" t="n"/>
      <c r="CE118" s="238" t="n"/>
      <c r="CF118" s="238" t="n"/>
      <c r="CG118" s="238" t="n"/>
      <c r="CH118" s="238" t="n"/>
      <c r="CI118" s="238" t="n"/>
      <c r="CJ118" s="238" t="n"/>
      <c r="CK118" s="238" t="n"/>
      <c r="CL118" s="238" t="n"/>
      <c r="CM118" s="238" t="n"/>
      <c r="CN118" s="238" t="n"/>
      <c r="CO118" s="238" t="n"/>
      <c r="CP118" s="238" t="n"/>
      <c r="CQ118" s="238" t="n"/>
      <c r="CR118" s="238" t="n"/>
      <c r="CS118" s="238" t="n"/>
      <c r="CT118" s="238" t="n"/>
      <c r="CU118" s="238" t="n"/>
      <c r="CV118" s="238" t="n"/>
      <c r="CW118" s="238" t="n"/>
      <c r="CX118" s="238" t="n"/>
      <c r="CY118" s="238" t="n"/>
      <c r="CZ118" s="238" t="n"/>
      <c r="DA118" s="238" t="n"/>
      <c r="DB118" s="238" t="n"/>
      <c r="DC118" s="238" t="n"/>
      <c r="DD118" s="238" t="n"/>
      <c r="DE118" s="238" t="n"/>
      <c r="DF118" s="238" t="n"/>
      <c r="DG118" s="238" t="n"/>
      <c r="DH118" s="238" t="n"/>
      <c r="DI118" s="238" t="n"/>
      <c r="DJ118" s="238" t="n"/>
      <c r="DK118" s="238" t="n"/>
      <c r="DL118" s="238" t="n"/>
      <c r="DM118" s="238" t="n"/>
      <c r="DN118" s="238" t="n"/>
      <c r="DO118" s="238" t="n"/>
      <c r="DP118" s="238" t="n"/>
      <c r="DQ118" s="238" t="n"/>
      <c r="DR118" s="238" t="n"/>
      <c r="DS118" s="238" t="n"/>
      <c r="DT118" s="238" t="n"/>
      <c r="DU118" s="238" t="n"/>
      <c r="DV118" s="238" t="n"/>
      <c r="DW118" s="238" t="n"/>
      <c r="DX118" s="238" t="n"/>
      <c r="DY118" s="238" t="n"/>
      <c r="DZ118" s="23" t="n"/>
      <c r="FQ118" s="212" t="n"/>
      <c r="FR118" s="212" t="n"/>
      <c r="FS118" s="212" t="n"/>
      <c r="FT118" s="212" t="n"/>
      <c r="FU118" s="212" t="n"/>
      <c r="FV118" s="212" t="n"/>
      <c r="FW118" s="212" t="n"/>
      <c r="FX118" s="212" t="n"/>
      <c r="FY118" s="212" t="n"/>
      <c r="FZ118" s="212" t="n"/>
    </row>
    <row r="119" hidden="1" ht="36" customFormat="1" customHeight="1" s="5">
      <c r="A119" s="13" t="n"/>
      <c r="C119" s="238" t="n"/>
      <c r="D119" s="238" t="n"/>
      <c r="E119" s="238" t="n"/>
      <c r="F119" s="238" t="n"/>
      <c r="G119" s="238" t="n"/>
      <c r="H119" s="238" t="n"/>
      <c r="I119" s="238" t="n"/>
      <c r="J119" s="238" t="n"/>
      <c r="K119" s="238" t="n"/>
      <c r="L119" s="238" t="n"/>
      <c r="M119" s="238" t="n"/>
      <c r="N119" s="238" t="n"/>
      <c r="O119" s="238" t="n"/>
      <c r="P119" s="238" t="n"/>
      <c r="Q119" s="238" t="n"/>
      <c r="R119" s="238" t="n"/>
      <c r="S119" s="238" t="n"/>
      <c r="T119" s="238" t="n"/>
      <c r="U119" s="238" t="n"/>
      <c r="V119" s="238" t="n"/>
      <c r="W119" s="238" t="n"/>
      <c r="X119" s="238" t="n"/>
      <c r="Y119" s="238" t="n"/>
      <c r="Z119" s="238" t="n"/>
      <c r="AA119" s="238" t="n"/>
      <c r="AB119" s="238" t="n"/>
      <c r="AC119" s="238" t="n"/>
      <c r="AD119" s="238" t="n"/>
      <c r="AE119" s="238" t="n"/>
      <c r="AF119" s="238" t="n"/>
      <c r="AG119" s="238" t="n"/>
      <c r="AH119" s="238" t="n"/>
      <c r="AI119" s="238" t="n"/>
      <c r="AJ119" s="238" t="n"/>
      <c r="AK119" s="238" t="n"/>
      <c r="AL119" s="238" t="n"/>
      <c r="AM119" s="238" t="n"/>
      <c r="AN119" s="238" t="n"/>
      <c r="AO119" s="238" t="n"/>
      <c r="AP119" s="238" t="n"/>
      <c r="AQ119" s="238" t="n"/>
      <c r="AR119" s="238" t="n"/>
      <c r="AS119" s="238" t="n"/>
      <c r="AT119" s="238" t="n"/>
      <c r="AU119" s="238" t="n"/>
      <c r="AV119" s="238" t="n"/>
      <c r="AW119" s="238" t="n"/>
      <c r="AX119" s="238" t="n"/>
      <c r="AY119" s="238" t="n"/>
      <c r="AZ119" s="238" t="n"/>
      <c r="BA119" s="238" t="n"/>
      <c r="BB119" s="238" t="n"/>
      <c r="BC119" s="238" t="n"/>
      <c r="BD119" s="238" t="n"/>
      <c r="BE119" s="238" t="n"/>
      <c r="BF119" s="238" t="n"/>
      <c r="BG119" s="238" t="n"/>
      <c r="BH119" s="238" t="n"/>
      <c r="BI119" s="238" t="n"/>
      <c r="BJ119" s="238" t="n"/>
      <c r="BK119" s="238" t="n"/>
      <c r="BL119" s="238" t="n"/>
      <c r="BM119" s="238" t="n"/>
      <c r="BN119" s="238" t="n"/>
      <c r="BO119" s="238" t="n"/>
      <c r="BP119" s="238" t="n"/>
      <c r="BQ119" s="238" t="n"/>
      <c r="BR119" s="238" t="n"/>
      <c r="BS119" s="238" t="n"/>
      <c r="BT119" s="238" t="n"/>
      <c r="BU119" s="238" t="n"/>
      <c r="BV119" s="238" t="n"/>
      <c r="BW119" s="238" t="n"/>
      <c r="BX119" s="238" t="n"/>
      <c r="BY119" s="238" t="n"/>
      <c r="BZ119" s="238" t="n"/>
      <c r="CA119" s="238" t="n"/>
      <c r="CB119" s="238" t="n"/>
      <c r="CC119" s="238" t="n"/>
      <c r="CD119" s="238" t="n"/>
      <c r="CE119" s="238" t="n"/>
      <c r="CF119" s="238" t="n"/>
      <c r="CG119" s="238" t="n"/>
      <c r="CH119" s="238" t="n"/>
      <c r="CI119" s="238" t="n"/>
      <c r="CJ119" s="238" t="n"/>
      <c r="CK119" s="238" t="n"/>
      <c r="CL119" s="238" t="n"/>
      <c r="CM119" s="238" t="n"/>
      <c r="CN119" s="238" t="n"/>
      <c r="CO119" s="238" t="n"/>
      <c r="CP119" s="238" t="n"/>
      <c r="CQ119" s="238" t="n"/>
      <c r="CR119" s="238" t="n"/>
      <c r="CS119" s="238" t="n"/>
      <c r="CT119" s="238" t="n"/>
      <c r="CU119" s="238" t="n"/>
      <c r="CV119" s="238" t="n"/>
      <c r="CW119" s="238" t="n"/>
      <c r="CX119" s="238" t="n"/>
      <c r="CY119" s="238" t="n"/>
      <c r="CZ119" s="238" t="n"/>
      <c r="DA119" s="238" t="n"/>
      <c r="DB119" s="238" t="n"/>
      <c r="DC119" s="238" t="n"/>
      <c r="DD119" s="238" t="n"/>
      <c r="DE119" s="238" t="n"/>
      <c r="DF119" s="238" t="n"/>
      <c r="DG119" s="238" t="n"/>
      <c r="DH119" s="238" t="n"/>
      <c r="DI119" s="238" t="n"/>
      <c r="DJ119" s="238" t="n"/>
      <c r="DK119" s="238" t="n"/>
      <c r="DL119" s="238" t="n"/>
      <c r="DM119" s="238" t="n"/>
      <c r="DN119" s="238" t="n"/>
      <c r="DO119" s="238" t="n"/>
      <c r="DP119" s="238" t="n"/>
      <c r="DQ119" s="238" t="n"/>
      <c r="DR119" s="238" t="n"/>
      <c r="DS119" s="238" t="n"/>
      <c r="DT119" s="238" t="n"/>
      <c r="DU119" s="238" t="n"/>
      <c r="DV119" s="238" t="n"/>
      <c r="DW119" s="238" t="n"/>
      <c r="DX119" s="238" t="n"/>
      <c r="DY119" s="238" t="n"/>
      <c r="DZ119" s="23" t="n"/>
      <c r="FQ119" s="212" t="n"/>
      <c r="FR119" s="212" t="n"/>
      <c r="FS119" s="212" t="n"/>
      <c r="FT119" s="212" t="n"/>
      <c r="FU119" s="212" t="n"/>
      <c r="FV119" s="212" t="n"/>
      <c r="FW119" s="212" t="n"/>
      <c r="FX119" s="212" t="n"/>
      <c r="FY119" s="212" t="n"/>
      <c r="FZ119" s="212" t="n"/>
    </row>
    <row r="120" hidden="1" ht="36" customFormat="1" customHeight="1" s="5">
      <c r="A120" s="13" t="n"/>
      <c r="C120" s="238" t="n"/>
      <c r="D120" s="238" t="n"/>
      <c r="E120" s="238" t="n"/>
      <c r="F120" s="238" t="n"/>
      <c r="G120" s="238" t="n"/>
      <c r="H120" s="238" t="n"/>
      <c r="I120" s="238" t="n"/>
      <c r="J120" s="238" t="n"/>
      <c r="K120" s="238" t="n"/>
      <c r="L120" s="238" t="n"/>
      <c r="M120" s="238" t="n"/>
      <c r="N120" s="238" t="n"/>
      <c r="O120" s="238" t="n"/>
      <c r="P120" s="238" t="n"/>
      <c r="Q120" s="238" t="n"/>
      <c r="R120" s="238" t="n"/>
      <c r="S120" s="238" t="n"/>
      <c r="T120" s="238" t="n"/>
      <c r="U120" s="238" t="n"/>
      <c r="V120" s="238" t="n"/>
      <c r="W120" s="238" t="n"/>
      <c r="X120" s="238" t="n"/>
      <c r="Y120" s="238" t="n"/>
      <c r="Z120" s="238" t="n"/>
      <c r="AA120" s="238" t="n"/>
      <c r="AB120" s="238" t="n"/>
      <c r="AC120" s="238" t="n"/>
      <c r="AD120" s="238" t="n"/>
      <c r="AE120" s="238" t="n"/>
      <c r="AF120" s="238" t="n"/>
      <c r="AG120" s="238" t="n"/>
      <c r="AH120" s="238" t="n"/>
      <c r="AI120" s="238" t="n"/>
      <c r="AJ120" s="238" t="n"/>
      <c r="AK120" s="238" t="n"/>
      <c r="AL120" s="238" t="n"/>
      <c r="AM120" s="238" t="n"/>
      <c r="AN120" s="238" t="n"/>
      <c r="AO120" s="238" t="n"/>
      <c r="AP120" s="238" t="n"/>
      <c r="AQ120" s="238" t="n"/>
      <c r="AR120" s="238" t="n"/>
      <c r="AS120" s="238" t="n"/>
      <c r="AT120" s="238" t="n"/>
      <c r="AU120" s="238" t="n"/>
      <c r="AV120" s="238" t="n"/>
      <c r="AW120" s="238" t="n"/>
      <c r="AX120" s="238" t="n"/>
      <c r="AY120" s="238" t="n"/>
      <c r="AZ120" s="238" t="n"/>
      <c r="BA120" s="238" t="n"/>
      <c r="BB120" s="238" t="n"/>
      <c r="BC120" s="238" t="n"/>
      <c r="BD120" s="238" t="n"/>
      <c r="BE120" s="238" t="n"/>
      <c r="BF120" s="238" t="n"/>
      <c r="BG120" s="238" t="n"/>
      <c r="BH120" s="238" t="n"/>
      <c r="BI120" s="238" t="n"/>
      <c r="BJ120" s="238" t="n"/>
      <c r="BK120" s="238" t="n"/>
      <c r="BL120" s="238" t="n"/>
      <c r="BM120" s="238" t="n"/>
      <c r="BN120" s="238" t="n"/>
      <c r="BO120" s="238" t="n"/>
      <c r="BP120" s="238" t="n"/>
      <c r="BQ120" s="238" t="n"/>
      <c r="BR120" s="238" t="n"/>
      <c r="BS120" s="238" t="n"/>
      <c r="BT120" s="238" t="n"/>
      <c r="BU120" s="238" t="n"/>
      <c r="BV120" s="238" t="n"/>
      <c r="BW120" s="238" t="n"/>
      <c r="BX120" s="238" t="n"/>
      <c r="BY120" s="238" t="n"/>
      <c r="BZ120" s="238" t="n"/>
      <c r="CA120" s="238" t="n"/>
      <c r="CB120" s="238" t="n"/>
      <c r="CC120" s="238" t="n"/>
      <c r="CD120" s="238" t="n"/>
      <c r="CE120" s="238" t="n"/>
      <c r="CF120" s="238" t="n"/>
      <c r="CG120" s="238" t="n"/>
      <c r="CH120" s="238" t="n"/>
      <c r="CI120" s="238" t="n"/>
      <c r="CJ120" s="238" t="n"/>
      <c r="CK120" s="238" t="n"/>
      <c r="CL120" s="238" t="n"/>
      <c r="CM120" s="238" t="n"/>
      <c r="CN120" s="238" t="n"/>
      <c r="CO120" s="238" t="n"/>
      <c r="CP120" s="238" t="n"/>
      <c r="CQ120" s="238" t="n"/>
      <c r="CR120" s="238" t="n"/>
      <c r="CS120" s="238" t="n"/>
      <c r="CT120" s="238" t="n"/>
      <c r="CU120" s="238" t="n"/>
      <c r="CV120" s="238" t="n"/>
      <c r="CW120" s="238" t="n"/>
      <c r="CX120" s="238" t="n"/>
      <c r="CY120" s="238" t="n"/>
      <c r="CZ120" s="238" t="n"/>
      <c r="DA120" s="238" t="n"/>
      <c r="DB120" s="238" t="n"/>
      <c r="DC120" s="238" t="n"/>
      <c r="DD120" s="238" t="n"/>
      <c r="DE120" s="238" t="n"/>
      <c r="DF120" s="238" t="n"/>
      <c r="DG120" s="238" t="n"/>
      <c r="DH120" s="238" t="n"/>
      <c r="DI120" s="238" t="n"/>
      <c r="DJ120" s="238" t="n"/>
      <c r="DK120" s="238" t="n"/>
      <c r="DL120" s="238" t="n"/>
      <c r="DM120" s="238" t="n"/>
      <c r="DN120" s="238" t="n"/>
      <c r="DO120" s="238" t="n"/>
      <c r="DP120" s="238" t="n"/>
      <c r="DQ120" s="238" t="n"/>
      <c r="DR120" s="238" t="n"/>
      <c r="DS120" s="238" t="n"/>
      <c r="DT120" s="238" t="n"/>
      <c r="DU120" s="238" t="n"/>
      <c r="DV120" s="238" t="n"/>
      <c r="DW120" s="238" t="n"/>
      <c r="DX120" s="238" t="n"/>
      <c r="DY120" s="238" t="n"/>
      <c r="DZ120" s="23" t="n"/>
      <c r="FQ120" s="212" t="n"/>
      <c r="FR120" s="212" t="n"/>
      <c r="FS120" s="212" t="n"/>
      <c r="FT120" s="212" t="n"/>
      <c r="FU120" s="212" t="n"/>
      <c r="FV120" s="212" t="n"/>
      <c r="FW120" s="212" t="n"/>
      <c r="FX120" s="212" t="n"/>
      <c r="FY120" s="212" t="n"/>
      <c r="FZ120" s="212" t="n"/>
    </row>
    <row r="121" hidden="1" ht="36" customFormat="1" customHeight="1" s="5">
      <c r="A121" s="13" t="n"/>
      <c r="C121" s="238" t="n"/>
      <c r="D121" s="238" t="n"/>
      <c r="E121" s="238" t="n"/>
      <c r="F121" s="238" t="n"/>
      <c r="G121" s="238" t="n"/>
      <c r="H121" s="238" t="n"/>
      <c r="I121" s="238" t="n"/>
      <c r="J121" s="238" t="n"/>
      <c r="K121" s="238" t="n"/>
      <c r="L121" s="238" t="n"/>
      <c r="M121" s="238" t="n"/>
      <c r="N121" s="238" t="n"/>
      <c r="O121" s="238" t="n"/>
      <c r="P121" s="238" t="n"/>
      <c r="Q121" s="238" t="n"/>
      <c r="R121" s="238" t="n"/>
      <c r="S121" s="238" t="n"/>
      <c r="T121" s="238" t="n"/>
      <c r="U121" s="238" t="n"/>
      <c r="V121" s="238" t="n"/>
      <c r="W121" s="238" t="n"/>
      <c r="X121" s="238" t="n"/>
      <c r="Y121" s="238" t="n"/>
      <c r="Z121" s="238" t="n"/>
      <c r="AA121" s="238" t="n"/>
      <c r="AB121" s="238" t="n"/>
      <c r="AC121" s="238" t="n"/>
      <c r="AD121" s="238" t="n"/>
      <c r="AE121" s="238" t="n"/>
      <c r="AF121" s="238" t="n"/>
      <c r="AG121" s="238" t="n"/>
      <c r="AH121" s="238" t="n"/>
      <c r="AI121" s="238" t="n"/>
      <c r="AJ121" s="238" t="n"/>
      <c r="AK121" s="238" t="n"/>
      <c r="AL121" s="238" t="n"/>
      <c r="AM121" s="238" t="n"/>
      <c r="AN121" s="238" t="n"/>
      <c r="AO121" s="238" t="n"/>
      <c r="AP121" s="238" t="n"/>
      <c r="AQ121" s="238" t="n"/>
      <c r="AR121" s="238" t="n"/>
      <c r="AS121" s="238" t="n"/>
      <c r="AT121" s="238" t="n"/>
      <c r="AU121" s="238" t="n"/>
      <c r="AV121" s="238" t="n"/>
      <c r="AW121" s="238" t="n"/>
      <c r="AX121" s="238" t="n"/>
      <c r="AY121" s="238" t="n"/>
      <c r="AZ121" s="238" t="n"/>
      <c r="BA121" s="238" t="n"/>
      <c r="BB121" s="238" t="n"/>
      <c r="BC121" s="238" t="n"/>
      <c r="BD121" s="238" t="n"/>
      <c r="BE121" s="238" t="n"/>
      <c r="BF121" s="238" t="n"/>
      <c r="BG121" s="238" t="n"/>
      <c r="BH121" s="238" t="n"/>
      <c r="BI121" s="238" t="n"/>
      <c r="BJ121" s="238" t="n"/>
      <c r="BK121" s="238" t="n"/>
      <c r="BL121" s="238" t="n"/>
      <c r="BM121" s="238" t="n"/>
      <c r="BN121" s="238" t="n"/>
      <c r="BO121" s="238" t="n"/>
      <c r="BP121" s="238" t="n"/>
      <c r="BQ121" s="238" t="n"/>
      <c r="BR121" s="238" t="n"/>
      <c r="BS121" s="238" t="n"/>
      <c r="BT121" s="238" t="n"/>
      <c r="BU121" s="238" t="n"/>
      <c r="BV121" s="238" t="n"/>
      <c r="BW121" s="238" t="n"/>
      <c r="BX121" s="238" t="n"/>
      <c r="BY121" s="238" t="n"/>
      <c r="BZ121" s="238" t="n"/>
      <c r="CA121" s="238" t="n"/>
      <c r="CB121" s="238" t="n"/>
      <c r="CC121" s="238" t="n"/>
      <c r="CD121" s="238" t="n"/>
      <c r="CE121" s="238" t="n"/>
      <c r="CF121" s="238" t="n"/>
      <c r="CG121" s="238" t="n"/>
      <c r="CH121" s="238" t="n"/>
      <c r="CI121" s="238" t="n"/>
      <c r="CJ121" s="238" t="n"/>
      <c r="CK121" s="238" t="n"/>
      <c r="CL121" s="238" t="n"/>
      <c r="CM121" s="238" t="n"/>
      <c r="CN121" s="238" t="n"/>
      <c r="CO121" s="238" t="n"/>
      <c r="CP121" s="238" t="n"/>
      <c r="CQ121" s="238" t="n"/>
      <c r="CR121" s="238" t="n"/>
      <c r="CS121" s="238" t="n"/>
      <c r="CT121" s="238" t="n"/>
      <c r="CU121" s="238" t="n"/>
      <c r="CV121" s="238" t="n"/>
      <c r="CW121" s="238" t="n"/>
      <c r="CX121" s="238" t="n"/>
      <c r="CY121" s="238" t="n"/>
      <c r="CZ121" s="238" t="n"/>
      <c r="DA121" s="238" t="n"/>
      <c r="DB121" s="238" t="n"/>
      <c r="DC121" s="238" t="n"/>
      <c r="DD121" s="238" t="n"/>
      <c r="DE121" s="238" t="n"/>
      <c r="DF121" s="238" t="n"/>
      <c r="DG121" s="238" t="n"/>
      <c r="DH121" s="238" t="n"/>
      <c r="DI121" s="238" t="n"/>
      <c r="DJ121" s="238" t="n"/>
      <c r="DK121" s="238" t="n"/>
      <c r="DL121" s="238" t="n"/>
      <c r="DM121" s="238" t="n"/>
      <c r="DN121" s="238" t="n"/>
      <c r="DO121" s="238" t="n"/>
      <c r="DP121" s="238" t="n"/>
      <c r="DQ121" s="238" t="n"/>
      <c r="DR121" s="238" t="n"/>
      <c r="DS121" s="238" t="n"/>
      <c r="DT121" s="238" t="n"/>
      <c r="DU121" s="238" t="n"/>
      <c r="DV121" s="238" t="n"/>
      <c r="DW121" s="238" t="n"/>
      <c r="DX121" s="238" t="n"/>
      <c r="DY121" s="238" t="n"/>
      <c r="DZ121" s="23" t="n"/>
      <c r="FQ121" s="212" t="n"/>
      <c r="FR121" s="212" t="n"/>
      <c r="FS121" s="212" t="n"/>
      <c r="FT121" s="212" t="n"/>
      <c r="FU121" s="212" t="n"/>
      <c r="FV121" s="212" t="n"/>
      <c r="FW121" s="212" t="n"/>
      <c r="FX121" s="212" t="n"/>
      <c r="FY121" s="212" t="n"/>
      <c r="FZ121" s="212" t="n"/>
    </row>
    <row r="122" hidden="1" ht="36" customFormat="1" customHeight="1" s="5">
      <c r="A122" s="13" t="n"/>
      <c r="C122" s="238" t="n"/>
      <c r="D122" s="238" t="n"/>
      <c r="E122" s="238" t="n"/>
      <c r="F122" s="238" t="n"/>
      <c r="G122" s="238" t="n"/>
      <c r="H122" s="238" t="n"/>
      <c r="I122" s="238" t="n"/>
      <c r="J122" s="238" t="n"/>
      <c r="K122" s="238" t="n"/>
      <c r="L122" s="238" t="n"/>
      <c r="M122" s="238" t="n"/>
      <c r="N122" s="238" t="n"/>
      <c r="O122" s="238" t="n"/>
      <c r="P122" s="238" t="n"/>
      <c r="Q122" s="238" t="n"/>
      <c r="R122" s="238" t="n"/>
      <c r="S122" s="238" t="n"/>
      <c r="T122" s="238" t="n"/>
      <c r="U122" s="238" t="n"/>
      <c r="V122" s="238" t="n"/>
      <c r="W122" s="238" t="n"/>
      <c r="X122" s="238" t="n"/>
      <c r="Y122" s="238" t="n"/>
      <c r="Z122" s="238" t="n"/>
      <c r="AA122" s="238" t="n"/>
      <c r="AB122" s="238" t="n"/>
      <c r="AC122" s="238" t="n"/>
      <c r="AD122" s="238" t="n"/>
      <c r="AE122" s="238" t="n"/>
      <c r="AF122" s="238" t="n"/>
      <c r="AG122" s="238" t="n"/>
      <c r="AH122" s="238" t="n"/>
      <c r="AI122" s="238" t="n"/>
      <c r="AJ122" s="238" t="n"/>
      <c r="AK122" s="238" t="n"/>
      <c r="AL122" s="238" t="n"/>
      <c r="AM122" s="238" t="n"/>
      <c r="AN122" s="238" t="n"/>
      <c r="AO122" s="238" t="n"/>
      <c r="AP122" s="238" t="n"/>
      <c r="AQ122" s="238" t="n"/>
      <c r="AR122" s="238" t="n"/>
      <c r="AS122" s="238" t="n"/>
      <c r="AT122" s="238" t="n"/>
      <c r="AU122" s="238" t="n"/>
      <c r="AV122" s="238" t="n"/>
      <c r="AW122" s="238" t="n"/>
      <c r="AX122" s="238" t="n"/>
      <c r="AY122" s="238" t="n"/>
      <c r="AZ122" s="238" t="n"/>
      <c r="BA122" s="238" t="n"/>
      <c r="BB122" s="238" t="n"/>
      <c r="BC122" s="238" t="n"/>
      <c r="BD122" s="238" t="n"/>
      <c r="BE122" s="238" t="n"/>
      <c r="BF122" s="238" t="n"/>
      <c r="BG122" s="238" t="n"/>
      <c r="BH122" s="238" t="n"/>
      <c r="BI122" s="238" t="n"/>
      <c r="BJ122" s="238" t="n"/>
      <c r="BK122" s="238" t="n"/>
      <c r="BL122" s="238" t="n"/>
      <c r="BM122" s="238" t="n"/>
      <c r="BN122" s="238" t="n"/>
      <c r="BO122" s="238" t="n"/>
      <c r="BP122" s="238" t="n"/>
      <c r="BQ122" s="238" t="n"/>
      <c r="BR122" s="238" t="n"/>
      <c r="BS122" s="238" t="n"/>
      <c r="BT122" s="238" t="n"/>
      <c r="BU122" s="238" t="n"/>
      <c r="BV122" s="238" t="n"/>
      <c r="BW122" s="238" t="n"/>
      <c r="BX122" s="238" t="n"/>
      <c r="BY122" s="238" t="n"/>
      <c r="BZ122" s="238" t="n"/>
      <c r="CA122" s="238" t="n"/>
      <c r="CB122" s="238" t="n"/>
      <c r="CC122" s="238" t="n"/>
      <c r="CD122" s="238" t="n"/>
      <c r="CE122" s="238" t="n"/>
      <c r="CF122" s="238" t="n"/>
      <c r="CG122" s="238" t="n"/>
      <c r="CH122" s="238" t="n"/>
      <c r="CI122" s="238" t="n"/>
      <c r="CJ122" s="238" t="n"/>
      <c r="CK122" s="238" t="n"/>
      <c r="CL122" s="238" t="n"/>
      <c r="CM122" s="238" t="n"/>
      <c r="CN122" s="238" t="n"/>
      <c r="CO122" s="238" t="n"/>
      <c r="CP122" s="238" t="n"/>
      <c r="CQ122" s="238" t="n"/>
      <c r="CR122" s="238" t="n"/>
      <c r="CS122" s="238" t="n"/>
      <c r="CT122" s="238" t="n"/>
      <c r="CU122" s="238" t="n"/>
      <c r="CV122" s="238" t="n"/>
      <c r="CW122" s="238" t="n"/>
      <c r="CX122" s="238" t="n"/>
      <c r="CY122" s="238" t="n"/>
      <c r="CZ122" s="238" t="n"/>
      <c r="DA122" s="238" t="n"/>
      <c r="DB122" s="238" t="n"/>
      <c r="DC122" s="238" t="n"/>
      <c r="DD122" s="238" t="n"/>
      <c r="DE122" s="238" t="n"/>
      <c r="DF122" s="238" t="n"/>
      <c r="DG122" s="238" t="n"/>
      <c r="DH122" s="238" t="n"/>
      <c r="DI122" s="238" t="n"/>
      <c r="DJ122" s="238" t="n"/>
      <c r="DK122" s="238" t="n"/>
      <c r="DL122" s="238" t="n"/>
      <c r="DM122" s="238" t="n"/>
      <c r="DN122" s="238" t="n"/>
      <c r="DO122" s="238" t="n"/>
      <c r="DP122" s="238" t="n"/>
      <c r="DQ122" s="238" t="n"/>
      <c r="DR122" s="238" t="n"/>
      <c r="DS122" s="238" t="n"/>
      <c r="DT122" s="238" t="n"/>
      <c r="DU122" s="238" t="n"/>
      <c r="DV122" s="238" t="n"/>
      <c r="DW122" s="238" t="n"/>
      <c r="DX122" s="238" t="n"/>
      <c r="DY122" s="238" t="n"/>
      <c r="DZ122" s="23" t="n"/>
      <c r="FQ122" s="212" t="n"/>
      <c r="FR122" s="212" t="n"/>
      <c r="FS122" s="212" t="n"/>
      <c r="FT122" s="212" t="n"/>
      <c r="FU122" s="212" t="n"/>
      <c r="FV122" s="212" t="n"/>
      <c r="FW122" s="212" t="n"/>
      <c r="FX122" s="212" t="n"/>
      <c r="FY122" s="212" t="n"/>
      <c r="FZ122" s="212" t="n"/>
    </row>
    <row r="123" hidden="1" ht="36" customFormat="1" customHeight="1" s="5">
      <c r="A123" s="13" t="n"/>
      <c r="C123" s="238" t="n"/>
      <c r="D123" s="238" t="n"/>
      <c r="E123" s="238" t="n"/>
      <c r="F123" s="238" t="n"/>
      <c r="G123" s="238" t="n"/>
      <c r="H123" s="238" t="n"/>
      <c r="I123" s="238" t="n"/>
      <c r="J123" s="238" t="n"/>
      <c r="K123" s="238" t="n"/>
      <c r="L123" s="238" t="n"/>
      <c r="M123" s="238" t="n"/>
      <c r="N123" s="238" t="n"/>
      <c r="O123" s="238" t="n"/>
      <c r="P123" s="238" t="n"/>
      <c r="Q123" s="238" t="n"/>
      <c r="R123" s="238" t="n"/>
      <c r="S123" s="238" t="n"/>
      <c r="T123" s="238" t="n"/>
      <c r="U123" s="238" t="n"/>
      <c r="V123" s="238" t="n"/>
      <c r="W123" s="238" t="n"/>
      <c r="X123" s="238" t="n"/>
      <c r="Y123" s="238" t="n"/>
      <c r="Z123" s="238" t="n"/>
      <c r="AA123" s="238" t="n"/>
      <c r="AB123" s="238" t="n"/>
      <c r="AC123" s="238" t="n"/>
      <c r="AD123" s="238" t="n"/>
      <c r="AE123" s="238" t="n"/>
      <c r="AF123" s="238" t="n"/>
      <c r="AG123" s="238" t="n"/>
      <c r="AH123" s="238" t="n"/>
      <c r="AI123" s="238" t="n"/>
      <c r="AJ123" s="238" t="n"/>
      <c r="AK123" s="238" t="n"/>
      <c r="AL123" s="238" t="n"/>
      <c r="AM123" s="238" t="n"/>
      <c r="AN123" s="238" t="n"/>
      <c r="AO123" s="238" t="n"/>
      <c r="AP123" s="238" t="n"/>
      <c r="AQ123" s="238" t="n"/>
      <c r="AR123" s="238" t="n"/>
      <c r="AS123" s="238" t="n"/>
      <c r="AT123" s="238" t="n"/>
      <c r="AU123" s="238" t="n"/>
      <c r="AV123" s="238" t="n"/>
      <c r="AW123" s="238" t="n"/>
      <c r="AX123" s="238" t="n"/>
      <c r="AY123" s="238" t="n"/>
      <c r="AZ123" s="238" t="n"/>
      <c r="BA123" s="238" t="n"/>
      <c r="BB123" s="238" t="n"/>
      <c r="BC123" s="238" t="n"/>
      <c r="BD123" s="238" t="n"/>
      <c r="BE123" s="238" t="n"/>
      <c r="BF123" s="238" t="n"/>
      <c r="BG123" s="238" t="n"/>
      <c r="BH123" s="238" t="n"/>
      <c r="BI123" s="238" t="n"/>
      <c r="BJ123" s="238" t="n"/>
      <c r="BK123" s="238" t="n"/>
      <c r="BL123" s="238" t="n"/>
      <c r="BM123" s="238" t="n"/>
      <c r="BN123" s="238" t="n"/>
      <c r="BO123" s="238" t="n"/>
      <c r="BP123" s="238" t="n"/>
      <c r="BQ123" s="238" t="n"/>
      <c r="BR123" s="238" t="n"/>
      <c r="BS123" s="238" t="n"/>
      <c r="BT123" s="238" t="n"/>
      <c r="BU123" s="238" t="n"/>
      <c r="BV123" s="238" t="n"/>
      <c r="BW123" s="238" t="n"/>
      <c r="BX123" s="238" t="n"/>
      <c r="BY123" s="238" t="n"/>
      <c r="BZ123" s="238" t="n"/>
      <c r="CA123" s="238" t="n"/>
      <c r="CB123" s="238" t="n"/>
      <c r="CC123" s="238" t="n"/>
      <c r="CD123" s="238" t="n"/>
      <c r="CE123" s="238" t="n"/>
      <c r="CF123" s="238" t="n"/>
      <c r="CG123" s="238" t="n"/>
      <c r="CH123" s="238" t="n"/>
      <c r="CI123" s="238" t="n"/>
      <c r="CJ123" s="238" t="n"/>
      <c r="CK123" s="238" t="n"/>
      <c r="CL123" s="238" t="n"/>
      <c r="CM123" s="238" t="n"/>
      <c r="CN123" s="238" t="n"/>
      <c r="CO123" s="238" t="n"/>
      <c r="CP123" s="238" t="n"/>
      <c r="CQ123" s="238" t="n"/>
      <c r="CR123" s="238" t="n"/>
      <c r="CS123" s="238" t="n"/>
      <c r="CT123" s="238" t="n"/>
      <c r="CU123" s="238" t="n"/>
      <c r="CV123" s="238" t="n"/>
      <c r="CW123" s="238" t="n"/>
      <c r="CX123" s="238" t="n"/>
      <c r="CY123" s="238" t="n"/>
      <c r="CZ123" s="238" t="n"/>
      <c r="DA123" s="238" t="n"/>
      <c r="DB123" s="238" t="n"/>
      <c r="DC123" s="238" t="n"/>
      <c r="DD123" s="238" t="n"/>
      <c r="DE123" s="238" t="n"/>
      <c r="DF123" s="238" t="n"/>
      <c r="DG123" s="238" t="n"/>
      <c r="DH123" s="238" t="n"/>
      <c r="DI123" s="238" t="n"/>
      <c r="DJ123" s="238" t="n"/>
      <c r="DK123" s="238" t="n"/>
      <c r="DL123" s="238" t="n"/>
      <c r="DM123" s="238" t="n"/>
      <c r="DN123" s="238" t="n"/>
      <c r="DO123" s="238" t="n"/>
      <c r="DP123" s="238" t="n"/>
      <c r="DQ123" s="238" t="n"/>
      <c r="DR123" s="238" t="n"/>
      <c r="DS123" s="238" t="n"/>
      <c r="DT123" s="238" t="n"/>
      <c r="DU123" s="238" t="n"/>
      <c r="DV123" s="238" t="n"/>
      <c r="DW123" s="238" t="n"/>
      <c r="DX123" s="238" t="n"/>
      <c r="DY123" s="238" t="n"/>
      <c r="DZ123" s="23" t="n"/>
      <c r="FQ123" s="212" t="n"/>
      <c r="FR123" s="212" t="n"/>
      <c r="FS123" s="212" t="n"/>
      <c r="FT123" s="212" t="n"/>
      <c r="FU123" s="212" t="n"/>
      <c r="FV123" s="212" t="n"/>
      <c r="FW123" s="212" t="n"/>
      <c r="FX123" s="212" t="n"/>
      <c r="FY123" s="212" t="n"/>
      <c r="FZ123" s="212" t="n"/>
    </row>
    <row r="124" hidden="1" ht="36" customFormat="1" customHeight="1" s="5">
      <c r="A124" s="13" t="n"/>
      <c r="C124" s="238" t="n"/>
      <c r="D124" s="238" t="n"/>
      <c r="E124" s="238" t="n"/>
      <c r="F124" s="238" t="n"/>
      <c r="G124" s="238" t="n"/>
      <c r="H124" s="238" t="n"/>
      <c r="I124" s="238" t="n"/>
      <c r="J124" s="238" t="n"/>
      <c r="K124" s="238" t="n"/>
      <c r="L124" s="238" t="n"/>
      <c r="M124" s="238" t="n"/>
      <c r="N124" s="238" t="n"/>
      <c r="O124" s="238" t="n"/>
      <c r="P124" s="238" t="n"/>
      <c r="Q124" s="238" t="n"/>
      <c r="R124" s="238" t="n"/>
      <c r="S124" s="238" t="n"/>
      <c r="T124" s="238" t="n"/>
      <c r="U124" s="238" t="n"/>
      <c r="V124" s="238" t="n"/>
      <c r="W124" s="238" t="n"/>
      <c r="X124" s="238" t="n"/>
      <c r="Y124" s="238" t="n"/>
      <c r="Z124" s="238" t="n"/>
      <c r="AA124" s="238" t="n"/>
      <c r="AB124" s="238" t="n"/>
      <c r="AC124" s="238" t="n"/>
      <c r="AD124" s="238" t="n"/>
      <c r="AE124" s="238" t="n"/>
      <c r="AF124" s="238" t="n"/>
      <c r="AG124" s="238" t="n"/>
      <c r="AH124" s="238" t="n"/>
      <c r="AI124" s="238" t="n"/>
      <c r="AJ124" s="238" t="n"/>
      <c r="AK124" s="238" t="n"/>
      <c r="AL124" s="238" t="n"/>
      <c r="AM124" s="238" t="n"/>
      <c r="AN124" s="238" t="n"/>
      <c r="AO124" s="238" t="n"/>
      <c r="AP124" s="238" t="n"/>
      <c r="AQ124" s="238" t="n"/>
      <c r="AR124" s="238" t="n"/>
      <c r="AS124" s="238" t="n"/>
      <c r="AT124" s="238" t="n"/>
      <c r="AU124" s="238" t="n"/>
      <c r="AV124" s="238" t="n"/>
      <c r="AW124" s="238" t="n"/>
      <c r="AX124" s="238" t="n"/>
      <c r="AY124" s="238" t="n"/>
      <c r="AZ124" s="238" t="n"/>
      <c r="BA124" s="238" t="n"/>
      <c r="BB124" s="238" t="n"/>
      <c r="BC124" s="238" t="n"/>
      <c r="BD124" s="238" t="n"/>
      <c r="BE124" s="238" t="n"/>
      <c r="BF124" s="238" t="n"/>
      <c r="BG124" s="238" t="n"/>
      <c r="BH124" s="238" t="n"/>
      <c r="BI124" s="238" t="n"/>
      <c r="BJ124" s="238" t="n"/>
      <c r="BK124" s="238" t="n"/>
      <c r="BL124" s="238" t="n"/>
      <c r="BM124" s="238" t="n"/>
      <c r="BN124" s="238" t="n"/>
      <c r="BO124" s="238" t="n"/>
      <c r="BP124" s="238" t="n"/>
      <c r="BQ124" s="238" t="n"/>
      <c r="BR124" s="238" t="n"/>
      <c r="BS124" s="238" t="n"/>
      <c r="BT124" s="238" t="n"/>
      <c r="BU124" s="238" t="n"/>
      <c r="BV124" s="238" t="n"/>
      <c r="BW124" s="238" t="n"/>
      <c r="BX124" s="238" t="n"/>
      <c r="BY124" s="238" t="n"/>
      <c r="BZ124" s="238" t="n"/>
      <c r="CA124" s="238" t="n"/>
      <c r="CB124" s="238" t="n"/>
      <c r="CC124" s="238" t="n"/>
      <c r="CD124" s="238" t="n"/>
      <c r="CE124" s="238" t="n"/>
      <c r="CF124" s="238" t="n"/>
      <c r="CG124" s="238" t="n"/>
      <c r="CH124" s="238" t="n"/>
      <c r="CI124" s="238" t="n"/>
      <c r="CJ124" s="238" t="n"/>
      <c r="CK124" s="238" t="n"/>
      <c r="CL124" s="238" t="n"/>
      <c r="CM124" s="238" t="n"/>
      <c r="CN124" s="238" t="n"/>
      <c r="CO124" s="238" t="n"/>
      <c r="CP124" s="238" t="n"/>
      <c r="CQ124" s="238" t="n"/>
      <c r="CR124" s="238" t="n"/>
      <c r="CS124" s="238" t="n"/>
      <c r="CT124" s="238" t="n"/>
      <c r="CU124" s="238" t="n"/>
      <c r="CV124" s="238" t="n"/>
      <c r="CW124" s="238" t="n"/>
      <c r="CX124" s="238" t="n"/>
      <c r="CY124" s="238" t="n"/>
      <c r="CZ124" s="238" t="n"/>
      <c r="DA124" s="238" t="n"/>
      <c r="DB124" s="238" t="n"/>
      <c r="DC124" s="238" t="n"/>
      <c r="DD124" s="238" t="n"/>
      <c r="DE124" s="238" t="n"/>
      <c r="DF124" s="238" t="n"/>
      <c r="DG124" s="238" t="n"/>
      <c r="DH124" s="238" t="n"/>
      <c r="DI124" s="238" t="n"/>
      <c r="DJ124" s="238" t="n"/>
      <c r="DK124" s="238" t="n"/>
      <c r="DL124" s="238" t="n"/>
      <c r="DM124" s="238" t="n"/>
      <c r="DN124" s="238" t="n"/>
      <c r="DO124" s="238" t="n"/>
      <c r="DP124" s="238" t="n"/>
      <c r="DQ124" s="238" t="n"/>
      <c r="DR124" s="238" t="n"/>
      <c r="DS124" s="238" t="n"/>
      <c r="DT124" s="238" t="n"/>
      <c r="DU124" s="238" t="n"/>
      <c r="DV124" s="238" t="n"/>
      <c r="DW124" s="238" t="n"/>
      <c r="DX124" s="238" t="n"/>
      <c r="DY124" s="238" t="n"/>
      <c r="DZ124" s="23" t="n"/>
      <c r="FQ124" s="212" t="n"/>
      <c r="FR124" s="212" t="n"/>
      <c r="FS124" s="212" t="n"/>
      <c r="FT124" s="212" t="n"/>
      <c r="FU124" s="212" t="n"/>
      <c r="FV124" s="212" t="n"/>
      <c r="FW124" s="212" t="n"/>
      <c r="FX124" s="212" t="n"/>
      <c r="FY124" s="212" t="n"/>
      <c r="FZ124" s="212" t="n"/>
    </row>
    <row r="125" hidden="1" ht="36" customFormat="1" customHeight="1" s="5">
      <c r="A125" s="13" t="n"/>
      <c r="C125" s="238" t="n"/>
      <c r="D125" s="238" t="n"/>
      <c r="E125" s="238" t="n"/>
      <c r="F125" s="238" t="n"/>
      <c r="G125" s="238" t="n"/>
      <c r="H125" s="238" t="n"/>
      <c r="I125" s="238" t="n"/>
      <c r="J125" s="238" t="n"/>
      <c r="K125" s="238" t="n"/>
      <c r="L125" s="238" t="n"/>
      <c r="M125" s="238" t="n"/>
      <c r="N125" s="238" t="n"/>
      <c r="O125" s="238" t="n"/>
      <c r="P125" s="238" t="n"/>
      <c r="Q125" s="238" t="n"/>
      <c r="R125" s="238" t="n"/>
      <c r="S125" s="238" t="n"/>
      <c r="T125" s="238" t="n"/>
      <c r="U125" s="238" t="n"/>
      <c r="V125" s="238" t="n"/>
      <c r="W125" s="238" t="n"/>
      <c r="X125" s="238" t="n"/>
      <c r="Y125" s="238" t="n"/>
      <c r="Z125" s="238" t="n"/>
      <c r="AA125" s="238" t="n"/>
      <c r="AB125" s="238" t="n"/>
      <c r="AC125" s="238" t="n"/>
      <c r="AD125" s="238" t="n"/>
      <c r="AE125" s="238" t="n"/>
      <c r="AF125" s="238" t="n"/>
      <c r="AG125" s="238" t="n"/>
      <c r="AH125" s="238" t="n"/>
      <c r="AI125" s="238" t="n"/>
      <c r="AJ125" s="238" t="n"/>
      <c r="AK125" s="238" t="n"/>
      <c r="AL125" s="238" t="n"/>
      <c r="AM125" s="238" t="n"/>
      <c r="AN125" s="238" t="n"/>
      <c r="AO125" s="238" t="n"/>
      <c r="AP125" s="238" t="n"/>
      <c r="AQ125" s="238" t="n"/>
      <c r="AR125" s="238" t="n"/>
      <c r="AS125" s="238" t="n"/>
      <c r="AT125" s="238" t="n"/>
      <c r="AU125" s="238" t="n"/>
      <c r="AV125" s="238" t="n"/>
      <c r="AW125" s="238" t="n"/>
      <c r="AX125" s="238" t="n"/>
      <c r="AY125" s="238" t="n"/>
      <c r="AZ125" s="238" t="n"/>
      <c r="BA125" s="238" t="n"/>
      <c r="BB125" s="238" t="n"/>
      <c r="BC125" s="238" t="n"/>
      <c r="BD125" s="238" t="n"/>
      <c r="BE125" s="238" t="n"/>
      <c r="BF125" s="238" t="n"/>
      <c r="BG125" s="238" t="n"/>
      <c r="BH125" s="238" t="n"/>
      <c r="BI125" s="238" t="n"/>
      <c r="BJ125" s="238" t="n"/>
      <c r="BK125" s="238" t="n"/>
      <c r="BL125" s="238" t="n"/>
      <c r="BM125" s="238" t="n"/>
      <c r="BN125" s="238" t="n"/>
      <c r="BO125" s="238" t="n"/>
      <c r="BP125" s="238" t="n"/>
      <c r="BQ125" s="238" t="n"/>
      <c r="BR125" s="238" t="n"/>
      <c r="BS125" s="238" t="n"/>
      <c r="BT125" s="238" t="n"/>
      <c r="BU125" s="238" t="n"/>
      <c r="BV125" s="238" t="n"/>
      <c r="BW125" s="238" t="n"/>
      <c r="BX125" s="238" t="n"/>
      <c r="BY125" s="238" t="n"/>
      <c r="BZ125" s="238" t="n"/>
      <c r="CA125" s="238" t="n"/>
      <c r="CB125" s="238" t="n"/>
      <c r="CC125" s="238" t="n"/>
      <c r="CD125" s="238" t="n"/>
      <c r="CE125" s="238" t="n"/>
      <c r="CF125" s="238" t="n"/>
      <c r="CG125" s="238" t="n"/>
      <c r="CH125" s="238" t="n"/>
      <c r="CI125" s="238" t="n"/>
      <c r="CJ125" s="238" t="n"/>
      <c r="CK125" s="238" t="n"/>
      <c r="CL125" s="238" t="n"/>
      <c r="CM125" s="238" t="n"/>
      <c r="CN125" s="238" t="n"/>
      <c r="CO125" s="238" t="n"/>
      <c r="CP125" s="238" t="n"/>
      <c r="CQ125" s="238" t="n"/>
      <c r="CR125" s="238" t="n"/>
      <c r="CS125" s="238" t="n"/>
      <c r="CT125" s="238" t="n"/>
      <c r="CU125" s="238" t="n"/>
      <c r="CV125" s="238" t="n"/>
      <c r="CW125" s="238" t="n"/>
      <c r="CX125" s="238" t="n"/>
      <c r="CY125" s="238" t="n"/>
      <c r="CZ125" s="238" t="n"/>
      <c r="DA125" s="238" t="n"/>
      <c r="DB125" s="238" t="n"/>
      <c r="DC125" s="238" t="n"/>
      <c r="DD125" s="238" t="n"/>
      <c r="DE125" s="238" t="n"/>
      <c r="DF125" s="238" t="n"/>
      <c r="DG125" s="238" t="n"/>
      <c r="DH125" s="238" t="n"/>
      <c r="DI125" s="238" t="n"/>
      <c r="DJ125" s="238" t="n"/>
      <c r="DK125" s="238" t="n"/>
      <c r="DL125" s="238" t="n"/>
      <c r="DM125" s="238" t="n"/>
      <c r="DN125" s="238" t="n"/>
      <c r="DO125" s="238" t="n"/>
      <c r="DP125" s="238" t="n"/>
      <c r="DQ125" s="238" t="n"/>
      <c r="DR125" s="238" t="n"/>
      <c r="DS125" s="238" t="n"/>
      <c r="DT125" s="238" t="n"/>
      <c r="DU125" s="238" t="n"/>
      <c r="DV125" s="238" t="n"/>
      <c r="DW125" s="238" t="n"/>
      <c r="DX125" s="238" t="n"/>
      <c r="DY125" s="238" t="n"/>
      <c r="DZ125" s="23" t="n"/>
      <c r="FQ125" s="212" t="n"/>
      <c r="FR125" s="212" t="n"/>
      <c r="FS125" s="212" t="n"/>
      <c r="FT125" s="212" t="n"/>
      <c r="FU125" s="212" t="n"/>
      <c r="FV125" s="212" t="n"/>
      <c r="FW125" s="212" t="n"/>
      <c r="FX125" s="212" t="n"/>
      <c r="FY125" s="212" t="n"/>
      <c r="FZ125" s="212" t="n"/>
    </row>
    <row r="126" ht="36" customFormat="1" customHeight="1" s="5">
      <c r="A126" s="14" t="n"/>
      <c r="C126" s="238" t="n"/>
      <c r="D126" s="238" t="n"/>
      <c r="E126" s="238" t="n"/>
      <c r="F126" s="238" t="n"/>
      <c r="G126" s="238" t="n"/>
      <c r="H126" s="238" t="n"/>
      <c r="I126" s="238" t="n"/>
      <c r="J126" s="238" t="n"/>
      <c r="K126" s="238" t="n"/>
      <c r="L126" s="238" t="n"/>
      <c r="M126" s="238" t="n"/>
      <c r="N126" s="238" t="n"/>
      <c r="O126" s="238" t="n"/>
      <c r="P126" s="238" t="n"/>
      <c r="Q126" s="238" t="n"/>
      <c r="R126" s="238" t="n"/>
      <c r="S126" s="238" t="n"/>
      <c r="T126" s="238" t="n"/>
      <c r="U126" s="238" t="n"/>
      <c r="V126" s="238" t="n"/>
      <c r="W126" s="238" t="n"/>
      <c r="X126" s="238" t="n"/>
      <c r="Y126" s="238" t="n"/>
      <c r="Z126" s="238" t="n"/>
      <c r="AA126" s="238" t="n"/>
      <c r="AB126" s="238" t="n"/>
      <c r="AC126" s="238" t="n"/>
      <c r="AD126" s="238" t="n"/>
      <c r="AE126" s="238" t="n"/>
      <c r="AF126" s="238" t="n"/>
      <c r="AG126" s="238" t="n"/>
      <c r="AH126" s="238" t="n"/>
      <c r="AI126" s="238" t="n"/>
      <c r="AJ126" s="238" t="n"/>
      <c r="AK126" s="238" t="n"/>
      <c r="AL126" s="238" t="n"/>
      <c r="AM126" s="238" t="n"/>
      <c r="AN126" s="238" t="n"/>
      <c r="AO126" s="238" t="n"/>
      <c r="AP126" s="238" t="n"/>
      <c r="AQ126" s="238" t="n"/>
      <c r="AR126" s="238" t="n"/>
      <c r="AS126" s="238" t="n"/>
      <c r="AT126" s="238" t="n"/>
      <c r="AU126" s="238" t="n"/>
      <c r="AV126" s="238" t="n"/>
      <c r="AW126" s="238" t="n"/>
      <c r="AX126" s="238" t="n"/>
      <c r="AY126" s="238" t="n"/>
      <c r="AZ126" s="238" t="n"/>
      <c r="BA126" s="238" t="n"/>
      <c r="BB126" s="238" t="n"/>
      <c r="BC126" s="238" t="n"/>
      <c r="BD126" s="238" t="n"/>
      <c r="BE126" s="238" t="n"/>
      <c r="BF126" s="238" t="n"/>
      <c r="BG126" s="238" t="n"/>
      <c r="BH126" s="238" t="n"/>
      <c r="BI126" s="238" t="n"/>
      <c r="BJ126" s="238" t="n"/>
      <c r="BK126" s="238" t="n"/>
      <c r="BL126" s="238" t="n"/>
      <c r="BM126" s="238" t="n"/>
      <c r="BN126" s="238" t="n"/>
      <c r="BO126" s="238" t="n"/>
      <c r="BP126" s="238" t="n"/>
      <c r="BQ126" s="238" t="n"/>
      <c r="BR126" s="238" t="n"/>
      <c r="BS126" s="238" t="n"/>
      <c r="BT126" s="238" t="n"/>
      <c r="BU126" s="238" t="n"/>
      <c r="BV126" s="238" t="n"/>
      <c r="BW126" s="238" t="n"/>
      <c r="BX126" s="238" t="n"/>
      <c r="BY126" s="238" t="n"/>
      <c r="BZ126" s="238" t="n"/>
      <c r="CA126" s="238" t="n"/>
      <c r="CB126" s="238" t="n"/>
      <c r="CC126" s="238" t="n"/>
      <c r="CD126" s="238" t="n"/>
      <c r="CE126" s="238" t="n"/>
      <c r="CF126" s="238" t="n"/>
      <c r="CG126" s="238" t="n"/>
      <c r="CH126" s="238" t="n"/>
      <c r="CI126" s="238" t="n"/>
      <c r="CJ126" s="238" t="n"/>
      <c r="CK126" s="238" t="n"/>
      <c r="CL126" s="238" t="n"/>
      <c r="CM126" s="238" t="n"/>
      <c r="CN126" s="238" t="n"/>
      <c r="CO126" s="238" t="n"/>
      <c r="CP126" s="238" t="n"/>
      <c r="CQ126" s="238" t="n"/>
      <c r="CR126" s="238" t="n"/>
      <c r="CS126" s="238" t="n"/>
      <c r="CT126" s="238" t="n"/>
      <c r="CU126" s="238" t="n"/>
      <c r="CV126" s="238" t="n"/>
      <c r="CW126" s="238" t="n"/>
      <c r="CX126" s="238" t="n"/>
      <c r="CY126" s="238" t="n"/>
      <c r="CZ126" s="238" t="n"/>
      <c r="DA126" s="238" t="n"/>
      <c r="DB126" s="238" t="n"/>
      <c r="DC126" s="238" t="n"/>
      <c r="DD126" s="238" t="n"/>
      <c r="DE126" s="238" t="n"/>
      <c r="DF126" s="238" t="n"/>
      <c r="DG126" s="238" t="n"/>
      <c r="DH126" s="238" t="n"/>
      <c r="DI126" s="238" t="n"/>
      <c r="DJ126" s="238" t="n"/>
      <c r="DK126" s="238" t="n"/>
      <c r="DL126" s="238" t="n"/>
      <c r="DM126" s="238" t="n"/>
      <c r="DN126" s="238" t="n"/>
      <c r="DO126" s="238" t="n"/>
      <c r="DP126" s="238" t="n"/>
      <c r="DQ126" s="238" t="n"/>
      <c r="DR126" s="238" t="n"/>
      <c r="DS126" s="238" t="n"/>
      <c r="DT126" s="238" t="n"/>
      <c r="DU126" s="238" t="n"/>
      <c r="DV126" s="238" t="n"/>
      <c r="DW126" s="238" t="n"/>
      <c r="DX126" s="238" t="n"/>
      <c r="DY126" s="238" t="n"/>
      <c r="DZ126" s="24" t="n"/>
      <c r="FQ126" s="212" t="n"/>
      <c r="FR126" s="212" t="n"/>
      <c r="FS126" s="212" t="n"/>
      <c r="FT126" s="212" t="n"/>
      <c r="FU126" s="212" t="n"/>
      <c r="FV126" s="212" t="n"/>
      <c r="FW126" s="212" t="n"/>
      <c r="FX126" s="212" t="n"/>
      <c r="FY126" s="212" t="n"/>
      <c r="FZ126" s="212" t="n"/>
    </row>
    <row r="127" ht="36" customFormat="1" customHeight="1" s="5">
      <c r="A127" s="9" t="n"/>
      <c r="B127" s="566" t="inlineStr">
        <is>
          <t>PROJECTED TO REACH TMIN:</t>
        </is>
      </c>
      <c r="C127" s="448" t="n"/>
      <c r="D127" s="448" t="n"/>
      <c r="E127" s="448" t="n"/>
      <c r="F127" s="448" t="n"/>
      <c r="G127" s="448" t="n"/>
      <c r="H127" s="448" t="n"/>
      <c r="I127" s="448" t="n"/>
      <c r="J127" s="448" t="n"/>
      <c r="K127" s="448" t="n"/>
      <c r="L127" s="449" t="n"/>
      <c r="M127" s="567" t="inlineStr">
        <is>
          <t>NOTE:  CORROSION RATE IS BASED ON COMPARISON OF</t>
        </is>
      </c>
      <c r="N127" s="458" t="n"/>
      <c r="O127" s="458" t="n"/>
      <c r="P127" s="458" t="n"/>
      <c r="Q127" s="458" t="n"/>
      <c r="R127" s="458" t="n"/>
      <c r="S127" s="458" t="n"/>
      <c r="T127" s="458" t="n"/>
      <c r="U127" s="458" t="n"/>
      <c r="V127" s="458" t="n"/>
      <c r="W127" s="458" t="n"/>
      <c r="X127" s="458" t="n"/>
      <c r="Y127" s="458" t="n"/>
      <c r="Z127" s="458" t="n"/>
      <c r="AA127" s="458" t="n"/>
      <c r="AB127" s="458" t="n"/>
      <c r="AC127" s="458" t="n"/>
      <c r="AD127" s="458" t="n"/>
      <c r="AE127" s="458" t="n"/>
      <c r="AF127" s="446" t="n"/>
      <c r="AG127" s="602" t="inlineStr">
        <is>
          <t>EARLIEST DATE OF PROJECTED RETIREMENT:</t>
        </is>
      </c>
      <c r="AH127" s="458" t="n"/>
      <c r="AI127" s="458" t="n"/>
      <c r="AJ127" s="458" t="n"/>
      <c r="AK127" s="458" t="n"/>
      <c r="AL127" s="458" t="n"/>
      <c r="AM127" s="458" t="n"/>
      <c r="AN127" s="458" t="n"/>
      <c r="AO127" s="458" t="n"/>
      <c r="AP127" s="458" t="n"/>
      <c r="AQ127" s="458" t="n"/>
      <c r="AR127" s="458" t="n"/>
      <c r="AS127" s="458" t="n"/>
      <c r="AT127" s="458" t="n"/>
      <c r="AU127" s="458" t="n"/>
      <c r="AV127" s="446" t="n"/>
      <c r="AW127" s="460" t="n"/>
      <c r="AX127" s="458" t="n"/>
      <c r="AY127" s="458" t="n"/>
      <c r="AZ127" s="458" t="n"/>
      <c r="BA127" s="458" t="n"/>
      <c r="BB127" s="458" t="n"/>
      <c r="BC127" s="458" t="n"/>
      <c r="BD127" s="458" t="n"/>
      <c r="BE127" s="458" t="n"/>
      <c r="BF127" s="458" t="n"/>
      <c r="BG127" s="458" t="n"/>
      <c r="BH127" s="458" t="n"/>
      <c r="BI127" s="458" t="n"/>
      <c r="BJ127" s="458" t="n"/>
      <c r="BK127" s="458" t="n"/>
      <c r="BL127" s="458" t="n"/>
      <c r="BM127" s="458" t="n"/>
      <c r="BN127" s="458" t="n"/>
      <c r="BO127" s="458" t="n"/>
      <c r="BP127" s="458" t="n"/>
      <c r="BQ127" s="458" t="n"/>
      <c r="BR127" s="461" t="inlineStr">
        <is>
          <t>APPLIED TECHNICAL SERVICES 
1049 Triad Court
Marietta, Georgia 30062
Office # (770) 423-1400
Fax # (770) 514-3299
www.atslab.com</t>
        </is>
      </c>
      <c r="BS127" s="458" t="n"/>
      <c r="BT127" s="458" t="n"/>
      <c r="BU127" s="458" t="n"/>
      <c r="BV127" s="458" t="n"/>
      <c r="BW127" s="458" t="n"/>
      <c r="BX127" s="458" t="n"/>
      <c r="BY127" s="458" t="n"/>
      <c r="BZ127" s="458" t="n"/>
      <c r="CA127" s="458" t="n"/>
      <c r="CB127" s="458" t="n"/>
      <c r="CC127" s="458" t="n"/>
      <c r="CD127" s="458" t="n"/>
      <c r="CE127" s="458" t="n"/>
      <c r="CF127" s="458" t="n"/>
      <c r="CG127" s="458" t="n"/>
      <c r="CH127" s="458" t="n"/>
      <c r="CI127" s="458" t="n"/>
      <c r="CJ127" s="458" t="n"/>
      <c r="CK127" s="446" t="n"/>
      <c r="CL127" s="603">
        <f>Thickness!CL127</f>
        <v/>
      </c>
      <c r="CM127" s="458" t="n"/>
      <c r="CN127" s="458" t="n"/>
      <c r="CO127" s="458" t="n"/>
      <c r="CP127" s="458" t="n"/>
      <c r="CQ127" s="458" t="n"/>
      <c r="CR127" s="458" t="n"/>
      <c r="CS127" s="458" t="n"/>
      <c r="CT127" s="458" t="n"/>
      <c r="CU127" s="458" t="n"/>
      <c r="CV127" s="458" t="n"/>
      <c r="CW127" s="458" t="n"/>
      <c r="CX127" s="458" t="n"/>
      <c r="CY127" s="458" t="n"/>
      <c r="CZ127" s="458" t="n"/>
      <c r="DA127" s="458" t="n"/>
      <c r="DB127" s="458" t="n"/>
      <c r="DC127" s="458" t="n"/>
      <c r="DD127" s="458" t="n"/>
      <c r="DE127" s="458" t="n"/>
      <c r="DF127" s="458" t="n"/>
      <c r="DG127" s="458" t="n"/>
      <c r="DH127" s="458" t="n"/>
      <c r="DI127" s="458" t="n"/>
      <c r="DJ127" s="458" t="n"/>
      <c r="DK127" s="458" t="n"/>
      <c r="DL127" s="458" t="n"/>
      <c r="DM127" s="458" t="n"/>
      <c r="DN127" s="458" t="n"/>
      <c r="DO127" s="458" t="n"/>
      <c r="DP127" s="458" t="n"/>
      <c r="DQ127" s="458" t="n"/>
      <c r="DR127" s="458" t="n"/>
      <c r="DS127" s="458" t="n"/>
      <c r="DT127" s="458" t="n"/>
      <c r="DU127" s="458" t="n"/>
      <c r="DV127" s="458" t="n"/>
      <c r="DW127" s="458" t="n"/>
      <c r="DX127" s="458" t="n"/>
      <c r="DY127" s="458" t="n"/>
      <c r="DZ127" s="446" t="n"/>
      <c r="FQ127" s="212" t="n"/>
      <c r="FR127" s="212" t="n"/>
      <c r="FS127" s="212" t="n"/>
      <c r="FT127" s="212" t="n"/>
      <c r="FU127" s="212" t="n"/>
      <c r="FV127" s="212" t="n"/>
      <c r="FW127" s="212" t="n"/>
      <c r="FX127" s="212" t="n"/>
      <c r="FY127" s="212" t="n"/>
      <c r="FZ127" s="212" t="n"/>
    </row>
    <row r="128" ht="36" customFormat="1" customHeight="1" s="5">
      <c r="A128" s="234" t="inlineStr">
        <is>
          <t>LEGEND</t>
        </is>
      </c>
      <c r="B128" s="604" t="inlineStr">
        <is>
          <t>+ 5 YEARS (or no data)</t>
        </is>
      </c>
      <c r="C128" s="448" t="n"/>
      <c r="D128" s="448" t="n"/>
      <c r="E128" s="448" t="n"/>
      <c r="F128" s="448" t="n"/>
      <c r="G128" s="448" t="n"/>
      <c r="H128" s="448" t="n"/>
      <c r="I128" s="448" t="n"/>
      <c r="J128" s="448" t="n"/>
      <c r="K128" s="448" t="n"/>
      <c r="L128" s="449" t="n"/>
      <c r="M128" s="13" t="n"/>
      <c r="AF128" s="464" t="n"/>
      <c r="AG128" s="13" t="n"/>
      <c r="AV128" s="464" t="n"/>
      <c r="AW128" s="13" t="n"/>
      <c r="CK128" s="464" t="n"/>
      <c r="CL128" s="605">
        <f>Thickness!CL128</f>
        <v/>
      </c>
      <c r="DZ128" s="464" t="n"/>
      <c r="FQ128" s="212" t="n"/>
      <c r="FR128" s="212" t="n"/>
      <c r="FS128" s="212" t="n"/>
      <c r="FT128" s="212" t="n"/>
      <c r="FU128" s="212" t="n"/>
      <c r="FV128" s="212" t="n"/>
      <c r="FW128" s="212" t="n"/>
      <c r="FX128" s="212" t="n"/>
      <c r="FY128" s="212" t="n"/>
      <c r="FZ128" s="212" t="n"/>
    </row>
    <row r="129" ht="36" customHeight="1">
      <c r="A129" s="456" t="n"/>
      <c r="B129" s="606" t="inlineStr">
        <is>
          <t>WITHIN 5 YEARS</t>
        </is>
      </c>
      <c r="C129" s="448" t="n"/>
      <c r="D129" s="448" t="n"/>
      <c r="E129" s="448" t="n"/>
      <c r="F129" s="448" t="n"/>
      <c r="G129" s="448" t="n"/>
      <c r="H129" s="448" t="n"/>
      <c r="I129" s="448" t="n"/>
      <c r="J129" s="448" t="n"/>
      <c r="K129" s="448" t="n"/>
      <c r="L129" s="449" t="n"/>
      <c r="M129" s="573" t="inlineStr">
        <is>
          <t>2020, 2022, 2023, 2024, 2025</t>
        </is>
      </c>
      <c r="AF129" s="464" t="n"/>
      <c r="AG129" s="13" t="n"/>
      <c r="AV129" s="464" t="n"/>
      <c r="AW129" s="13" t="n"/>
      <c r="CK129" s="464" t="n"/>
      <c r="CL129" s="607" t="inlineStr">
        <is>
          <t>PROJECTED TUBE RETIREMENT DATE</t>
        </is>
      </c>
      <c r="DZ129" s="464" t="n"/>
    </row>
    <row r="130" ht="36" customHeight="1">
      <c r="A130" s="456" t="n"/>
      <c r="B130" s="608" t="inlineStr">
        <is>
          <t>WITHIN 3 YEARS</t>
        </is>
      </c>
      <c r="C130" s="448" t="n"/>
      <c r="D130" s="448" t="n"/>
      <c r="E130" s="448" t="n"/>
      <c r="F130" s="448" t="n"/>
      <c r="G130" s="448" t="n"/>
      <c r="H130" s="448" t="n"/>
      <c r="I130" s="448" t="n"/>
      <c r="J130" s="448" t="n"/>
      <c r="K130" s="448" t="n"/>
      <c r="L130" s="449" t="n"/>
      <c r="M130" s="576" t="inlineStr">
        <is>
          <t>INSPECTION DATA</t>
        </is>
      </c>
      <c r="AF130" s="464" t="n"/>
      <c r="AG130" s="609" t="inlineStr">
        <is>
          <t>February 2026</t>
        </is>
      </c>
      <c r="AV130" s="464" t="n"/>
      <c r="AW130" s="14" t="n"/>
      <c r="AX130" s="468" t="n"/>
      <c r="AY130" s="468" t="n"/>
      <c r="AZ130" s="468" t="n"/>
      <c r="BA130" s="468" t="n"/>
      <c r="BB130" s="468" t="n"/>
      <c r="BC130" s="468" t="n"/>
      <c r="BD130" s="468" t="n"/>
      <c r="BE130" s="468" t="n"/>
      <c r="BF130" s="468" t="n"/>
      <c r="BG130" s="468" t="n"/>
      <c r="BH130" s="468" t="n"/>
      <c r="BI130" s="468" t="n"/>
      <c r="BJ130" s="468" t="n"/>
      <c r="BK130" s="468" t="n"/>
      <c r="BL130" s="468" t="n"/>
      <c r="BM130" s="468" t="n"/>
      <c r="BN130" s="468" t="n"/>
      <c r="BO130" s="468" t="n"/>
      <c r="BP130" s="468" t="n"/>
      <c r="BQ130" s="468" t="n"/>
      <c r="BR130" s="468" t="n"/>
      <c r="BS130" s="468" t="n"/>
      <c r="BT130" s="468" t="n"/>
      <c r="BU130" s="468" t="n"/>
      <c r="BV130" s="468" t="n"/>
      <c r="BW130" s="468" t="n"/>
      <c r="BX130" s="468" t="n"/>
      <c r="BY130" s="468" t="n"/>
      <c r="BZ130" s="468" t="n"/>
      <c r="CA130" s="468" t="n"/>
      <c r="CB130" s="468" t="n"/>
      <c r="CC130" s="468" t="n"/>
      <c r="CD130" s="468" t="n"/>
      <c r="CE130" s="468" t="n"/>
      <c r="CF130" s="468" t="n"/>
      <c r="CG130" s="468" t="n"/>
      <c r="CH130" s="468" t="n"/>
      <c r="CI130" s="468" t="n"/>
      <c r="CJ130" s="468" t="n"/>
      <c r="CK130" s="451" t="n"/>
      <c r="CL130" s="607">
        <f>Thickness!CL130</f>
        <v/>
      </c>
      <c r="DZ130" s="464" t="n"/>
    </row>
    <row r="131" ht="36" customHeight="1">
      <c r="A131" s="469" t="n"/>
      <c r="B131" s="610" t="inlineStr">
        <is>
          <t>WITHIN 1 YEAR</t>
        </is>
      </c>
      <c r="C131" s="448" t="n"/>
      <c r="D131" s="448" t="n"/>
      <c r="E131" s="448" t="n"/>
      <c r="F131" s="448" t="n"/>
      <c r="G131" s="448" t="n"/>
      <c r="H131" s="448" t="n"/>
      <c r="I131" s="448" t="n"/>
      <c r="J131" s="448" t="n"/>
      <c r="K131" s="448" t="n"/>
      <c r="L131" s="449" t="n"/>
      <c r="M131" s="579" t="inlineStr">
        <is>
          <t>ND</t>
        </is>
      </c>
      <c r="N131" s="448" t="n"/>
      <c r="O131" s="448" t="n"/>
      <c r="P131" s="448" t="n"/>
      <c r="Q131" s="449" t="n"/>
      <c r="R131" s="331" t="inlineStr">
        <is>
          <t xml:space="preserve"> NO COMPARISON DATA</t>
        </is>
      </c>
      <c r="S131" s="468" t="n"/>
      <c r="T131" s="468" t="n"/>
      <c r="U131" s="468" t="n"/>
      <c r="V131" s="468" t="n"/>
      <c r="W131" s="468" t="n"/>
      <c r="X131" s="468" t="n"/>
      <c r="Y131" s="468" t="n"/>
      <c r="Z131" s="468" t="n"/>
      <c r="AA131" s="468" t="n"/>
      <c r="AB131" s="468" t="n"/>
      <c r="AC131" s="468" t="n"/>
      <c r="AD131" s="468" t="n"/>
      <c r="AE131" s="468" t="n"/>
      <c r="AF131" s="451" t="n"/>
      <c r="AG131" s="14" t="n"/>
      <c r="AH131" s="468" t="n"/>
      <c r="AI131" s="468" t="n"/>
      <c r="AJ131" s="468" t="n"/>
      <c r="AK131" s="468" t="n"/>
      <c r="AL131" s="468" t="n"/>
      <c r="AM131" s="468" t="n"/>
      <c r="AN131" s="468" t="n"/>
      <c r="AO131" s="468" t="n"/>
      <c r="AP131" s="468" t="n"/>
      <c r="AQ131" s="468" t="n"/>
      <c r="AR131" s="468" t="n"/>
      <c r="AS131" s="468" t="n"/>
      <c r="AT131" s="468" t="n"/>
      <c r="AU131" s="468" t="n"/>
      <c r="AV131" s="451" t="n"/>
      <c r="AW131" s="208">
        <f>Thickness!AW131</f>
        <v/>
      </c>
      <c r="AX131" s="448" t="n"/>
      <c r="AY131" s="448" t="n"/>
      <c r="AZ131" s="448" t="n"/>
      <c r="BA131" s="448" t="n"/>
      <c r="BB131" s="448" t="n"/>
      <c r="BC131" s="448" t="n"/>
      <c r="BD131" s="448" t="n"/>
      <c r="BE131" s="448" t="n"/>
      <c r="BF131" s="448" t="n"/>
      <c r="BG131" s="448" t="n"/>
      <c r="BH131" s="448" t="n"/>
      <c r="BI131" s="448" t="n"/>
      <c r="BJ131" s="448" t="n"/>
      <c r="BK131" s="448" t="n"/>
      <c r="BL131" s="448" t="n"/>
      <c r="BM131" s="448" t="n"/>
      <c r="BN131" s="448" t="n"/>
      <c r="BO131" s="448" t="n"/>
      <c r="BP131" s="448" t="n"/>
      <c r="BQ131" s="448" t="n"/>
      <c r="BR131" s="448" t="n"/>
      <c r="BS131" s="448" t="n"/>
      <c r="BT131" s="448" t="n"/>
      <c r="BU131" s="448" t="n"/>
      <c r="BV131" s="448" t="n"/>
      <c r="BW131" s="448" t="n"/>
      <c r="BX131" s="448" t="n"/>
      <c r="BY131" s="448" t="n"/>
      <c r="BZ131" s="448" t="n"/>
      <c r="CA131" s="448" t="n"/>
      <c r="CB131" s="448" t="n"/>
      <c r="CC131" s="448" t="n"/>
      <c r="CD131" s="448" t="n"/>
      <c r="CE131" s="448" t="n"/>
      <c r="CF131" s="448" t="n"/>
      <c r="CG131" s="448" t="n"/>
      <c r="CH131" s="448" t="n"/>
      <c r="CI131" s="448" t="n"/>
      <c r="CJ131" s="448" t="n"/>
      <c r="CK131" s="449" t="n"/>
      <c r="CL131" s="611">
        <f>Thickness!CL131</f>
        <v/>
      </c>
      <c r="CM131" s="468" t="n"/>
      <c r="CN131" s="468" t="n"/>
      <c r="CO131" s="468" t="n"/>
      <c r="CP131" s="468" t="n"/>
      <c r="CQ131" s="468" t="n"/>
      <c r="CR131" s="468" t="n"/>
      <c r="CS131" s="468" t="n"/>
      <c r="CT131" s="468" t="n"/>
      <c r="CU131" s="468" t="n"/>
      <c r="CV131" s="468" t="n"/>
      <c r="CW131" s="468" t="n"/>
      <c r="CX131" s="468" t="n"/>
      <c r="CY131" s="468" t="n"/>
      <c r="CZ131" s="468" t="n"/>
      <c r="DA131" s="468" t="n"/>
      <c r="DB131" s="468" t="n"/>
      <c r="DC131" s="468" t="n"/>
      <c r="DD131" s="468" t="n"/>
      <c r="DE131" s="468" t="n"/>
      <c r="DF131" s="468" t="n"/>
      <c r="DG131" s="468" t="n"/>
      <c r="DH131" s="468" t="n"/>
      <c r="DI131" s="468" t="n"/>
      <c r="DJ131" s="468" t="n"/>
      <c r="DK131" s="468" t="n"/>
      <c r="DL131" s="468" t="n"/>
      <c r="DM131" s="468" t="n"/>
      <c r="DN131" s="468" t="n"/>
      <c r="DO131" s="468" t="n"/>
      <c r="DP131" s="468" t="n"/>
      <c r="DQ131" s="468" t="n"/>
      <c r="DR131" s="468" t="n"/>
      <c r="DS131" s="468" t="n"/>
      <c r="DT131" s="468" t="n"/>
      <c r="DU131" s="468" t="n"/>
      <c r="DV131" s="468" t="n"/>
      <c r="DW131" s="468" t="n"/>
      <c r="DX131" s="468" t="n"/>
      <c r="DY131" s="468" t="n"/>
      <c r="DZ131" s="451" t="n"/>
    </row>
    <row r="132" ht="36" customHeight="1">
      <c r="B132" s="16" t="inlineStr">
        <is>
          <t>RETIREMENT</t>
        </is>
      </c>
    </row>
    <row r="133" ht="36" customHeight="1">
      <c r="M133" s="15" t="n"/>
      <c r="N133" s="15" t="n"/>
      <c r="O133" s="15" t="n"/>
      <c r="P133" s="15" t="n"/>
      <c r="Q133" s="15" t="n"/>
      <c r="R133" s="15" t="n"/>
      <c r="S133" s="15" t="n"/>
      <c r="T133" s="15" t="n"/>
      <c r="U133" s="15" t="n"/>
      <c r="V133" s="15" t="n"/>
      <c r="W133" s="15" t="n"/>
      <c r="X133" s="15" t="n"/>
      <c r="Y133" s="15" t="n"/>
      <c r="Z133" s="15" t="n"/>
      <c r="AA133" s="15" t="n"/>
      <c r="AB133" s="15" t="n"/>
      <c r="AC133" s="15" t="n"/>
      <c r="AD133" s="15" t="n"/>
      <c r="AE133" s="15" t="n"/>
      <c r="AF133" s="15" t="n"/>
      <c r="AG133" s="15" t="n"/>
      <c r="AH133" s="15" t="n"/>
      <c r="AI133" s="15" t="n"/>
      <c r="AJ133" s="15" t="n"/>
      <c r="AK133" s="15" t="n"/>
      <c r="AL133" s="15" t="n"/>
      <c r="AM133" s="15" t="n"/>
      <c r="AN133" s="15" t="n"/>
      <c r="AO133" s="15" t="n"/>
      <c r="AP133" s="15" t="n"/>
      <c r="AQ133" s="15" t="n"/>
      <c r="AR133" s="15" t="n"/>
      <c r="AS133" s="15" t="n"/>
      <c r="AT133" s="15" t="n"/>
      <c r="AU133" s="15" t="n"/>
      <c r="AV133" s="15" t="n"/>
    </row>
    <row r="134" ht="36" customHeight="1">
      <c r="V134" s="212" t="n"/>
      <c r="W134" s="212" t="n"/>
      <c r="X134" s="212" t="n"/>
      <c r="Y134" s="212" t="n"/>
      <c r="Z134" s="212" t="n"/>
      <c r="AA134" s="212" t="n"/>
      <c r="AB134" s="212" t="n"/>
      <c r="AC134" s="212" t="n"/>
      <c r="AD134" s="212" t="n"/>
      <c r="AE134" s="212" t="n"/>
      <c r="AF134" s="212" t="n"/>
      <c r="AG134" s="212" t="n"/>
      <c r="AH134" s="212" t="n"/>
      <c r="AI134" s="212" t="n"/>
      <c r="AJ134" s="212" t="n"/>
      <c r="AK134" s="212" t="n"/>
      <c r="AL134" s="212" t="n"/>
      <c r="AM134" s="212" t="n"/>
      <c r="AN134" s="212" t="n"/>
      <c r="AO134" s="212" t="n"/>
      <c r="AP134" s="212" t="n"/>
      <c r="AQ134" s="212" t="n"/>
      <c r="AR134" s="212" t="n"/>
      <c r="AS134" s="212" t="n"/>
      <c r="AT134" s="212" t="n"/>
      <c r="AU134" s="212" t="n"/>
      <c r="BJ134" s="212" t="n"/>
      <c r="BK134" s="212" t="n"/>
      <c r="BL134" s="212" t="n"/>
      <c r="BM134" s="212" t="n"/>
      <c r="BN134" s="212" t="n"/>
      <c r="BO134" s="212" t="n"/>
      <c r="BP134" s="212" t="n"/>
      <c r="BQ134" s="212" t="n"/>
      <c r="BR134" s="212" t="n"/>
      <c r="BS134" s="212" t="n"/>
      <c r="BT134" s="212" t="n"/>
      <c r="BU134" s="212" t="n"/>
      <c r="BV134" s="212" t="n"/>
      <c r="BW134" s="212" t="n"/>
      <c r="BX134" s="212" t="n"/>
      <c r="BY134" s="212" t="n"/>
      <c r="BZ134" s="212" t="n"/>
      <c r="CA134" s="212" t="n"/>
      <c r="CB134" s="212" t="n"/>
      <c r="CC134" s="212" t="n"/>
      <c r="CD134" s="212" t="n"/>
      <c r="CE134" s="212" t="n"/>
      <c r="CF134" s="212" t="n"/>
      <c r="CG134" s="212" t="n"/>
      <c r="CH134" s="212" t="n"/>
      <c r="CI134" s="212" t="n"/>
      <c r="CJ134" s="212" t="n"/>
      <c r="CK134" s="212" t="n"/>
      <c r="CL134" s="212" t="n"/>
      <c r="CM134" s="212" t="n"/>
      <c r="CN134" s="212" t="n"/>
      <c r="CO134" s="212" t="n"/>
      <c r="CP134" s="212" t="n"/>
      <c r="CQ134" s="212" t="n"/>
      <c r="CR134" s="212" t="n"/>
      <c r="CS134" s="212" t="n"/>
      <c r="CT134" s="212" t="n"/>
      <c r="CU134" s="212" t="n"/>
      <c r="CV134" s="212" t="n"/>
      <c r="CW134" s="212" t="n"/>
      <c r="CZ134" s="212" t="n"/>
      <c r="DA134" s="212" t="n"/>
      <c r="DB134" s="212" t="n"/>
      <c r="DC134" s="212" t="n"/>
      <c r="DD134" s="212" t="n"/>
      <c r="DE134" s="212" t="n"/>
      <c r="DF134" s="212" t="n"/>
      <c r="DG134" s="212" t="n"/>
      <c r="DH134" s="212" t="n"/>
      <c r="DI134" s="212" t="n"/>
      <c r="DJ134" s="212" t="n"/>
      <c r="DK134" s="212" t="n"/>
      <c r="DL134" s="212" t="n"/>
      <c r="DM134" s="212" t="n"/>
      <c r="DN134" s="212" t="n"/>
      <c r="DO134" s="212" t="n"/>
      <c r="DP134" s="212" t="n"/>
      <c r="DQ134" s="212" t="n"/>
      <c r="DR134" s="212" t="n"/>
      <c r="DS134" s="212" t="n"/>
      <c r="DT134" s="212" t="n"/>
      <c r="DU134" s="212" t="n"/>
      <c r="DV134" s="212" t="n"/>
    </row>
    <row r="135">
      <c r="V135" s="212" t="n"/>
      <c r="W135" s="212" t="n"/>
      <c r="X135" s="212" t="n"/>
      <c r="Y135" s="212" t="n"/>
      <c r="Z135" s="212" t="n"/>
      <c r="AA135" s="212" t="n"/>
      <c r="AB135" s="212" t="n"/>
      <c r="AC135" s="212" t="n"/>
      <c r="AD135" s="212" t="n"/>
      <c r="AE135" s="212" t="n"/>
      <c r="AF135" s="212" t="n"/>
      <c r="AG135" s="212" t="n"/>
      <c r="AH135" s="212" t="n"/>
      <c r="AI135" s="212" t="n"/>
      <c r="AJ135" s="212" t="n"/>
      <c r="AK135" s="212" t="n"/>
      <c r="AL135" s="212" t="n"/>
      <c r="AM135" s="212" t="n"/>
      <c r="AN135" s="212" t="n"/>
      <c r="AO135" s="212" t="n"/>
      <c r="AP135" s="212" t="n"/>
      <c r="AQ135" s="212" t="n"/>
      <c r="AR135" s="212" t="n"/>
      <c r="AS135" s="212" t="n"/>
      <c r="AT135" s="212" t="n"/>
      <c r="AU135" s="212" t="n"/>
      <c r="BJ135" s="212" t="n"/>
      <c r="BK135" s="212" t="n"/>
      <c r="BL135" s="212" t="n"/>
      <c r="BM135" s="212" t="n"/>
      <c r="BN135" s="212" t="n"/>
      <c r="BO135" s="212" t="n"/>
      <c r="BP135" s="212" t="n"/>
      <c r="BQ135" s="212" t="n"/>
      <c r="BR135" s="461" t="inlineStr">
        <is>
          <t>APPLIED TECHNICAL SERVICES 
1049 Triad Court
Marietta, Georgia 30062
Office # (770) 423-1400
Fax # (770) 514-3299
www.atslab.com</t>
        </is>
      </c>
      <c r="BS135" s="458" t="n"/>
      <c r="BT135" s="458" t="n"/>
      <c r="BU135" s="458" t="n"/>
      <c r="BV135" s="458" t="n"/>
      <c r="BW135" s="458" t="n"/>
      <c r="BX135" s="458" t="n"/>
      <c r="BY135" s="458" t="n"/>
      <c r="BZ135" s="458" t="n"/>
      <c r="CA135" s="458" t="n"/>
      <c r="CB135" s="458" t="n"/>
      <c r="CC135" s="458" t="n"/>
      <c r="CD135" s="458" t="n"/>
      <c r="CE135" s="458" t="n"/>
      <c r="CF135" s="458" t="n"/>
      <c r="CG135" s="458" t="n"/>
      <c r="CH135" s="458" t="n"/>
      <c r="CI135" s="458" t="n"/>
      <c r="CJ135" s="458" t="n"/>
      <c r="CK135" s="446" t="n"/>
      <c r="CL135" s="212" t="n"/>
      <c r="CM135" s="212" t="n"/>
      <c r="CN135" s="212" t="n"/>
      <c r="CO135" s="212" t="n"/>
      <c r="CP135" s="212" t="n"/>
      <c r="CQ135" s="212" t="n"/>
      <c r="CR135" s="212" t="n"/>
      <c r="CS135" s="212" t="n"/>
      <c r="CT135" s="212" t="n"/>
      <c r="CU135" s="212" t="n"/>
      <c r="CV135" s="212" t="n"/>
      <c r="CW135" s="212" t="n"/>
      <c r="CZ135" s="212" t="n"/>
      <c r="DA135" s="212" t="n"/>
      <c r="DB135" s="212" t="n"/>
      <c r="DC135" s="212" t="n"/>
      <c r="DD135" s="212" t="n"/>
      <c r="DE135" s="212" t="n"/>
      <c r="DF135" s="212" t="n"/>
      <c r="DG135" s="212" t="n"/>
      <c r="DH135" s="212" t="n"/>
      <c r="DI135" s="212" t="n"/>
      <c r="DJ135" s="212" t="n"/>
      <c r="DK135" s="212" t="n"/>
      <c r="DL135" s="212" t="n"/>
      <c r="DM135" s="212" t="n"/>
      <c r="DN135" s="212" t="n"/>
      <c r="DO135" s="212" t="n"/>
      <c r="DP135" s="212" t="n"/>
      <c r="DQ135" s="212" t="n"/>
      <c r="DR135" s="212" t="n"/>
      <c r="DS135" s="212" t="n"/>
      <c r="DT135" s="212" t="n"/>
      <c r="DU135" s="212" t="n"/>
      <c r="DV135" s="212" t="n"/>
    </row>
    <row r="136">
      <c r="BJ136" s="212" t="n"/>
      <c r="BK136" s="212" t="n"/>
      <c r="BL136" s="212" t="n"/>
      <c r="BM136" s="212" t="n"/>
      <c r="BN136" s="212" t="n"/>
      <c r="BO136" s="212" t="n"/>
      <c r="BP136" s="212" t="n"/>
      <c r="BQ136" s="212" t="n"/>
      <c r="CK136" s="464" t="n"/>
      <c r="CL136" s="212" t="n"/>
      <c r="CM136" s="212" t="n"/>
      <c r="CN136" s="212" t="n"/>
      <c r="CO136" s="212" t="n"/>
      <c r="CP136" s="212" t="n"/>
      <c r="CQ136" s="212" t="n"/>
      <c r="CR136" s="212" t="n"/>
      <c r="CS136" s="212" t="n"/>
      <c r="CT136" s="212" t="n"/>
      <c r="CU136" s="212" t="n"/>
      <c r="CV136" s="212" t="n"/>
      <c r="CW136" s="212" t="n"/>
      <c r="CZ136" s="212" t="n"/>
      <c r="DA136" s="212" t="n"/>
      <c r="DB136" s="212" t="n"/>
      <c r="DC136" s="212" t="n"/>
      <c r="DD136" s="212" t="n"/>
      <c r="DE136" s="212" t="n"/>
      <c r="DF136" s="212" t="n"/>
      <c r="DG136" s="212" t="n"/>
      <c r="DH136" s="212" t="n"/>
      <c r="DI136" s="212" t="n"/>
      <c r="DJ136" s="212" t="n"/>
      <c r="DK136" s="212" t="n"/>
      <c r="DL136" s="212" t="n"/>
      <c r="DM136" s="212" t="n"/>
      <c r="DN136" s="212" t="n"/>
      <c r="DO136" s="212" t="n"/>
      <c r="DP136" s="212" t="n"/>
      <c r="DQ136" s="212" t="n"/>
      <c r="DR136" s="212" t="n"/>
      <c r="DS136" s="212" t="n"/>
      <c r="DT136" s="212" t="n"/>
      <c r="DU136" s="212" t="n"/>
      <c r="DV136" s="212" t="n"/>
    </row>
    <row r="137">
      <c r="CK137" s="464" t="n"/>
    </row>
    <row r="138">
      <c r="BR138" s="468" t="n"/>
      <c r="BS138" s="468" t="n"/>
      <c r="BT138" s="468" t="n"/>
      <c r="BU138" s="468" t="n"/>
      <c r="BV138" s="468" t="n"/>
      <c r="BW138" s="468" t="n"/>
      <c r="BX138" s="468" t="n"/>
      <c r="BY138" s="468" t="n"/>
      <c r="BZ138" s="468" t="n"/>
      <c r="CA138" s="468" t="n"/>
      <c r="CB138" s="468" t="n"/>
      <c r="CC138" s="468" t="n"/>
      <c r="CD138" s="468" t="n"/>
      <c r="CE138" s="468" t="n"/>
      <c r="CF138" s="468" t="n"/>
      <c r="CG138" s="468" t="n"/>
      <c r="CH138" s="468" t="n"/>
      <c r="CI138" s="468" t="n"/>
      <c r="CJ138" s="468" t="n"/>
      <c r="CK138" s="451" t="n"/>
    </row>
    <row r="139"/>
    <row r="140">
      <c r="BR140" s="461" t="inlineStr">
        <is>
          <t>APPLIED TECHNICAL SERVICES 
1325-B Cavalier Boulevard               Chesapeake, Virginia 23323                (757) 558-0016 Fax (757) 558-0063
www.atslab.com</t>
        </is>
      </c>
      <c r="BS140" s="458" t="n"/>
      <c r="BT140" s="458" t="n"/>
      <c r="BU140" s="458" t="n"/>
      <c r="BV140" s="458" t="n"/>
      <c r="BW140" s="458" t="n"/>
      <c r="BX140" s="458" t="n"/>
      <c r="BY140" s="458" t="n"/>
      <c r="BZ140" s="458" t="n"/>
      <c r="CA140" s="458" t="n"/>
      <c r="CB140" s="458" t="n"/>
      <c r="CC140" s="458" t="n"/>
      <c r="CD140" s="458" t="n"/>
      <c r="CE140" s="458" t="n"/>
      <c r="CF140" s="458" t="n"/>
      <c r="CG140" s="458" t="n"/>
      <c r="CH140" s="458" t="n"/>
      <c r="CI140" s="458" t="n"/>
      <c r="CJ140" s="458" t="n"/>
      <c r="CK140" s="446" t="n"/>
    </row>
    <row r="141">
      <c r="CK141" s="464" t="n"/>
    </row>
    <row r="142">
      <c r="CK142" s="464" t="n"/>
    </row>
    <row r="143">
      <c r="BR143" s="468" t="n"/>
      <c r="BS143" s="468" t="n"/>
      <c r="BT143" s="468" t="n"/>
      <c r="BU143" s="468" t="n"/>
      <c r="BV143" s="468" t="n"/>
      <c r="BW143" s="468" t="n"/>
      <c r="BX143" s="468" t="n"/>
      <c r="BY143" s="468" t="n"/>
      <c r="BZ143" s="468" t="n"/>
      <c r="CA143" s="468" t="n"/>
      <c r="CB143" s="468" t="n"/>
      <c r="CC143" s="468" t="n"/>
      <c r="CD143" s="468" t="n"/>
      <c r="CE143" s="468" t="n"/>
      <c r="CF143" s="468" t="n"/>
      <c r="CG143" s="468" t="n"/>
      <c r="CH143" s="468" t="n"/>
      <c r="CI143" s="468" t="n"/>
      <c r="CJ143" s="468" t="n"/>
      <c r="CK143" s="451" t="n"/>
    </row>
    <row r="144"/>
    <row r="145">
      <c r="BR145" s="461" t="inlineStr">
        <is>
          <t>APPLIED TECHNICAL SERVICES 
2312 Commerce Ctr. Dr., Suite A                           Rockville, Virginia 23146                          (804) 550-7610 Fax (804) 550-7611                           www.atslab.com</t>
        </is>
      </c>
      <c r="BS145" s="458" t="n"/>
      <c r="BT145" s="458" t="n"/>
      <c r="BU145" s="458" t="n"/>
      <c r="BV145" s="458" t="n"/>
      <c r="BW145" s="458" t="n"/>
      <c r="BX145" s="458" t="n"/>
      <c r="BY145" s="458" t="n"/>
      <c r="BZ145" s="458" t="n"/>
      <c r="CA145" s="458" t="n"/>
      <c r="CB145" s="458" t="n"/>
      <c r="CC145" s="458" t="n"/>
      <c r="CD145" s="458" t="n"/>
      <c r="CE145" s="458" t="n"/>
      <c r="CF145" s="458" t="n"/>
      <c r="CG145" s="458" t="n"/>
      <c r="CH145" s="458" t="n"/>
      <c r="CI145" s="458" t="n"/>
      <c r="CJ145" s="458" t="n"/>
      <c r="CK145" s="446" t="n"/>
    </row>
    <row r="146">
      <c r="CK146" s="464" t="n"/>
    </row>
    <row r="147">
      <c r="CK147" s="464" t="n"/>
    </row>
    <row r="148">
      <c r="BR148" s="468" t="n"/>
      <c r="BS148" s="468" t="n"/>
      <c r="BT148" s="468" t="n"/>
      <c r="BU148" s="468" t="n"/>
      <c r="BV148" s="468" t="n"/>
      <c r="BW148" s="468" t="n"/>
      <c r="BX148" s="468" t="n"/>
      <c r="BY148" s="468" t="n"/>
      <c r="BZ148" s="468" t="n"/>
      <c r="CA148" s="468" t="n"/>
      <c r="CB148" s="468" t="n"/>
      <c r="CC148" s="468" t="n"/>
      <c r="CD148" s="468" t="n"/>
      <c r="CE148" s="468" t="n"/>
      <c r="CF148" s="468" t="n"/>
      <c r="CG148" s="468" t="n"/>
      <c r="CH148" s="468" t="n"/>
      <c r="CI148" s="468" t="n"/>
      <c r="CJ148" s="468" t="n"/>
      <c r="CK148" s="451" t="n"/>
    </row>
  </sheetData>
  <mergeCells count="2587">
    <mergeCell ref="BG46:BG48"/>
    <mergeCell ref="BF106:BF108"/>
    <mergeCell ref="K70:K72"/>
    <mergeCell ref="R91:R93"/>
    <mergeCell ref="AG7:AG9"/>
    <mergeCell ref="BC97:BC99"/>
    <mergeCell ref="AB82:AB84"/>
    <mergeCell ref="AQ4:AQ6"/>
    <mergeCell ref="BT100:BT102"/>
    <mergeCell ref="D25:D27"/>
    <mergeCell ref="Z19:Z21"/>
    <mergeCell ref="AT67:AT69"/>
    <mergeCell ref="G88:G90"/>
    <mergeCell ref="AQ31:AQ33"/>
    <mergeCell ref="BK79:BK81"/>
    <mergeCell ref="BI106:BI108"/>
    <mergeCell ref="AI73:AI75"/>
    <mergeCell ref="AF34:AF36"/>
    <mergeCell ref="BS7:BS9"/>
    <mergeCell ref="AF28:AF30"/>
    <mergeCell ref="C2:DP2"/>
    <mergeCell ref="BT103:BT105"/>
    <mergeCell ref="AS88:AS90"/>
    <mergeCell ref="AX22:AX24"/>
    <mergeCell ref="W34:W36"/>
    <mergeCell ref="BJ100:BJ102"/>
    <mergeCell ref="AG25:AG27"/>
    <mergeCell ref="AJ67:AJ69"/>
    <mergeCell ref="P46:P48"/>
    <mergeCell ref="X103:X105"/>
    <mergeCell ref="BK76:BK78"/>
    <mergeCell ref="P40:P42"/>
    <mergeCell ref="X97:X99"/>
    <mergeCell ref="Z37:Z39"/>
    <mergeCell ref="BR28:BR30"/>
    <mergeCell ref="O103:O105"/>
    <mergeCell ref="BI34:BI36"/>
    <mergeCell ref="BQ91:BQ93"/>
    <mergeCell ref="Y94:Y96"/>
    <mergeCell ref="AQ52:AQ54"/>
    <mergeCell ref="W31:W33"/>
    <mergeCell ref="AW131:CK131"/>
    <mergeCell ref="R106:R108"/>
    <mergeCell ref="BA49:BA51"/>
    <mergeCell ref="BJ97:BJ99"/>
    <mergeCell ref="AG28:AG30"/>
    <mergeCell ref="AI109:AI111"/>
    <mergeCell ref="AN43:AN45"/>
    <mergeCell ref="AJ64:AJ66"/>
    <mergeCell ref="P43:P45"/>
    <mergeCell ref="N10:N12"/>
    <mergeCell ref="AT82:AT84"/>
    <mergeCell ref="AG55:AG57"/>
    <mergeCell ref="BA103:BA105"/>
    <mergeCell ref="BK94:BK96"/>
    <mergeCell ref="G22:G24"/>
    <mergeCell ref="AK61:AK63"/>
    <mergeCell ref="BI31:BI33"/>
    <mergeCell ref="AH16:AH18"/>
    <mergeCell ref="AP100:AP102"/>
    <mergeCell ref="P76:P78"/>
    <mergeCell ref="AZ10:AZ12"/>
    <mergeCell ref="AG79:AG81"/>
    <mergeCell ref="M58:M60"/>
    <mergeCell ref="AQ70:AQ72"/>
    <mergeCell ref="W49:W51"/>
    <mergeCell ref="BO46:BO48"/>
    <mergeCell ref="BO40:BO42"/>
    <mergeCell ref="Z91:Z93"/>
    <mergeCell ref="BM64:BM66"/>
    <mergeCell ref="Z85:Z87"/>
    <mergeCell ref="AO7:AO9"/>
    <mergeCell ref="AJ82:AJ84"/>
    <mergeCell ref="BF19:BF21"/>
    <mergeCell ref="BF46:BF48"/>
    <mergeCell ref="BB67:BB69"/>
    <mergeCell ref="BP37:BP39"/>
    <mergeCell ref="O88:O90"/>
    <mergeCell ref="AA88:AA90"/>
    <mergeCell ref="BS79:BS81"/>
    <mergeCell ref="AY58:AY60"/>
    <mergeCell ref="AY52:AY54"/>
    <mergeCell ref="BI49:BI51"/>
    <mergeCell ref="BT55:BT57"/>
    <mergeCell ref="Y19:Y21"/>
    <mergeCell ref="F97:F99"/>
    <mergeCell ref="AP31:AP33"/>
    <mergeCell ref="AL52:AL54"/>
    <mergeCell ref="BH106:BH108"/>
    <mergeCell ref="AH79:AH81"/>
    <mergeCell ref="AE34:AE36"/>
    <mergeCell ref="K13:K15"/>
    <mergeCell ref="A41:A42"/>
    <mergeCell ref="AO25:AO27"/>
    <mergeCell ref="AA85:AA87"/>
    <mergeCell ref="BK19:BK21"/>
    <mergeCell ref="BS76:BS78"/>
    <mergeCell ref="BL109:BL111"/>
    <mergeCell ref="X40:X42"/>
    <mergeCell ref="AW22:AW24"/>
    <mergeCell ref="E109:E111"/>
    <mergeCell ref="BI100:BI102"/>
    <mergeCell ref="BJ55:BJ57"/>
    <mergeCell ref="O19:O21"/>
    <mergeCell ref="AI67:AI69"/>
    <mergeCell ref="W103:W105"/>
    <mergeCell ref="BT73:BT75"/>
    <mergeCell ref="BQ34:BQ36"/>
    <mergeCell ref="AG94:AG96"/>
    <mergeCell ref="BQ28:BQ30"/>
    <mergeCell ref="G61:G63"/>
    <mergeCell ref="BR10:BR12"/>
    <mergeCell ref="BJ40:BJ42"/>
    <mergeCell ref="BH7:BH9"/>
    <mergeCell ref="AQ109:AQ111"/>
    <mergeCell ref="D52:D54"/>
    <mergeCell ref="AV43:AV45"/>
    <mergeCell ref="BP91:BP93"/>
    <mergeCell ref="V10:V12"/>
    <mergeCell ref="AM13:AM15"/>
    <mergeCell ref="BI103:BI105"/>
    <mergeCell ref="AH88:AH90"/>
    <mergeCell ref="N67:N69"/>
    <mergeCell ref="BI97:BI99"/>
    <mergeCell ref="AW4:AW6"/>
    <mergeCell ref="BS94:BS96"/>
    <mergeCell ref="H49:H51"/>
    <mergeCell ref="H85:H87"/>
    <mergeCell ref="F109:F111"/>
    <mergeCell ref="AZ76:AZ78"/>
    <mergeCell ref="AF55:AF57"/>
    <mergeCell ref="A98:A99"/>
    <mergeCell ref="F22:F24"/>
    <mergeCell ref="AO79:AO81"/>
    <mergeCell ref="U58:U60"/>
    <mergeCell ref="AO73:AO75"/>
    <mergeCell ref="AE49:AE51"/>
    <mergeCell ref="O76:O78"/>
    <mergeCell ref="AY10:AY12"/>
    <mergeCell ref="L31:L33"/>
    <mergeCell ref="BN46:BN48"/>
    <mergeCell ref="AR22:AR24"/>
    <mergeCell ref="E43:E45"/>
    <mergeCell ref="Y91:Y93"/>
    <mergeCell ref="V46:V48"/>
    <mergeCell ref="AI82:AI84"/>
    <mergeCell ref="AP103:AP105"/>
    <mergeCell ref="BH64:BH66"/>
    <mergeCell ref="AF37:AF39"/>
    <mergeCell ref="BA40:BA42"/>
    <mergeCell ref="F4:F6"/>
    <mergeCell ref="BA76:BA78"/>
    <mergeCell ref="F40:F42"/>
    <mergeCell ref="N97:N99"/>
    <mergeCell ref="BR79:BR81"/>
    <mergeCell ref="AX31:AX33"/>
    <mergeCell ref="AE100:AE102"/>
    <mergeCell ref="E67:E69"/>
    <mergeCell ref="BK91:BK93"/>
    <mergeCell ref="V79:V81"/>
    <mergeCell ref="AM28:AM30"/>
    <mergeCell ref="AM64:AM66"/>
    <mergeCell ref="M31:M33"/>
    <mergeCell ref="AD34:AD36"/>
    <mergeCell ref="Y109:Y111"/>
    <mergeCell ref="BQ100:BQ102"/>
    <mergeCell ref="AN25:AN27"/>
    <mergeCell ref="AQ67:AQ69"/>
    <mergeCell ref="W46:W48"/>
    <mergeCell ref="AE103:AE105"/>
    <mergeCell ref="AQ61:AQ63"/>
    <mergeCell ref="AG37:AG39"/>
    <mergeCell ref="AN58:AN60"/>
    <mergeCell ref="BI55:BI57"/>
    <mergeCell ref="N19:N21"/>
    <mergeCell ref="V103:V105"/>
    <mergeCell ref="AF100:AF102"/>
    <mergeCell ref="BP34:BP36"/>
    <mergeCell ref="AF94:AF96"/>
    <mergeCell ref="F61:F63"/>
    <mergeCell ref="Y106:Y108"/>
    <mergeCell ref="BI40:BI42"/>
    <mergeCell ref="BG13:BG15"/>
    <mergeCell ref="W73:W75"/>
    <mergeCell ref="T34:T36"/>
    <mergeCell ref="BO64:BO66"/>
    <mergeCell ref="AU43:AU45"/>
    <mergeCell ref="U10:U12"/>
    <mergeCell ref="P85:P87"/>
    <mergeCell ref="BH103:BH105"/>
    <mergeCell ref="M67:M69"/>
    <mergeCell ref="AG88:AG90"/>
    <mergeCell ref="AL22:AL24"/>
    <mergeCell ref="BR94:BR96"/>
    <mergeCell ref="AR61:AR63"/>
    <mergeCell ref="E82:E84"/>
    <mergeCell ref="AO16:AO18"/>
    <mergeCell ref="L103:L105"/>
    <mergeCell ref="BI73:BI75"/>
    <mergeCell ref="AL13:AL15"/>
    <mergeCell ref="V94:V96"/>
    <mergeCell ref="BF28:BF30"/>
    <mergeCell ref="BG10:BG12"/>
    <mergeCell ref="AN79:AN81"/>
    <mergeCell ref="T58:T60"/>
    <mergeCell ref="AX70:AX72"/>
    <mergeCell ref="AD49:AD51"/>
    <mergeCell ref="BE91:BE93"/>
    <mergeCell ref="D16:D18"/>
    <mergeCell ref="AX103:AX105"/>
    <mergeCell ref="U28:U30"/>
    <mergeCell ref="AX97:AX99"/>
    <mergeCell ref="BM19:BM21"/>
    <mergeCell ref="X64:X66"/>
    <mergeCell ref="D43:D45"/>
    <mergeCell ref="BF58:BF60"/>
    <mergeCell ref="Q46:Q48"/>
    <mergeCell ref="AY94:AY96"/>
    <mergeCell ref="BQ52:BQ54"/>
    <mergeCell ref="M97:M99"/>
    <mergeCell ref="J58:J60"/>
    <mergeCell ref="AW31:AW33"/>
    <mergeCell ref="J52:J54"/>
    <mergeCell ref="BG28:BG30"/>
    <mergeCell ref="M129:AF129"/>
    <mergeCell ref="T49:T51"/>
    <mergeCell ref="AE55:AE57"/>
    <mergeCell ref="AN10:AN12"/>
    <mergeCell ref="AL34:AL36"/>
    <mergeCell ref="AV25:AV27"/>
    <mergeCell ref="BF85:BF87"/>
    <mergeCell ref="BC46:BC48"/>
    <mergeCell ref="S106:S108"/>
    <mergeCell ref="G70:G72"/>
    <mergeCell ref="AC13:AC15"/>
    <mergeCell ref="A17:A18"/>
    <mergeCell ref="AC7:AC9"/>
    <mergeCell ref="AY97:AY99"/>
    <mergeCell ref="D61:D63"/>
    <mergeCell ref="BP100:BP102"/>
    <mergeCell ref="BQ55:BQ57"/>
    <mergeCell ref="V19:V21"/>
    <mergeCell ref="AP67:AP69"/>
    <mergeCell ref="C88:C90"/>
    <mergeCell ref="BG79:BG81"/>
    <mergeCell ref="AN94:AN96"/>
    <mergeCell ref="AM58:AM60"/>
    <mergeCell ref="AW49:AW51"/>
    <mergeCell ref="BE106:BE108"/>
    <mergeCell ref="BH55:BH57"/>
    <mergeCell ref="U76:U78"/>
    <mergeCell ref="W16:W18"/>
    <mergeCell ref="AE73:AE75"/>
    <mergeCell ref="K52:K54"/>
    <mergeCell ref="BO7:BO9"/>
    <mergeCell ref="BR135:CK138"/>
    <mergeCell ref="A107:A108"/>
    <mergeCell ref="AO88:AO90"/>
    <mergeCell ref="S34:S36"/>
    <mergeCell ref="BD4:BD6"/>
    <mergeCell ref="BD40:BD42"/>
    <mergeCell ref="AC25:AC27"/>
    <mergeCell ref="I4:I6"/>
    <mergeCell ref="O85:O87"/>
    <mergeCell ref="L46:L48"/>
    <mergeCell ref="BG76:BG78"/>
    <mergeCell ref="AM55:AM57"/>
    <mergeCell ref="L40:L42"/>
    <mergeCell ref="AD7:AD9"/>
    <mergeCell ref="V37:V39"/>
    <mergeCell ref="AX55:AX57"/>
    <mergeCell ref="D82:D84"/>
    <mergeCell ref="K103:K105"/>
    <mergeCell ref="BE34:BE36"/>
    <mergeCell ref="AK13:AK15"/>
    <mergeCell ref="U94:U96"/>
    <mergeCell ref="A3:B3"/>
    <mergeCell ref="BF10:BF12"/>
    <mergeCell ref="S31:S33"/>
    <mergeCell ref="AM79:AM81"/>
    <mergeCell ref="N106:N108"/>
    <mergeCell ref="AE109:AE111"/>
    <mergeCell ref="AW70:AW72"/>
    <mergeCell ref="AJ43:AJ45"/>
    <mergeCell ref="J10:J12"/>
    <mergeCell ref="AP82:AP84"/>
    <mergeCell ref="AC55:AC57"/>
    <mergeCell ref="AW103:AW105"/>
    <mergeCell ref="BL19:BL21"/>
    <mergeCell ref="BG94:BG96"/>
    <mergeCell ref="W64:W66"/>
    <mergeCell ref="AG61:AG63"/>
    <mergeCell ref="M40:M42"/>
    <mergeCell ref="U97:U99"/>
    <mergeCell ref="BE31:BE33"/>
    <mergeCell ref="AL100:AL102"/>
    <mergeCell ref="AV10:AV12"/>
    <mergeCell ref="AC79:AC81"/>
    <mergeCell ref="I58:I60"/>
    <mergeCell ref="BM13:BM15"/>
    <mergeCell ref="BN85:BN87"/>
    <mergeCell ref="AM70:AM72"/>
    <mergeCell ref="S49:S51"/>
    <mergeCell ref="C76:C78"/>
    <mergeCell ref="AF109:AF111"/>
    <mergeCell ref="AU25:AU27"/>
    <mergeCell ref="BB46:BB48"/>
    <mergeCell ref="AX67:AX69"/>
    <mergeCell ref="BL37:BL39"/>
    <mergeCell ref="M91:M93"/>
    <mergeCell ref="W88:W90"/>
    <mergeCell ref="BO79:BO81"/>
    <mergeCell ref="AU58:AU60"/>
    <mergeCell ref="AL4:AL6"/>
    <mergeCell ref="BO73:BO75"/>
    <mergeCell ref="BE49:BE51"/>
    <mergeCell ref="CL130:DZ130"/>
    <mergeCell ref="BP55:BP57"/>
    <mergeCell ref="U19:U21"/>
    <mergeCell ref="AO76:AO78"/>
    <mergeCell ref="BD106:BD108"/>
    <mergeCell ref="AR70:AR72"/>
    <mergeCell ref="BN13:BN15"/>
    <mergeCell ref="AD73:AD75"/>
    <mergeCell ref="AA34:AA36"/>
    <mergeCell ref="G13:G15"/>
    <mergeCell ref="BN7:BN9"/>
    <mergeCell ref="AK25:AK27"/>
    <mergeCell ref="AQ106:AQ108"/>
    <mergeCell ref="BG19:BG21"/>
    <mergeCell ref="BH109:BH111"/>
    <mergeCell ref="AN88:AN90"/>
    <mergeCell ref="T40:T42"/>
    <mergeCell ref="AS22:AS24"/>
    <mergeCell ref="AE67:AE69"/>
    <mergeCell ref="K46:K48"/>
    <mergeCell ref="S103:S105"/>
    <mergeCell ref="BF76:BF78"/>
    <mergeCell ref="BP73:BP75"/>
    <mergeCell ref="U37:U39"/>
    <mergeCell ref="BM34:BM36"/>
    <mergeCell ref="AC94:AC96"/>
    <mergeCell ref="BM28:BM30"/>
    <mergeCell ref="BN10:BN12"/>
    <mergeCell ref="C61:C63"/>
    <mergeCell ref="AA31:AA33"/>
    <mergeCell ref="AM31:AM33"/>
    <mergeCell ref="T100:T102"/>
    <mergeCell ref="BD34:BD36"/>
    <mergeCell ref="BL91:BL93"/>
    <mergeCell ref="BN25:BN27"/>
    <mergeCell ref="BE103:BE105"/>
    <mergeCell ref="M106:M108"/>
    <mergeCell ref="AV49:AV51"/>
    <mergeCell ref="BE97:BE99"/>
    <mergeCell ref="AB28:AB30"/>
    <mergeCell ref="BO94:BO96"/>
    <mergeCell ref="I10:I12"/>
    <mergeCell ref="AB55:AB57"/>
    <mergeCell ref="AV103:AV105"/>
    <mergeCell ref="BF100:BF102"/>
    <mergeCell ref="BF94:BF96"/>
    <mergeCell ref="AF61:AF63"/>
    <mergeCell ref="T97:T99"/>
    <mergeCell ref="Q58:Q60"/>
    <mergeCell ref="BD31:BD33"/>
    <mergeCell ref="AC16:AC18"/>
    <mergeCell ref="AA49:AA51"/>
    <mergeCell ref="BQ64:BQ66"/>
    <mergeCell ref="K76:K78"/>
    <mergeCell ref="AU10:AU12"/>
    <mergeCell ref="H31:H33"/>
    <mergeCell ref="H58:H60"/>
    <mergeCell ref="AL70:AL72"/>
    <mergeCell ref="R49:R51"/>
    <mergeCell ref="BJ46:BJ48"/>
    <mergeCell ref="BT37:BT39"/>
    <mergeCell ref="U91:U93"/>
    <mergeCell ref="AJ13:AJ15"/>
    <mergeCell ref="BR61:BR63"/>
    <mergeCell ref="AJ7:AJ9"/>
    <mergeCell ref="AE82:AE84"/>
    <mergeCell ref="AT4:AT6"/>
    <mergeCell ref="A59:A60"/>
    <mergeCell ref="BD64:BD66"/>
    <mergeCell ref="I28:I30"/>
    <mergeCell ref="Q85:Q87"/>
    <mergeCell ref="AC19:AC21"/>
    <mergeCell ref="AT31:AT33"/>
    <mergeCell ref="BN79:BN81"/>
    <mergeCell ref="AT58:AT60"/>
    <mergeCell ref="BD49:BD51"/>
    <mergeCell ref="BR145:CK148"/>
    <mergeCell ref="AD16:AD18"/>
    <mergeCell ref="AL73:AL75"/>
    <mergeCell ref="C1:DP1"/>
    <mergeCell ref="A56:A57"/>
    <mergeCell ref="I31:I33"/>
    <mergeCell ref="Z34:Z36"/>
    <mergeCell ref="AJ25:AJ27"/>
    <mergeCell ref="V85:V87"/>
    <mergeCell ref="S46:S48"/>
    <mergeCell ref="AC37:AC39"/>
    <mergeCell ref="AM97:AM99"/>
    <mergeCell ref="BB19:BB21"/>
    <mergeCell ref="BE55:BE57"/>
    <mergeCell ref="R103:R105"/>
    <mergeCell ref="AB100:AB102"/>
    <mergeCell ref="BL34:BL36"/>
    <mergeCell ref="CL128:DZ128"/>
    <mergeCell ref="AB94:AB96"/>
    <mergeCell ref="U106:U108"/>
    <mergeCell ref="S73:S75"/>
    <mergeCell ref="BC7:BC9"/>
    <mergeCell ref="AQ43:AQ45"/>
    <mergeCell ref="Q10:Q12"/>
    <mergeCell ref="L85:L87"/>
    <mergeCell ref="BD103:BD105"/>
    <mergeCell ref="I67:I69"/>
    <mergeCell ref="H70:H72"/>
    <mergeCell ref="BN94:BN96"/>
    <mergeCell ref="AR40:AR42"/>
    <mergeCell ref="AN61:AN63"/>
    <mergeCell ref="AK16:AK18"/>
    <mergeCell ref="AA55:AA57"/>
    <mergeCell ref="BE73:BE75"/>
    <mergeCell ref="AK52:AK54"/>
    <mergeCell ref="BC10:BC12"/>
    <mergeCell ref="AJ79:AJ81"/>
    <mergeCell ref="P58:P60"/>
    <mergeCell ref="BT13:BT15"/>
    <mergeCell ref="AT70:AT72"/>
    <mergeCell ref="Z49:Z51"/>
    <mergeCell ref="BK109:BK111"/>
    <mergeCell ref="J76:J78"/>
    <mergeCell ref="BD7:BD9"/>
    <mergeCell ref="AM109:AM111"/>
    <mergeCell ref="BL64:BL66"/>
    <mergeCell ref="AR43:AR45"/>
    <mergeCell ref="Q28:Q30"/>
    <mergeCell ref="BI46:BI48"/>
    <mergeCell ref="BS37:BS39"/>
    <mergeCell ref="T91:T93"/>
    <mergeCell ref="AI13:AI15"/>
    <mergeCell ref="AD88:AD90"/>
    <mergeCell ref="AD82:AD84"/>
    <mergeCell ref="BB58:BB60"/>
    <mergeCell ref="AS4:AS6"/>
    <mergeCell ref="AV76:AV78"/>
    <mergeCell ref="I97:I99"/>
    <mergeCell ref="AS31:AS33"/>
    <mergeCell ref="AK73:AK75"/>
    <mergeCell ref="AH34:AH36"/>
    <mergeCell ref="AR25:AR27"/>
    <mergeCell ref="BB85:BB87"/>
    <mergeCell ref="AH64:AH66"/>
    <mergeCell ref="G49:G51"/>
    <mergeCell ref="C70:C72"/>
    <mergeCell ref="Y13:Y15"/>
    <mergeCell ref="AZ22:AZ24"/>
    <mergeCell ref="Y7:Y9"/>
    <mergeCell ref="AU97:AU99"/>
    <mergeCell ref="BL100:BL102"/>
    <mergeCell ref="M130:AF130"/>
    <mergeCell ref="AL67:AL69"/>
    <mergeCell ref="R46:R48"/>
    <mergeCell ref="Z103:Z105"/>
    <mergeCell ref="AB37:AB39"/>
    <mergeCell ref="AJ94:AJ96"/>
    <mergeCell ref="AI58:AI60"/>
    <mergeCell ref="BT28:BT30"/>
    <mergeCell ref="AH61:AH63"/>
    <mergeCell ref="Z4:Z6"/>
    <mergeCell ref="BD55:BD57"/>
    <mergeCell ref="Q76:Q78"/>
    <mergeCell ref="S16:S18"/>
    <mergeCell ref="A86:A87"/>
    <mergeCell ref="BK7:BK9"/>
    <mergeCell ref="G52:G54"/>
    <mergeCell ref="AA100:AA102"/>
    <mergeCell ref="BK34:BK36"/>
    <mergeCell ref="BS91:BS93"/>
    <mergeCell ref="BD46:BD48"/>
    <mergeCell ref="T106:T108"/>
    <mergeCell ref="BB13:BB15"/>
    <mergeCell ref="O34:O36"/>
    <mergeCell ref="BT61:BT63"/>
    <mergeCell ref="AZ40:AZ42"/>
    <mergeCell ref="BT88:BT90"/>
    <mergeCell ref="E4:E6"/>
    <mergeCell ref="P10:P12"/>
    <mergeCell ref="K85:K87"/>
    <mergeCell ref="Z7:Z9"/>
    <mergeCell ref="BC103:BC105"/>
    <mergeCell ref="BM100:BM102"/>
    <mergeCell ref="BM94:BM96"/>
    <mergeCell ref="I22:I24"/>
    <mergeCell ref="AM61:AM63"/>
    <mergeCell ref="G103:G105"/>
    <mergeCell ref="BD73:BD75"/>
    <mergeCell ref="BA34:BA36"/>
    <mergeCell ref="AG13:AG15"/>
    <mergeCell ref="Q94:Q96"/>
    <mergeCell ref="BS109:BS111"/>
    <mergeCell ref="R76:R78"/>
    <mergeCell ref="BB10:BB12"/>
    <mergeCell ref="O31:O33"/>
    <mergeCell ref="AI79:AI81"/>
    <mergeCell ref="BS22:BS24"/>
    <mergeCell ref="H100:H102"/>
    <mergeCell ref="AS70:AS72"/>
    <mergeCell ref="Y49:Y51"/>
    <mergeCell ref="AL82:AL84"/>
    <mergeCell ref="AS103:AS105"/>
    <mergeCell ref="BK64:BK66"/>
    <mergeCell ref="P28:P30"/>
    <mergeCell ref="BH19:BH21"/>
    <mergeCell ref="BC94:BC96"/>
    <mergeCell ref="S64:S66"/>
    <mergeCell ref="A71:A72"/>
    <mergeCell ref="AC61:AC63"/>
    <mergeCell ref="I40:I42"/>
    <mergeCell ref="BA31:BA33"/>
    <mergeCell ref="BA58:BA60"/>
    <mergeCell ref="H67:H69"/>
    <mergeCell ref="H103:H105"/>
    <mergeCell ref="H97:H99"/>
    <mergeCell ref="E58:E60"/>
    <mergeCell ref="R94:R96"/>
    <mergeCell ref="BB28:BB30"/>
    <mergeCell ref="BJ85:BJ87"/>
    <mergeCell ref="O49:O51"/>
    <mergeCell ref="Z55:Z57"/>
    <mergeCell ref="AG34:AG36"/>
    <mergeCell ref="AB109:AB111"/>
    <mergeCell ref="BA91:BA93"/>
    <mergeCell ref="AQ25:AQ27"/>
    <mergeCell ref="AX46:AX48"/>
    <mergeCell ref="BH37:BH39"/>
    <mergeCell ref="X13:X15"/>
    <mergeCell ref="AT97:AT99"/>
    <mergeCell ref="AQ58:AQ60"/>
    <mergeCell ref="AH4:AH6"/>
    <mergeCell ref="T64:T66"/>
    <mergeCell ref="BL55:BL57"/>
    <mergeCell ref="Q19:Q21"/>
    <mergeCell ref="AK76:AK78"/>
    <mergeCell ref="C22:C24"/>
    <mergeCell ref="BS34:BS36"/>
    <mergeCell ref="AI94:AI96"/>
    <mergeCell ref="AR49:AR51"/>
    <mergeCell ref="AZ106:AZ108"/>
    <mergeCell ref="BJ13:BJ15"/>
    <mergeCell ref="Z73:Z75"/>
    <mergeCell ref="F52:F54"/>
    <mergeCell ref="BJ7:BJ9"/>
    <mergeCell ref="AX43:AX45"/>
    <mergeCell ref="BT4:BT6"/>
    <mergeCell ref="X10:X12"/>
    <mergeCell ref="AJ88:AJ90"/>
    <mergeCell ref="AO22:AO24"/>
    <mergeCell ref="AY46:AY48"/>
    <mergeCell ref="BS61:BS63"/>
    <mergeCell ref="AY40:AY42"/>
    <mergeCell ref="A26:A27"/>
    <mergeCell ref="H82:H84"/>
    <mergeCell ref="BB76:BB78"/>
    <mergeCell ref="T82:T84"/>
    <mergeCell ref="BL73:BL75"/>
    <mergeCell ref="AR52:AR54"/>
    <mergeCell ref="AS55:AS57"/>
    <mergeCell ref="P100:P102"/>
    <mergeCell ref="BA70:BA72"/>
    <mergeCell ref="AZ34:AZ36"/>
    <mergeCell ref="A23:A24"/>
    <mergeCell ref="BA106:BA108"/>
    <mergeCell ref="BJ25:BJ27"/>
    <mergeCell ref="BR109:BR111"/>
    <mergeCell ref="I106:I108"/>
    <mergeCell ref="X28:X30"/>
    <mergeCell ref="E10:E12"/>
    <mergeCell ref="X55:X57"/>
    <mergeCell ref="AR103:AR105"/>
    <mergeCell ref="BB100:BB102"/>
    <mergeCell ref="BB94:BB96"/>
    <mergeCell ref="BQ16:BQ18"/>
    <mergeCell ref="BC76:BC78"/>
    <mergeCell ref="AB61:AB63"/>
    <mergeCell ref="P97:P99"/>
    <mergeCell ref="AZ31:AZ33"/>
    <mergeCell ref="BQ43:BQ45"/>
    <mergeCell ref="G76:G78"/>
    <mergeCell ref="AQ10:AQ12"/>
    <mergeCell ref="X79:X81"/>
    <mergeCell ref="D58:D60"/>
    <mergeCell ref="BI85:BI87"/>
    <mergeCell ref="AH70:AH72"/>
    <mergeCell ref="N49:N51"/>
    <mergeCell ref="Q91:Q93"/>
    <mergeCell ref="AF13:AF15"/>
    <mergeCell ref="AF7:AF9"/>
    <mergeCell ref="AA82:AA84"/>
    <mergeCell ref="AP4:AP6"/>
    <mergeCell ref="AA109:AA111"/>
    <mergeCell ref="BS100:BS102"/>
    <mergeCell ref="AF43:AF45"/>
    <mergeCell ref="AP25:AP27"/>
    <mergeCell ref="W13:W15"/>
    <mergeCell ref="BJ79:BJ81"/>
    <mergeCell ref="AP58:AP60"/>
    <mergeCell ref="AG4:AG6"/>
    <mergeCell ref="BT70:BT72"/>
    <mergeCell ref="AZ49:AZ51"/>
    <mergeCell ref="Z16:Z18"/>
    <mergeCell ref="AH73:AH75"/>
    <mergeCell ref="BR7:BR9"/>
    <mergeCell ref="L19:L21"/>
    <mergeCell ref="BR43:BR45"/>
    <mergeCell ref="Y79:Y81"/>
    <mergeCell ref="BI13:BI15"/>
    <mergeCell ref="Y73:Y75"/>
    <mergeCell ref="V34:V36"/>
    <mergeCell ref="AI70:AI72"/>
    <mergeCell ref="BS4:BS6"/>
    <mergeCell ref="BG40:BG42"/>
    <mergeCell ref="AF25:AF27"/>
    <mergeCell ref="AL106:AL108"/>
    <mergeCell ref="R85:R87"/>
    <mergeCell ref="O46:O48"/>
    <mergeCell ref="O40:O42"/>
    <mergeCell ref="M13:M15"/>
    <mergeCell ref="AN22:AN24"/>
    <mergeCell ref="AE88:AE90"/>
    <mergeCell ref="F46:F48"/>
    <mergeCell ref="N103:N105"/>
    <mergeCell ref="X100:X102"/>
    <mergeCell ref="BK73:BK75"/>
    <mergeCell ref="BH34:BH36"/>
    <mergeCell ref="X94:X96"/>
    <mergeCell ref="BH28:BH30"/>
    <mergeCell ref="BR25:BR27"/>
    <mergeCell ref="O73:O75"/>
    <mergeCell ref="O100:O102"/>
    <mergeCell ref="BQ88:BQ90"/>
    <mergeCell ref="AW67:AW69"/>
    <mergeCell ref="BQ82:BQ84"/>
    <mergeCell ref="AZ103:AZ105"/>
    <mergeCell ref="H106:H108"/>
    <mergeCell ref="AQ49:AQ51"/>
    <mergeCell ref="W28:W30"/>
    <mergeCell ref="BO19:BO21"/>
    <mergeCell ref="BJ94:BJ96"/>
    <mergeCell ref="BO55:BO57"/>
    <mergeCell ref="AN40:AN42"/>
    <mergeCell ref="AJ61:AJ63"/>
    <mergeCell ref="BH31:BH33"/>
    <mergeCell ref="W55:W57"/>
    <mergeCell ref="AG52:AG54"/>
    <mergeCell ref="BA100:BA102"/>
    <mergeCell ref="BP16:BP18"/>
    <mergeCell ref="BS58:BS60"/>
    <mergeCell ref="O97:O99"/>
    <mergeCell ref="L58:L60"/>
    <mergeCell ref="BI28:BI30"/>
    <mergeCell ref="V49:V51"/>
    <mergeCell ref="BG109:BG111"/>
    <mergeCell ref="F76:F78"/>
    <mergeCell ref="AP10:AP12"/>
    <mergeCell ref="AZ7:AZ9"/>
    <mergeCell ref="M28:M30"/>
    <mergeCell ref="BH91:BH93"/>
    <mergeCell ref="BE46:BE48"/>
    <mergeCell ref="BH85:BH87"/>
    <mergeCell ref="BR82:BR84"/>
    <mergeCell ref="BO37:BO39"/>
    <mergeCell ref="P91:P93"/>
    <mergeCell ref="AE13:AE15"/>
    <mergeCell ref="BA97:BA99"/>
    <mergeCell ref="Z82:Z84"/>
    <mergeCell ref="AO4:AO6"/>
    <mergeCell ref="AY64:AY66"/>
    <mergeCell ref="AA64:AA66"/>
    <mergeCell ref="AR76:AR78"/>
    <mergeCell ref="E97:E99"/>
    <mergeCell ref="BI79:BI81"/>
    <mergeCell ref="AO31:AO33"/>
    <mergeCell ref="BS70:BS72"/>
    <mergeCell ref="BT52:BT54"/>
    <mergeCell ref="BQ13:BQ15"/>
    <mergeCell ref="AG73:AG75"/>
    <mergeCell ref="M52:M54"/>
    <mergeCell ref="BQ7:BQ9"/>
    <mergeCell ref="AX85:AX87"/>
    <mergeCell ref="C49:C51"/>
    <mergeCell ref="D31:D33"/>
    <mergeCell ref="AV22:AV24"/>
    <mergeCell ref="AE25:AE27"/>
    <mergeCell ref="AH67:AH69"/>
    <mergeCell ref="N46:N48"/>
    <mergeCell ref="AH103:AH105"/>
    <mergeCell ref="BS73:BS75"/>
    <mergeCell ref="X37:X39"/>
    <mergeCell ref="AH97:AH99"/>
    <mergeCell ref="AW19:AW21"/>
    <mergeCell ref="V4:V6"/>
    <mergeCell ref="J40:J42"/>
    <mergeCell ref="AZ55:AZ57"/>
    <mergeCell ref="BJ52:BJ54"/>
    <mergeCell ref="C52:C54"/>
    <mergeCell ref="W100:W102"/>
    <mergeCell ref="BG34:BG36"/>
    <mergeCell ref="BQ25:BQ27"/>
    <mergeCell ref="AO58:AO60"/>
    <mergeCell ref="P106:P108"/>
    <mergeCell ref="AE28:AE30"/>
    <mergeCell ref="AY49:AY51"/>
    <mergeCell ref="N73:N75"/>
    <mergeCell ref="AX13:AX15"/>
    <mergeCell ref="B129:L129"/>
    <mergeCell ref="AV40:AV42"/>
    <mergeCell ref="BP88:BP90"/>
    <mergeCell ref="AC109:AC111"/>
    <mergeCell ref="L10:L12"/>
    <mergeCell ref="V7:V9"/>
    <mergeCell ref="AY103:AY105"/>
    <mergeCell ref="B131:L131"/>
    <mergeCell ref="BI94:BI96"/>
    <mergeCell ref="E22:E24"/>
    <mergeCell ref="C106:C108"/>
    <mergeCell ref="AI61:AI63"/>
    <mergeCell ref="AZ73:AZ75"/>
    <mergeCell ref="AF52:AF54"/>
    <mergeCell ref="A89:A90"/>
    <mergeCell ref="BO109:BO111"/>
    <mergeCell ref="F19:F21"/>
    <mergeCell ref="N76:N78"/>
    <mergeCell ref="AX10:AX12"/>
    <mergeCell ref="AE79:AE81"/>
    <mergeCell ref="BO22:BO24"/>
    <mergeCell ref="D100:D102"/>
    <mergeCell ref="AO70:AO72"/>
    <mergeCell ref="U49:U51"/>
    <mergeCell ref="X91:X93"/>
    <mergeCell ref="AH82:AH84"/>
    <mergeCell ref="BG64:BG66"/>
    <mergeCell ref="AM43:AM45"/>
    <mergeCell ref="L28:L30"/>
    <mergeCell ref="M10:M12"/>
    <mergeCell ref="BN37:BN39"/>
    <mergeCell ref="AD13:AD15"/>
    <mergeCell ref="Y88:Y90"/>
    <mergeCell ref="BQ79:BQ81"/>
    <mergeCell ref="Y82:Y84"/>
    <mergeCell ref="AW58:AW60"/>
    <mergeCell ref="AN4:AN6"/>
    <mergeCell ref="K91:K93"/>
    <mergeCell ref="BE16:BE18"/>
    <mergeCell ref="AG16:AG18"/>
    <mergeCell ref="D103:D105"/>
    <mergeCell ref="D97:D99"/>
    <mergeCell ref="AX28:AX30"/>
    <mergeCell ref="AF79:AF81"/>
    <mergeCell ref="BP13:BP15"/>
    <mergeCell ref="AC34:AC36"/>
    <mergeCell ref="X109:X111"/>
    <mergeCell ref="AP70:AP72"/>
    <mergeCell ref="AW91:AW93"/>
    <mergeCell ref="AM25:AM27"/>
    <mergeCell ref="AT46:AT48"/>
    <mergeCell ref="AS106:AS108"/>
    <mergeCell ref="T13:T15"/>
    <mergeCell ref="BO43:BO45"/>
    <mergeCell ref="AU22:AU24"/>
    <mergeCell ref="AP97:AP99"/>
    <mergeCell ref="BE19:BE21"/>
    <mergeCell ref="AD4:AD6"/>
    <mergeCell ref="T43:T45"/>
    <mergeCell ref="P64:P66"/>
    <mergeCell ref="M19:M21"/>
    <mergeCell ref="AG67:AG69"/>
    <mergeCell ref="M55:M57"/>
    <mergeCell ref="BR73:BR75"/>
    <mergeCell ref="W37:W39"/>
    <mergeCell ref="BO34:BO36"/>
    <mergeCell ref="AE94:AE96"/>
    <mergeCell ref="BF13:BF15"/>
    <mergeCell ref="V73:V75"/>
    <mergeCell ref="BF7:BF9"/>
    <mergeCell ref="V100:V102"/>
    <mergeCell ref="BP4:BP6"/>
    <mergeCell ref="BN91:BN93"/>
    <mergeCell ref="T10:T12"/>
    <mergeCell ref="AX49:AX51"/>
    <mergeCell ref="AD28:AD30"/>
    <mergeCell ref="AW13:AW15"/>
    <mergeCell ref="BQ94:BQ96"/>
    <mergeCell ref="BG4:BG6"/>
    <mergeCell ref="BO61:BO63"/>
    <mergeCell ref="AU40:AU42"/>
    <mergeCell ref="F91:F93"/>
    <mergeCell ref="U7:U9"/>
    <mergeCell ref="AX76:AX78"/>
    <mergeCell ref="BH73:BH75"/>
    <mergeCell ref="AN52:AN54"/>
    <mergeCell ref="BH100:BH102"/>
    <mergeCell ref="BH94:BH96"/>
    <mergeCell ref="AY79:AY81"/>
    <mergeCell ref="BP28:BP30"/>
    <mergeCell ref="L100:L102"/>
    <mergeCell ref="AY73:AY75"/>
    <mergeCell ref="AA16:AA18"/>
    <mergeCell ref="AW106:AW108"/>
    <mergeCell ref="BN109:BN111"/>
    <mergeCell ref="M76:M78"/>
    <mergeCell ref="AW10:AW12"/>
    <mergeCell ref="J31:J33"/>
    <mergeCell ref="BG7:BG9"/>
    <mergeCell ref="T28:T30"/>
    <mergeCell ref="BL46:BL48"/>
    <mergeCell ref="AK67:AK69"/>
    <mergeCell ref="AG82:AG84"/>
    <mergeCell ref="K34:K36"/>
    <mergeCell ref="BF64:BF66"/>
    <mergeCell ref="BM16:BM18"/>
    <mergeCell ref="A5:A6"/>
    <mergeCell ref="AY76:AY78"/>
    <mergeCell ref="X61:X63"/>
    <mergeCell ref="D40:D42"/>
    <mergeCell ref="L97:L99"/>
    <mergeCell ref="AV31:AV33"/>
    <mergeCell ref="A32:A33"/>
    <mergeCell ref="J64:J66"/>
    <mergeCell ref="C103:C105"/>
    <mergeCell ref="BQ49:BQ51"/>
    <mergeCell ref="M94:M96"/>
    <mergeCell ref="AW28:AW30"/>
    <mergeCell ref="BE85:BE87"/>
    <mergeCell ref="J49:J51"/>
    <mergeCell ref="AE52:AE54"/>
    <mergeCell ref="K31:K33"/>
    <mergeCell ref="W109:W111"/>
    <mergeCell ref="AB43:AB45"/>
    <mergeCell ref="AV91:AV93"/>
    <mergeCell ref="AL25:AL27"/>
    <mergeCell ref="BF82:BF84"/>
    <mergeCell ref="S13:S15"/>
    <mergeCell ref="AO103:AO105"/>
    <mergeCell ref="AE37:AE39"/>
    <mergeCell ref="AO97:AO99"/>
    <mergeCell ref="AL58:AL60"/>
    <mergeCell ref="BD19:BD21"/>
    <mergeCell ref="AC4:AC6"/>
    <mergeCell ref="O64:O66"/>
    <mergeCell ref="V16:V18"/>
    <mergeCell ref="AD100:AD102"/>
    <mergeCell ref="H19:H21"/>
    <mergeCell ref="U79:U81"/>
    <mergeCell ref="BE13:BE15"/>
    <mergeCell ref="U73:U75"/>
    <mergeCell ref="AE70:AE72"/>
    <mergeCell ref="K49:K51"/>
    <mergeCell ref="BO4:BO6"/>
    <mergeCell ref="BC40:BC42"/>
    <mergeCell ref="R64:R66"/>
    <mergeCell ref="BA64:BA66"/>
    <mergeCell ref="N85:N87"/>
    <mergeCell ref="AJ22:AJ24"/>
    <mergeCell ref="BN67:BN69"/>
    <mergeCell ref="G67:G69"/>
    <mergeCell ref="BG73:BG75"/>
    <mergeCell ref="AM52:AM54"/>
    <mergeCell ref="BR127:CK130"/>
    <mergeCell ref="AS76:AS78"/>
    <mergeCell ref="AD31:AD33"/>
    <mergeCell ref="K100:K102"/>
    <mergeCell ref="AV70:AV72"/>
    <mergeCell ref="BC91:BC93"/>
    <mergeCell ref="AV106:AV108"/>
    <mergeCell ref="AS67:AS69"/>
    <mergeCell ref="AM49:AM51"/>
    <mergeCell ref="S28:S30"/>
    <mergeCell ref="BK55:BK57"/>
    <mergeCell ref="AF88:AF90"/>
    <mergeCell ref="AK22:AK24"/>
    <mergeCell ref="J7:J9"/>
    <mergeCell ref="AW100:AW102"/>
    <mergeCell ref="BL16:BL18"/>
    <mergeCell ref="Y37:Y39"/>
    <mergeCell ref="BO58:BO60"/>
    <mergeCell ref="W61:W63"/>
    <mergeCell ref="BO52:BO54"/>
    <mergeCell ref="K97:K99"/>
    <mergeCell ref="BE28:BE30"/>
    <mergeCell ref="BC109:BC111"/>
    <mergeCell ref="AL10:AL12"/>
    <mergeCell ref="AV7:AV9"/>
    <mergeCell ref="BD91:BD93"/>
    <mergeCell ref="AT25:AT27"/>
    <mergeCell ref="BD85:BD87"/>
    <mergeCell ref="BA46:BA48"/>
    <mergeCell ref="Q106:Q108"/>
    <mergeCell ref="BN82:BN84"/>
    <mergeCell ref="BK37:BK39"/>
    <mergeCell ref="AA13:AA15"/>
    <mergeCell ref="AW97:AW99"/>
    <mergeCell ref="AK4:AK6"/>
    <mergeCell ref="AU64:AU66"/>
    <mergeCell ref="AA43:AA45"/>
    <mergeCell ref="AN76:AN78"/>
    <mergeCell ref="T55:T57"/>
    <mergeCell ref="BE79:BE81"/>
    <mergeCell ref="AK58:AK60"/>
    <mergeCell ref="BO70:BO72"/>
    <mergeCell ref="AU49:AU51"/>
    <mergeCell ref="BP52:BP54"/>
    <mergeCell ref="U16:U18"/>
    <mergeCell ref="AC73:AC75"/>
    <mergeCell ref="I52:I54"/>
    <mergeCell ref="BM7:BM9"/>
    <mergeCell ref="G19:G21"/>
    <mergeCell ref="BM43:BM45"/>
    <mergeCell ref="AM10:AM12"/>
    <mergeCell ref="T79:T81"/>
    <mergeCell ref="BD13:BD15"/>
    <mergeCell ref="Q34:Q36"/>
    <mergeCell ref="AD70:AD72"/>
    <mergeCell ref="BN4:BN6"/>
    <mergeCell ref="BB40:BB42"/>
    <mergeCell ref="AA25:AA27"/>
    <mergeCell ref="AG106:AG108"/>
    <mergeCell ref="M85:M87"/>
    <mergeCell ref="BS52:BS54"/>
    <mergeCell ref="J46:J48"/>
    <mergeCell ref="H13:H15"/>
    <mergeCell ref="AB7:AB9"/>
    <mergeCell ref="T37:T39"/>
    <mergeCell ref="BO100:BO102"/>
    <mergeCell ref="AS19:AS21"/>
    <mergeCell ref="Z88:Z90"/>
    <mergeCell ref="F67:F69"/>
    <mergeCell ref="BF79:BF81"/>
    <mergeCell ref="S100:S102"/>
    <mergeCell ref="BF73:BF75"/>
    <mergeCell ref="BC34:BC36"/>
    <mergeCell ref="S94:S96"/>
    <mergeCell ref="BP70:BP72"/>
    <mergeCell ref="BM25:BM27"/>
    <mergeCell ref="A14:A15"/>
    <mergeCell ref="L106:L108"/>
    <mergeCell ref="AA28:AA30"/>
    <mergeCell ref="J73:J75"/>
    <mergeCell ref="BL88:BL90"/>
    <mergeCell ref="AR67:AR69"/>
    <mergeCell ref="H10:H12"/>
    <mergeCell ref="R7:R9"/>
    <mergeCell ref="R34:R36"/>
    <mergeCell ref="AU103:AU105"/>
    <mergeCell ref="AL49:AL51"/>
    <mergeCell ref="R28:R30"/>
    <mergeCell ref="AB25:AB27"/>
    <mergeCell ref="BE94:BE96"/>
    <mergeCell ref="BT16:BT18"/>
    <mergeCell ref="AQ97:AQ99"/>
    <mergeCell ref="AE61:AE63"/>
    <mergeCell ref="K40:K42"/>
    <mergeCell ref="A38:A39"/>
    <mergeCell ref="S97:S99"/>
    <mergeCell ref="I7:I9"/>
    <mergeCell ref="Q64:Q66"/>
    <mergeCell ref="AT10:AT12"/>
    <mergeCell ref="BN58:BN60"/>
    <mergeCell ref="J103:J105"/>
    <mergeCell ref="G58:G60"/>
    <mergeCell ref="T94:T96"/>
    <mergeCell ref="BD28:BD30"/>
    <mergeCell ref="BL85:BL87"/>
    <mergeCell ref="Q49:Q51"/>
    <mergeCell ref="K73:K75"/>
    <mergeCell ref="AU7:AU9"/>
    <mergeCell ref="BC64:BC66"/>
    <mergeCell ref="AI43:AI45"/>
    <mergeCell ref="H28:H30"/>
    <mergeCell ref="AZ46:AZ48"/>
    <mergeCell ref="BM82:BM84"/>
    <mergeCell ref="BJ37:BJ39"/>
    <mergeCell ref="Z13:Z15"/>
    <mergeCell ref="U88:U90"/>
    <mergeCell ref="AJ4:AJ6"/>
    <mergeCell ref="G91:G93"/>
    <mergeCell ref="BA16:BA18"/>
    <mergeCell ref="AO52:AO54"/>
    <mergeCell ref="AM76:AM78"/>
    <mergeCell ref="AB79:AB81"/>
    <mergeCell ref="BL13:BL15"/>
    <mergeCell ref="AB73:AB75"/>
    <mergeCell ref="DQ2:DZ2"/>
    <mergeCell ref="AS85:AS87"/>
    <mergeCell ref="AQ22:AQ24"/>
    <mergeCell ref="AL97:AL99"/>
    <mergeCell ref="BA19:BA21"/>
    <mergeCell ref="L64:L66"/>
    <mergeCell ref="AC67:AC69"/>
    <mergeCell ref="BN73:BN75"/>
    <mergeCell ref="S37:S39"/>
    <mergeCell ref="E46:E48"/>
    <mergeCell ref="AR19:AR21"/>
    <mergeCell ref="E40:E42"/>
    <mergeCell ref="BE52:BE54"/>
    <mergeCell ref="AK31:AK33"/>
    <mergeCell ref="R100:R102"/>
    <mergeCell ref="BB34:BB36"/>
    <mergeCell ref="BJ91:BJ93"/>
    <mergeCell ref="BL25:BL27"/>
    <mergeCell ref="BT82:BT84"/>
    <mergeCell ref="BT109:BT111"/>
    <mergeCell ref="AB10:AB12"/>
    <mergeCell ref="I79:I81"/>
    <mergeCell ref="AT49:AT51"/>
    <mergeCell ref="Z28:Z30"/>
    <mergeCell ref="AT85:AT87"/>
    <mergeCell ref="G106:G108"/>
    <mergeCell ref="BK88:BK90"/>
    <mergeCell ref="AQ40:AQ42"/>
    <mergeCell ref="Q7:Q9"/>
    <mergeCell ref="BD100:BD102"/>
    <mergeCell ref="BD94:BD96"/>
    <mergeCell ref="BS16:BS18"/>
    <mergeCell ref="R131:AF131"/>
    <mergeCell ref="AD67:AD69"/>
    <mergeCell ref="AU79:AU81"/>
    <mergeCell ref="AA58:AA60"/>
    <mergeCell ref="BL28:BL30"/>
    <mergeCell ref="AA52:AA54"/>
    <mergeCell ref="BS43:BS45"/>
    <mergeCell ref="BJ109:BJ111"/>
    <mergeCell ref="I76:I78"/>
    <mergeCell ref="AS10:AS12"/>
    <mergeCell ref="BH46:BH48"/>
    <mergeCell ref="P49:P51"/>
    <mergeCell ref="AC82:AC84"/>
    <mergeCell ref="G34:G36"/>
    <mergeCell ref="AR4:AR6"/>
    <mergeCell ref="BB64:BB66"/>
    <mergeCell ref="AH43:AH45"/>
    <mergeCell ref="G28:G30"/>
    <mergeCell ref="E61:E63"/>
    <mergeCell ref="AY55:AY57"/>
    <mergeCell ref="AU76:AU78"/>
    <mergeCell ref="T88:T90"/>
    <mergeCell ref="BL79:BL81"/>
    <mergeCell ref="Y22:Y24"/>
    <mergeCell ref="P82:P84"/>
    <mergeCell ref="I94:I96"/>
    <mergeCell ref="BT43:BT45"/>
    <mergeCell ref="AS28:AS30"/>
    <mergeCell ref="F49:F51"/>
    <mergeCell ref="K10:K12"/>
    <mergeCell ref="A65:A66"/>
    <mergeCell ref="G31:G33"/>
    <mergeCell ref="AA79:AA81"/>
    <mergeCell ref="BK22:BK24"/>
    <mergeCell ref="AK70:AK72"/>
    <mergeCell ref="X43:X45"/>
    <mergeCell ref="AR91:AR93"/>
    <mergeCell ref="AH25:AH27"/>
    <mergeCell ref="AY37:AY39"/>
    <mergeCell ref="O13:O15"/>
    <mergeCell ref="AA37:AA39"/>
    <mergeCell ref="AK97:AK99"/>
    <mergeCell ref="AZ19:AZ21"/>
    <mergeCell ref="Y4:Y6"/>
    <mergeCell ref="K64:K66"/>
    <mergeCell ref="BM79:BM81"/>
    <mergeCell ref="Z100:Z102"/>
    <mergeCell ref="BJ34:BJ36"/>
    <mergeCell ref="D46:D48"/>
    <mergeCell ref="BT25:BT27"/>
    <mergeCell ref="N37:N39"/>
    <mergeCell ref="Q79:Q81"/>
    <mergeCell ref="BA13:BA15"/>
    <mergeCell ref="Q73:Q75"/>
    <mergeCell ref="AA70:AA72"/>
    <mergeCell ref="BK4:BK6"/>
    <mergeCell ref="BS88:BS90"/>
    <mergeCell ref="N64:N66"/>
    <mergeCell ref="AW34:AW36"/>
    <mergeCell ref="J85:J87"/>
    <mergeCell ref="Y34:Y36"/>
    <mergeCell ref="AI25:AI27"/>
    <mergeCell ref="BJ67:BJ69"/>
    <mergeCell ref="R70:R72"/>
    <mergeCell ref="AP46:AP48"/>
    <mergeCell ref="F106:F108"/>
    <mergeCell ref="AP40:AP42"/>
    <mergeCell ref="C67:C69"/>
    <mergeCell ref="P7:P9"/>
    <mergeCell ref="BC73:BC75"/>
    <mergeCell ref="AI52:AI54"/>
    <mergeCell ref="AG19:AG21"/>
    <mergeCell ref="A50:A51"/>
    <mergeCell ref="U55:U57"/>
    <mergeCell ref="I19:I21"/>
    <mergeCell ref="A80:A81"/>
    <mergeCell ref="AT79:AT81"/>
    <mergeCell ref="AA94:AA96"/>
    <mergeCell ref="G100:G102"/>
    <mergeCell ref="BD70:BD72"/>
    <mergeCell ref="AR106:AR108"/>
    <mergeCell ref="H76:H78"/>
    <mergeCell ref="R73:R75"/>
    <mergeCell ref="BB7:BB9"/>
    <mergeCell ref="BJ64:BJ66"/>
    <mergeCell ref="AP43:AP45"/>
    <mergeCell ref="O28:O30"/>
    <mergeCell ref="BG55:BG57"/>
    <mergeCell ref="AF67:AF69"/>
    <mergeCell ref="BQ37:BQ39"/>
    <mergeCell ref="AB88:AB90"/>
    <mergeCell ref="A104:A105"/>
    <mergeCell ref="AG22:AG24"/>
    <mergeCell ref="F7:F9"/>
    <mergeCell ref="F34:F36"/>
    <mergeCell ref="N91:N93"/>
    <mergeCell ref="BK61:BK63"/>
    <mergeCell ref="P25:P27"/>
    <mergeCell ref="X82:X84"/>
    <mergeCell ref="BH16:BH18"/>
    <mergeCell ref="AT76:AT78"/>
    <mergeCell ref="AG130:AV131"/>
    <mergeCell ref="G97:G99"/>
    <mergeCell ref="BA28:BA30"/>
    <mergeCell ref="BR67:BR69"/>
    <mergeCell ref="AR34:AR36"/>
    <mergeCell ref="AZ91:AZ93"/>
    <mergeCell ref="H94:H96"/>
    <mergeCell ref="AR28:AR30"/>
    <mergeCell ref="AZ85:AZ87"/>
    <mergeCell ref="BB25:BB27"/>
    <mergeCell ref="BJ82:BJ84"/>
    <mergeCell ref="Z52:Z54"/>
    <mergeCell ref="F31:F33"/>
    <mergeCell ref="AS97:AS99"/>
    <mergeCell ref="AQ64:AQ66"/>
    <mergeCell ref="W43:W45"/>
    <mergeCell ref="AJ76:AJ78"/>
    <mergeCell ref="P55:P57"/>
    <mergeCell ref="AJ103:AJ105"/>
    <mergeCell ref="AJ97:AJ99"/>
    <mergeCell ref="AY19:AY21"/>
    <mergeCell ref="AT94:AT96"/>
    <mergeCell ref="BI16:BI18"/>
    <mergeCell ref="BP31:BP33"/>
    <mergeCell ref="BL52:BL54"/>
    <mergeCell ref="Q16:Q18"/>
    <mergeCell ref="AR31:AR33"/>
    <mergeCell ref="E52:E54"/>
    <mergeCell ref="Y100:Y102"/>
    <mergeCell ref="C19:C21"/>
    <mergeCell ref="BI43:BI45"/>
    <mergeCell ref="BS25:BS27"/>
    <mergeCell ref="AI10:AI12"/>
    <mergeCell ref="P79:P81"/>
    <mergeCell ref="AZ13:AZ15"/>
    <mergeCell ref="M34:M36"/>
    <mergeCell ref="BA85:BA87"/>
    <mergeCell ref="Z70:Z72"/>
    <mergeCell ref="BJ4:BJ6"/>
    <mergeCell ref="AX40:AX42"/>
    <mergeCell ref="BR88:BR90"/>
    <mergeCell ref="W25:W27"/>
    <mergeCell ref="I85:I87"/>
    <mergeCell ref="X7:X9"/>
    <mergeCell ref="BK100:BK102"/>
    <mergeCell ref="AO19:AO21"/>
    <mergeCell ref="BI67:BI69"/>
    <mergeCell ref="V88:V90"/>
    <mergeCell ref="E103:E105"/>
    <mergeCell ref="BB79:BB81"/>
    <mergeCell ref="AH58:AH60"/>
    <mergeCell ref="BB73:BB75"/>
    <mergeCell ref="BL70:BL72"/>
    <mergeCell ref="BQ22:BQ24"/>
    <mergeCell ref="BH88:BH90"/>
    <mergeCell ref="AN67:AN69"/>
    <mergeCell ref="N34:N36"/>
    <mergeCell ref="BI64:BI66"/>
    <mergeCell ref="AH49:AH51"/>
    <mergeCell ref="N28:N30"/>
    <mergeCell ref="X25:X27"/>
    <mergeCell ref="BR19:BR21"/>
    <mergeCell ref="BF55:BF57"/>
    <mergeCell ref="AA61:AA63"/>
    <mergeCell ref="G40:G42"/>
    <mergeCell ref="AF22:AF24"/>
    <mergeCell ref="E7:E9"/>
    <mergeCell ref="W82:W84"/>
    <mergeCell ref="BJ58:BJ60"/>
    <mergeCell ref="F103:F105"/>
    <mergeCell ref="C58:C60"/>
    <mergeCell ref="BT49:BT51"/>
    <mergeCell ref="P94:P96"/>
    <mergeCell ref="AZ28:AZ30"/>
    <mergeCell ref="AL31:AL33"/>
    <mergeCell ref="AH52:AH54"/>
    <mergeCell ref="BR22:BR24"/>
    <mergeCell ref="Z109:Z111"/>
    <mergeCell ref="AE43:AE45"/>
    <mergeCell ref="AY91:AY93"/>
    <mergeCell ref="A20:A21"/>
    <mergeCell ref="A77:A78"/>
    <mergeCell ref="AV46:AV48"/>
    <mergeCell ref="BI82:BI84"/>
    <mergeCell ref="BF37:BF39"/>
    <mergeCell ref="V13:V15"/>
    <mergeCell ref="AR97:AR99"/>
    <mergeCell ref="AF4:AF6"/>
    <mergeCell ref="M109:M111"/>
    <mergeCell ref="BE100:BE102"/>
    <mergeCell ref="AI76:AI78"/>
    <mergeCell ref="O55:O57"/>
    <mergeCell ref="A110:A111"/>
    <mergeCell ref="BK52:BK54"/>
    <mergeCell ref="P16:P18"/>
    <mergeCell ref="BH13:BH15"/>
    <mergeCell ref="X73:X75"/>
    <mergeCell ref="BR4:BR6"/>
    <mergeCell ref="O79:O81"/>
    <mergeCell ref="BQ67:BQ69"/>
    <mergeCell ref="Y70:Y72"/>
    <mergeCell ref="AW46:AW48"/>
    <mergeCell ref="BQ61:BQ63"/>
    <mergeCell ref="AW40:AW42"/>
    <mergeCell ref="B130:L130"/>
    <mergeCell ref="BG37:BG39"/>
    <mergeCell ref="H91:H93"/>
    <mergeCell ref="R82:R84"/>
    <mergeCell ref="BJ73:BJ75"/>
    <mergeCell ref="D85:D87"/>
    <mergeCell ref="AN19:AN21"/>
    <mergeCell ref="AQ55:AQ57"/>
    <mergeCell ref="BA52:BA54"/>
    <mergeCell ref="AG31:AG33"/>
    <mergeCell ref="BA79:BA81"/>
    <mergeCell ref="N100:N102"/>
    <mergeCell ref="AX34:AX36"/>
    <mergeCell ref="BK70:BK72"/>
    <mergeCell ref="AY106:AY108"/>
    <mergeCell ref="BH25:BH27"/>
    <mergeCell ref="BP109:BP111"/>
    <mergeCell ref="BI7:BI9"/>
    <mergeCell ref="E79:E81"/>
    <mergeCell ref="V28:V30"/>
    <mergeCell ref="AP85:AP87"/>
    <mergeCell ref="B127:L127"/>
    <mergeCell ref="AM40:AM42"/>
    <mergeCell ref="BG88:BG90"/>
    <mergeCell ref="AM67:AM69"/>
    <mergeCell ref="M7:M9"/>
    <mergeCell ref="AZ100:AZ102"/>
    <mergeCell ref="AZ94:AZ96"/>
    <mergeCell ref="AD46:AD48"/>
    <mergeCell ref="BO16:BO18"/>
    <mergeCell ref="AL103:AL105"/>
    <mergeCell ref="E76:E78"/>
    <mergeCell ref="AO10:AO12"/>
    <mergeCell ref="AY34:AY36"/>
    <mergeCell ref="BG91:BG93"/>
    <mergeCell ref="O94:O96"/>
    <mergeCell ref="BS49:BS51"/>
    <mergeCell ref="BG85:BG87"/>
    <mergeCell ref="L49:L51"/>
    <mergeCell ref="BI25:BI27"/>
    <mergeCell ref="AF106:AF108"/>
    <mergeCell ref="F73:F75"/>
    <mergeCell ref="AP7:AP9"/>
    <mergeCell ref="AX64:AX66"/>
    <mergeCell ref="AD43:AD45"/>
    <mergeCell ref="C34:C36"/>
    <mergeCell ref="C28:C30"/>
    <mergeCell ref="U109:U111"/>
    <mergeCell ref="D10:D12"/>
    <mergeCell ref="AQ103:AQ105"/>
    <mergeCell ref="U22:U24"/>
    <mergeCell ref="AE4:AE6"/>
    <mergeCell ref="BA94:BA96"/>
    <mergeCell ref="L82:L84"/>
    <mergeCell ref="AJ58:AJ60"/>
    <mergeCell ref="AR37:AR39"/>
    <mergeCell ref="X16:X18"/>
    <mergeCell ref="AH76:AH78"/>
    <mergeCell ref="AR73:AR75"/>
    <mergeCell ref="J19:J21"/>
    <mergeCell ref="E94:E96"/>
    <mergeCell ref="BP43:BP45"/>
    <mergeCell ref="G10:G12"/>
    <mergeCell ref="C31:C33"/>
    <mergeCell ref="W79:W81"/>
    <mergeCell ref="BG22:BG24"/>
    <mergeCell ref="AG70:AG72"/>
    <mergeCell ref="BQ4:BQ6"/>
    <mergeCell ref="AN91:AN93"/>
    <mergeCell ref="BE40:BE42"/>
    <mergeCell ref="AD25:AD27"/>
    <mergeCell ref="AD61:AD63"/>
    <mergeCell ref="D28:D30"/>
    <mergeCell ref="AV19:AV21"/>
    <mergeCell ref="BP67:BP69"/>
    <mergeCell ref="AC88:AC90"/>
    <mergeCell ref="G64:G66"/>
    <mergeCell ref="BM58:BM60"/>
    <mergeCell ref="BF34:BF36"/>
    <mergeCell ref="C91:C93"/>
    <mergeCell ref="BP25:BP27"/>
    <mergeCell ref="AW16:AW18"/>
    <mergeCell ref="AZ52:AZ54"/>
    <mergeCell ref="AF31:AF33"/>
    <mergeCell ref="M100:M102"/>
    <mergeCell ref="BO88:BO90"/>
    <mergeCell ref="N55:N57"/>
    <mergeCell ref="AS34:AS36"/>
    <mergeCell ref="U34:U36"/>
    <mergeCell ref="D79:D81"/>
    <mergeCell ref="AO49:AO51"/>
    <mergeCell ref="AO85:AO87"/>
    <mergeCell ref="N70:N72"/>
    <mergeCell ref="AL46:AL48"/>
    <mergeCell ref="AL40:AL42"/>
    <mergeCell ref="AM22:AM24"/>
    <mergeCell ref="L7:L9"/>
    <mergeCell ref="A29:A30"/>
    <mergeCell ref="AY100:AY102"/>
    <mergeCell ref="BN16:BN18"/>
    <mergeCell ref="Q55:Q57"/>
    <mergeCell ref="AK103:AK105"/>
    <mergeCell ref="Y67:Y69"/>
    <mergeCell ref="BK13:BK15"/>
    <mergeCell ref="AU94:AU96"/>
    <mergeCell ref="W94:W96"/>
    <mergeCell ref="C100:C102"/>
    <mergeCell ref="U61:U63"/>
    <mergeCell ref="A112:B112"/>
    <mergeCell ref="AN106:AN108"/>
    <mergeCell ref="BE109:BE111"/>
    <mergeCell ref="D76:D78"/>
    <mergeCell ref="AX7:AX9"/>
    <mergeCell ref="AL43:AL45"/>
    <mergeCell ref="BF91:BF93"/>
    <mergeCell ref="AJ10:AJ12"/>
    <mergeCell ref="BP82:BP84"/>
    <mergeCell ref="AV88:AV90"/>
    <mergeCell ref="AB67:AB69"/>
    <mergeCell ref="X88:X90"/>
    <mergeCell ref="AC22:AC24"/>
    <mergeCell ref="AM4:AM6"/>
    <mergeCell ref="J91:J93"/>
    <mergeCell ref="AW64:AW66"/>
    <mergeCell ref="BG61:BG63"/>
    <mergeCell ref="L25:L27"/>
    <mergeCell ref="BD16:BD18"/>
    <mergeCell ref="T109:T111"/>
    <mergeCell ref="AP76:AP78"/>
    <mergeCell ref="V55:V57"/>
    <mergeCell ref="T22:T24"/>
    <mergeCell ref="BQ70:BQ72"/>
    <mergeCell ref="BC79:BC81"/>
    <mergeCell ref="AS49:AS51"/>
    <mergeCell ref="DQ1:DZ1"/>
    <mergeCell ref="AN34:AN36"/>
    <mergeCell ref="D94:D96"/>
    <mergeCell ref="AV85:AV87"/>
    <mergeCell ref="BF109:BF111"/>
    <mergeCell ref="V52:V54"/>
    <mergeCell ref="BF22:BF24"/>
    <mergeCell ref="AF70:AF72"/>
    <mergeCell ref="S43:S45"/>
    <mergeCell ref="AM91:AM93"/>
    <mergeCell ref="AW82:AW84"/>
    <mergeCell ref="AF103:AF105"/>
    <mergeCell ref="H46:H48"/>
    <mergeCell ref="AU19:AU21"/>
    <mergeCell ref="AP94:AP96"/>
    <mergeCell ref="H40:H42"/>
    <mergeCell ref="R37:R39"/>
    <mergeCell ref="BL31:BL33"/>
    <mergeCell ref="BH52:BH54"/>
    <mergeCell ref="AN31:AN33"/>
    <mergeCell ref="BH79:BH81"/>
    <mergeCell ref="U100:U102"/>
    <mergeCell ref="BR70:BR72"/>
    <mergeCell ref="BE43:BE45"/>
    <mergeCell ref="BO25:BO27"/>
    <mergeCell ref="I37:I39"/>
    <mergeCell ref="L79:L81"/>
    <mergeCell ref="AV13:AV15"/>
    <mergeCell ref="BQ106:BQ108"/>
    <mergeCell ref="AW85:AW87"/>
    <mergeCell ref="V70:V72"/>
    <mergeCell ref="J106:J108"/>
    <mergeCell ref="BN88:BN90"/>
    <mergeCell ref="AT40:AT42"/>
    <mergeCell ref="T7:T9"/>
    <mergeCell ref="BG100:BG102"/>
    <mergeCell ref="BE67:BE69"/>
    <mergeCell ref="AK46:AK48"/>
    <mergeCell ref="AU37:AU39"/>
    <mergeCell ref="K7:K9"/>
    <mergeCell ref="AX79:AX81"/>
    <mergeCell ref="U4:U6"/>
    <mergeCell ref="AX73:AX75"/>
    <mergeCell ref="AD52:AD54"/>
    <mergeCell ref="D19:D21"/>
    <mergeCell ref="AM106:AM108"/>
    <mergeCell ref="M73:M75"/>
    <mergeCell ref="J34:J36"/>
    <mergeCell ref="BE64:BE66"/>
    <mergeCell ref="AK43:AK45"/>
    <mergeCell ref="J28:J30"/>
    <mergeCell ref="AW7:AW9"/>
    <mergeCell ref="T25:T27"/>
    <mergeCell ref="BB55:BB57"/>
    <mergeCell ref="AA40:AA42"/>
    <mergeCell ref="C40:C42"/>
    <mergeCell ref="AB22:AB24"/>
    <mergeCell ref="I91:I93"/>
    <mergeCell ref="BF61:BF63"/>
    <mergeCell ref="S82:S84"/>
    <mergeCell ref="L94:L96"/>
    <mergeCell ref="AV28:AV30"/>
    <mergeCell ref="AH31:AH33"/>
    <mergeCell ref="BN22:BN24"/>
    <mergeCell ref="V109:V111"/>
    <mergeCell ref="AN70:AN72"/>
    <mergeCell ref="AU91:AU93"/>
    <mergeCell ref="BE82:BE84"/>
    <mergeCell ref="U52:U54"/>
    <mergeCell ref="K28:K30"/>
    <mergeCell ref="AN97:AN99"/>
    <mergeCell ref="BC19:BC21"/>
    <mergeCell ref="R43:R45"/>
    <mergeCell ref="BT31:BT33"/>
    <mergeCell ref="I109:I111"/>
    <mergeCell ref="BT58:BT60"/>
    <mergeCell ref="AA67:AA69"/>
    <mergeCell ref="G46:G48"/>
    <mergeCell ref="Q37:Q39"/>
    <mergeCell ref="AA97:AA99"/>
    <mergeCell ref="BG52:BG54"/>
    <mergeCell ref="C97:C99"/>
    <mergeCell ref="M127:AF128"/>
    <mergeCell ref="BD43:BD45"/>
    <mergeCell ref="AD10:AD12"/>
    <mergeCell ref="K79:K81"/>
    <mergeCell ref="U70:U72"/>
    <mergeCell ref="AS46:AS48"/>
    <mergeCell ref="BM61:BM63"/>
    <mergeCell ref="AS40:AS42"/>
    <mergeCell ref="BE4:BE6"/>
    <mergeCell ref="BC37:BC39"/>
    <mergeCell ref="D91:D93"/>
    <mergeCell ref="S7:S9"/>
    <mergeCell ref="N82:N84"/>
    <mergeCell ref="AJ19:AJ21"/>
    <mergeCell ref="AC31:AC33"/>
    <mergeCell ref="AW79:AW81"/>
    <mergeCell ref="J100:J102"/>
    <mergeCell ref="BG70:BG72"/>
    <mergeCell ref="Y16:Y18"/>
    <mergeCell ref="AU106:AU108"/>
    <mergeCell ref="Y52:Y54"/>
    <mergeCell ref="BE7:BE9"/>
    <mergeCell ref="AL85:AL87"/>
    <mergeCell ref="BC88:BC90"/>
    <mergeCell ref="I34:I36"/>
    <mergeCell ref="BN61:BN63"/>
    <mergeCell ref="S25:S27"/>
    <mergeCell ref="A95:A96"/>
    <mergeCell ref="Z46:Z48"/>
    <mergeCell ref="BK16:BK18"/>
    <mergeCell ref="AA22:AA24"/>
    <mergeCell ref="AK19:AK21"/>
    <mergeCell ref="R88:R90"/>
    <mergeCell ref="AN55:AN57"/>
    <mergeCell ref="AU34:AU36"/>
    <mergeCell ref="BO49:BO51"/>
    <mergeCell ref="K94:K96"/>
    <mergeCell ref="AU28:AU30"/>
    <mergeCell ref="BC85:BC87"/>
    <mergeCell ref="BE25:BE27"/>
    <mergeCell ref="BO85:BO87"/>
    <mergeCell ref="BM109:BM111"/>
    <mergeCell ref="AB106:AB108"/>
    <mergeCell ref="W7:W9"/>
    <mergeCell ref="BM22:BM24"/>
    <mergeCell ref="Z43:Z45"/>
    <mergeCell ref="AT91:AT93"/>
    <mergeCell ref="BD88:BD90"/>
    <mergeCell ref="Q109:Q111"/>
    <mergeCell ref="BD82:BD84"/>
    <mergeCell ref="AM103:AM105"/>
    <mergeCell ref="Q22:Q24"/>
    <mergeCell ref="AA4:AA6"/>
    <mergeCell ref="AW94:AW96"/>
    <mergeCell ref="AI97:AI99"/>
    <mergeCell ref="BS31:BS33"/>
    <mergeCell ref="T16:T18"/>
    <mergeCell ref="Z67:Z69"/>
    <mergeCell ref="BL43:BL45"/>
    <mergeCell ref="P37:P39"/>
    <mergeCell ref="S79:S81"/>
    <mergeCell ref="BC13:BC15"/>
    <mergeCell ref="BP49:BP51"/>
    <mergeCell ref="AC70:AC72"/>
    <mergeCell ref="I49:I51"/>
    <mergeCell ref="AJ91:AJ93"/>
    <mergeCell ref="BM4:BM6"/>
    <mergeCell ref="G16:G18"/>
    <mergeCell ref="AY7:AY9"/>
    <mergeCell ref="Z61:Z63"/>
    <mergeCell ref="AT109:AT111"/>
    <mergeCell ref="AH22:AH24"/>
    <mergeCell ref="BL67:BL69"/>
    <mergeCell ref="AR46:AR48"/>
    <mergeCell ref="BB37:BB39"/>
    <mergeCell ref="BI58:BI60"/>
    <mergeCell ref="R13:R15"/>
    <mergeCell ref="M82:M84"/>
    <mergeCell ref="AB4:AB6"/>
    <mergeCell ref="AQ76:AQ78"/>
    <mergeCell ref="A53:A54"/>
    <mergeCell ref="AB31:AB33"/>
    <mergeCell ref="I100:I102"/>
    <mergeCell ref="AT106:AT108"/>
    <mergeCell ref="J55:J57"/>
    <mergeCell ref="U13:U15"/>
    <mergeCell ref="T73:T75"/>
    <mergeCell ref="AK85:AK87"/>
    <mergeCell ref="J70:J72"/>
    <mergeCell ref="AH46:AH48"/>
    <mergeCell ref="AH40:AH42"/>
    <mergeCell ref="AI22:AI24"/>
    <mergeCell ref="H7:H9"/>
    <mergeCell ref="AU100:AU102"/>
    <mergeCell ref="BJ16:BJ18"/>
    <mergeCell ref="AG103:AG105"/>
    <mergeCell ref="U67:U69"/>
    <mergeCell ref="AI37:AI39"/>
    <mergeCell ref="AQ94:AQ96"/>
    <mergeCell ref="K37:K39"/>
    <mergeCell ref="BC28:BC30"/>
    <mergeCell ref="Q61:Q63"/>
    <mergeCell ref="AJ106:AJ108"/>
    <mergeCell ref="AT7:AT9"/>
    <mergeCell ref="BB91:BB93"/>
    <mergeCell ref="BL82:BL84"/>
    <mergeCell ref="BS103:BS105"/>
    <mergeCell ref="X67:X69"/>
    <mergeCell ref="AP28:AP30"/>
    <mergeCell ref="AS64:AS66"/>
    <mergeCell ref="Y43:Y45"/>
    <mergeCell ref="BC61:BC63"/>
    <mergeCell ref="AI40:AI42"/>
    <mergeCell ref="H25:H27"/>
    <mergeCell ref="P109:P111"/>
    <mergeCell ref="AL76:AL78"/>
    <mergeCell ref="R55:R57"/>
    <mergeCell ref="P22:P24"/>
    <mergeCell ref="A68:A69"/>
    <mergeCell ref="AE58:AE60"/>
    <mergeCell ref="AM73:AM75"/>
    <mergeCell ref="E19:E21"/>
    <mergeCell ref="BK43:BK45"/>
    <mergeCell ref="O16:O18"/>
    <mergeCell ref="BB109:BB111"/>
    <mergeCell ref="AK10:AK12"/>
    <mergeCell ref="BB22:BB24"/>
    <mergeCell ref="BT67:BT69"/>
    <mergeCell ref="AB70:AB72"/>
    <mergeCell ref="O43:O45"/>
    <mergeCell ref="AI91:AI93"/>
    <mergeCell ref="Y25:Y27"/>
    <mergeCell ref="BL4:BL6"/>
    <mergeCell ref="BT97:BT99"/>
    <mergeCell ref="AS82:AS84"/>
    <mergeCell ref="Y61:Y63"/>
    <mergeCell ref="BQ58:BQ60"/>
    <mergeCell ref="AT64:AT66"/>
    <mergeCell ref="G85:G87"/>
    <mergeCell ref="BK67:BK69"/>
    <mergeCell ref="AQ19:AQ21"/>
    <mergeCell ref="D67:D69"/>
    <mergeCell ref="BD79:BD81"/>
    <mergeCell ref="Q100:Q102"/>
    <mergeCell ref="AG127:AV129"/>
    <mergeCell ref="BN70:BN72"/>
    <mergeCell ref="BK25:BK27"/>
    <mergeCell ref="E37:E39"/>
    <mergeCell ref="AU52:AU54"/>
    <mergeCell ref="AK28:AK30"/>
    <mergeCell ref="BJ88:BJ90"/>
    <mergeCell ref="P34:P36"/>
    <mergeCell ref="BC100:BC102"/>
    <mergeCell ref="Z25:Z27"/>
    <mergeCell ref="BA67:BA69"/>
    <mergeCell ref="AG46:AG48"/>
    <mergeCell ref="BR16:BR18"/>
    <mergeCell ref="A1:B2"/>
    <mergeCell ref="BR52:BR54"/>
    <mergeCell ref="AQ37:AQ39"/>
    <mergeCell ref="G7:G9"/>
    <mergeCell ref="AC97:AC99"/>
    <mergeCell ref="Q4:Q6"/>
    <mergeCell ref="AT100:AT102"/>
    <mergeCell ref="BS55:BS57"/>
    <mergeCell ref="L55:L57"/>
    <mergeCell ref="AU55:AU57"/>
    <mergeCell ref="P61:P63"/>
    <mergeCell ref="BS46:BS48"/>
    <mergeCell ref="AI106:AI108"/>
    <mergeCell ref="BS40:BS42"/>
    <mergeCell ref="I73:I75"/>
    <mergeCell ref="BT22:BT24"/>
    <mergeCell ref="AS7:AS9"/>
    <mergeCell ref="AG43:AG45"/>
    <mergeCell ref="F28:F30"/>
    <mergeCell ref="AE10:AE12"/>
    <mergeCell ref="F64:F66"/>
    <mergeCell ref="BK82:BK84"/>
    <mergeCell ref="BR103:BR105"/>
    <mergeCell ref="S88:S90"/>
    <mergeCell ref="X22:X24"/>
    <mergeCell ref="E91:E93"/>
    <mergeCell ref="BB61:BB63"/>
    <mergeCell ref="G25:G27"/>
    <mergeCell ref="O82:O84"/>
    <mergeCell ref="AY16:AY18"/>
    <mergeCell ref="BQ10:BQ12"/>
    <mergeCell ref="F88:F90"/>
    <mergeCell ref="AD58:AD60"/>
    <mergeCell ref="BH70:BH72"/>
    <mergeCell ref="AN49:AN51"/>
    <mergeCell ref="AJ70:AJ72"/>
    <mergeCell ref="AQ91:AQ93"/>
    <mergeCell ref="N16:N18"/>
    <mergeCell ref="BA82:BA84"/>
    <mergeCell ref="BA109:BA111"/>
    <mergeCell ref="Q52:Q54"/>
    <mergeCell ref="A62:A63"/>
    <mergeCell ref="BA22:BA24"/>
    <mergeCell ref="BS67:BS69"/>
    <mergeCell ref="N43:N45"/>
    <mergeCell ref="AR88:AR90"/>
    <mergeCell ref="BI37:BI39"/>
    <mergeCell ref="BP58:BP60"/>
    <mergeCell ref="AI4:AI6"/>
    <mergeCell ref="F85:F87"/>
    <mergeCell ref="AP19:AP21"/>
    <mergeCell ref="C46:C48"/>
    <mergeCell ref="AZ16:AZ18"/>
    <mergeCell ref="M37:M39"/>
    <mergeCell ref="W97:W99"/>
    <mergeCell ref="BC52:BC54"/>
    <mergeCell ref="AI31:AI33"/>
    <mergeCell ref="BT91:BT93"/>
    <mergeCell ref="AV34:AV36"/>
    <mergeCell ref="AB13:AB15"/>
    <mergeCell ref="Z10:Z12"/>
    <mergeCell ref="BF25:BF27"/>
    <mergeCell ref="G79:G81"/>
    <mergeCell ref="BL106:BL108"/>
    <mergeCell ref="AR85:AR87"/>
    <mergeCell ref="Q70:Q72"/>
    <mergeCell ref="AO46:AO48"/>
    <mergeCell ref="E106:E108"/>
    <mergeCell ref="AO40:AO42"/>
    <mergeCell ref="BJ43:BJ45"/>
    <mergeCell ref="O7:O9"/>
    <mergeCell ref="AI64:AI66"/>
    <mergeCell ref="AF19:AF21"/>
    <mergeCell ref="AF46:AF48"/>
    <mergeCell ref="AN103:AN105"/>
    <mergeCell ref="AP37:AP39"/>
    <mergeCell ref="AX94:AX96"/>
    <mergeCell ref="Y58:Y60"/>
    <mergeCell ref="P4:P6"/>
    <mergeCell ref="AI49:AI51"/>
    <mergeCell ref="AO100:AO102"/>
    <mergeCell ref="BA7:BA9"/>
    <mergeCell ref="BS82:BS84"/>
    <mergeCell ref="BR46:BR48"/>
    <mergeCell ref="AH106:AH108"/>
    <mergeCell ref="AR13:AR15"/>
    <mergeCell ref="H73:H75"/>
    <mergeCell ref="E34:E36"/>
    <mergeCell ref="AZ64:AZ66"/>
    <mergeCell ref="BB4:BB6"/>
    <mergeCell ref="BJ61:BJ63"/>
    <mergeCell ref="O25:O27"/>
    <mergeCell ref="Y85:Y87"/>
    <mergeCell ref="AW55:AW57"/>
    <mergeCell ref="W22:W24"/>
    <mergeCell ref="N88:N90"/>
    <mergeCell ref="BT106:BT108"/>
    <mergeCell ref="AJ55:AJ57"/>
    <mergeCell ref="AT73:AT75"/>
    <mergeCell ref="AQ34:AQ36"/>
    <mergeCell ref="G94:G96"/>
    <mergeCell ref="AQ28:AQ30"/>
    <mergeCell ref="AF76:AF78"/>
    <mergeCell ref="BP10:BP12"/>
    <mergeCell ref="BI109:BI111"/>
    <mergeCell ref="X106:X108"/>
    <mergeCell ref="BI22:BI24"/>
    <mergeCell ref="V43:V45"/>
    <mergeCell ref="AP91:AP93"/>
    <mergeCell ref="AZ88:AZ90"/>
    <mergeCell ref="AZ82:AZ84"/>
    <mergeCell ref="BG103:BG105"/>
    <mergeCell ref="AI103:AI105"/>
    <mergeCell ref="AX19:AX21"/>
    <mergeCell ref="W4:W6"/>
    <mergeCell ref="AS94:AS96"/>
    <mergeCell ref="BR76:BR78"/>
    <mergeCell ref="W40:W42"/>
    <mergeCell ref="AE97:AE99"/>
    <mergeCell ref="BO31:BO33"/>
    <mergeCell ref="D109:D111"/>
    <mergeCell ref="E64:E66"/>
    <mergeCell ref="V67:V69"/>
    <mergeCell ref="BH43:BH45"/>
    <mergeCell ref="L37:L39"/>
    <mergeCell ref="AY13:AY15"/>
    <mergeCell ref="BL49:BL51"/>
    <mergeCell ref="E49:E51"/>
    <mergeCell ref="C16:C18"/>
    <mergeCell ref="BQ97:BQ99"/>
    <mergeCell ref="AP109:AP111"/>
    <mergeCell ref="Y10:Y12"/>
    <mergeCell ref="BH67:BH69"/>
    <mergeCell ref="P70:P72"/>
    <mergeCell ref="BK106:BK108"/>
    <mergeCell ref="AN46:AN48"/>
    <mergeCell ref="D106:D108"/>
    <mergeCell ref="AX37:AX39"/>
    <mergeCell ref="BH97:BH99"/>
    <mergeCell ref="BE58:BE60"/>
    <mergeCell ref="N13:N15"/>
    <mergeCell ref="X4:X6"/>
    <mergeCell ref="S55:S57"/>
    <mergeCell ref="AC52:AC54"/>
    <mergeCell ref="AR79:AR81"/>
    <mergeCell ref="E100:E102"/>
    <mergeCell ref="AP106:AP108"/>
    <mergeCell ref="T52:T54"/>
    <mergeCell ref="Q13:Q15"/>
    <mergeCell ref="P73:P75"/>
    <mergeCell ref="BT64:BT66"/>
    <mergeCell ref="AG85:AG87"/>
    <mergeCell ref="M64:M66"/>
    <mergeCell ref="AE22:AE24"/>
    <mergeCell ref="D34:D36"/>
    <mergeCell ref="L91:L93"/>
    <mergeCell ref="BI61:BI63"/>
    <mergeCell ref="N25:N27"/>
    <mergeCell ref="V82:V84"/>
    <mergeCell ref="U46:U48"/>
    <mergeCell ref="BF16:BF18"/>
    <mergeCell ref="BF52:BF54"/>
    <mergeCell ref="AY28:AY30"/>
    <mergeCell ref="BS85:BS87"/>
    <mergeCell ref="M88:M90"/>
    <mergeCell ref="AI55:AI57"/>
    <mergeCell ref="F100:F102"/>
    <mergeCell ref="AP34:AP36"/>
    <mergeCell ref="AX91:AX93"/>
    <mergeCell ref="F94:F96"/>
    <mergeCell ref="AZ25:AZ27"/>
    <mergeCell ref="BH82:BH84"/>
    <mergeCell ref="W106:W108"/>
    <mergeCell ref="AL28:AL30"/>
    <mergeCell ref="U43:U45"/>
    <mergeCell ref="AE40:AE42"/>
    <mergeCell ref="AY88:AY90"/>
    <mergeCell ref="L109:L111"/>
    <mergeCell ref="L22:L24"/>
    <mergeCell ref="AR94:AR96"/>
    <mergeCell ref="BG16:BG18"/>
    <mergeCell ref="AP61:AP63"/>
    <mergeCell ref="AD97:AD99"/>
    <mergeCell ref="R61:R63"/>
    <mergeCell ref="BG43:BG45"/>
    <mergeCell ref="K16:K18"/>
    <mergeCell ref="AX109:AX111"/>
    <mergeCell ref="AG10:AG12"/>
    <mergeCell ref="A101:A102"/>
    <mergeCell ref="N79:N81"/>
    <mergeCell ref="BK49:BK51"/>
    <mergeCell ref="BS106:BS108"/>
    <mergeCell ref="AY85:AY87"/>
    <mergeCell ref="X70:X72"/>
    <mergeCell ref="AE91:AE93"/>
    <mergeCell ref="D49:D51"/>
    <mergeCell ref="AT13:AT15"/>
    <mergeCell ref="BH4:BH6"/>
    <mergeCell ref="BP97:BP99"/>
    <mergeCell ref="AO82:AO84"/>
    <mergeCell ref="AP64:AP66"/>
    <mergeCell ref="AM19:AM21"/>
    <mergeCell ref="BG67:BG69"/>
    <mergeCell ref="AM46:AM48"/>
    <mergeCell ref="C85:C87"/>
    <mergeCell ref="AW37:AW39"/>
    <mergeCell ref="H88:H90"/>
    <mergeCell ref="AZ79:AZ81"/>
    <mergeCell ref="AF58:AF60"/>
    <mergeCell ref="BN49:BN51"/>
    <mergeCell ref="M22:M24"/>
    <mergeCell ref="BJ70:BJ72"/>
    <mergeCell ref="AP49:AP51"/>
    <mergeCell ref="AN16:AN18"/>
    <mergeCell ref="AV73:AV75"/>
    <mergeCell ref="AB52:AB54"/>
    <mergeCell ref="AO106:AO108"/>
    <mergeCell ref="L34:L36"/>
    <mergeCell ref="BI4:BI6"/>
    <mergeCell ref="AF91:AF93"/>
    <mergeCell ref="V25:V27"/>
    <mergeCell ref="AF85:AF87"/>
    <mergeCell ref="AC46:AC48"/>
    <mergeCell ref="BN52:BN54"/>
    <mergeCell ref="AM37:AM39"/>
    <mergeCell ref="C13:C15"/>
    <mergeCell ref="AD22:AD24"/>
    <mergeCell ref="C7:C9"/>
    <mergeCell ref="Y97:Y99"/>
    <mergeCell ref="M4:M6"/>
    <mergeCell ref="U82:U84"/>
    <mergeCell ref="R79:R81"/>
    <mergeCell ref="BA73:BA75"/>
    <mergeCell ref="N94:N96"/>
    <mergeCell ref="L61:L63"/>
    <mergeCell ref="BR85:BR87"/>
    <mergeCell ref="AJ31:AJ33"/>
    <mergeCell ref="AE106:AE108"/>
    <mergeCell ref="AT28:AT30"/>
    <mergeCell ref="E73:E75"/>
    <mergeCell ref="BP22:BP24"/>
    <mergeCell ref="AC43:AC45"/>
    <mergeCell ref="AA10:AA12"/>
    <mergeCell ref="BG82:BG84"/>
    <mergeCell ref="BN103:BN105"/>
    <mergeCell ref="C10:C12"/>
    <mergeCell ref="AG49:AG51"/>
    <mergeCell ref="F70:F72"/>
    <mergeCell ref="AX61:AX63"/>
    <mergeCell ref="AD40:AD42"/>
    <mergeCell ref="C25:C27"/>
    <mergeCell ref="K109:K111"/>
    <mergeCell ref="D7:D9"/>
    <mergeCell ref="AG76:AG78"/>
    <mergeCell ref="BM10:BM12"/>
    <mergeCell ref="I55:I57"/>
    <mergeCell ref="AC103:AC105"/>
    <mergeCell ref="Z58:Z60"/>
    <mergeCell ref="AJ49:AJ51"/>
    <mergeCell ref="BF43:BF45"/>
    <mergeCell ref="J16:J18"/>
    <mergeCell ref="BP40:BP42"/>
    <mergeCell ref="AW109:AW111"/>
    <mergeCell ref="BR106:BR108"/>
    <mergeCell ref="W70:W72"/>
    <mergeCell ref="BO67:BO69"/>
    <mergeCell ref="AU46:AU48"/>
    <mergeCell ref="J43:J45"/>
    <mergeCell ref="AS13:AS15"/>
    <mergeCell ref="BO103:BO105"/>
    <mergeCell ref="T67:T69"/>
    <mergeCell ref="BE37:BE39"/>
    <mergeCell ref="BO97:BO99"/>
    <mergeCell ref="BL58:BL60"/>
    <mergeCell ref="BC4:BC6"/>
    <mergeCell ref="AO64:AO66"/>
    <mergeCell ref="AL19:AL21"/>
    <mergeCell ref="AV16:AV18"/>
    <mergeCell ref="AE31:AE33"/>
    <mergeCell ref="A8:A9"/>
    <mergeCell ref="BI70:BI72"/>
    <mergeCell ref="AU73:AU75"/>
    <mergeCell ref="C79:C81"/>
    <mergeCell ref="AN85:AN87"/>
    <mergeCell ref="M70:M72"/>
    <mergeCell ref="BE88:BE90"/>
    <mergeCell ref="R31:R33"/>
    <mergeCell ref="BJ22:BJ24"/>
    <mergeCell ref="AW127:BQ130"/>
    <mergeCell ref="AE64:AE66"/>
    <mergeCell ref="AX100:AX102"/>
    <mergeCell ref="BP61:BP63"/>
    <mergeCell ref="K43:K45"/>
    <mergeCell ref="AV67:AV69"/>
    <mergeCell ref="AB46:AB48"/>
    <mergeCell ref="U25:U27"/>
    <mergeCell ref="BM52:BM54"/>
    <mergeCell ref="AL37:AL39"/>
    <mergeCell ref="L4:L6"/>
    <mergeCell ref="T61:T63"/>
    <mergeCell ref="AK100:AK102"/>
    <mergeCell ref="BG25:BG27"/>
    <mergeCell ref="BO82:BO84"/>
    <mergeCell ref="AD106:AD108"/>
    <mergeCell ref="BM49:BM51"/>
    <mergeCell ref="AN13:AN15"/>
    <mergeCell ref="D73:D75"/>
    <mergeCell ref="AN7:AN9"/>
    <mergeCell ref="AV64:AV66"/>
    <mergeCell ref="AX4:AX6"/>
    <mergeCell ref="K25:K27"/>
    <mergeCell ref="BF88:BF90"/>
    <mergeCell ref="U85:U87"/>
    <mergeCell ref="S109:S111"/>
    <mergeCell ref="S22:S24"/>
    <mergeCell ref="J88:J90"/>
    <mergeCell ref="AW61:AW63"/>
    <mergeCell ref="J82:J84"/>
    <mergeCell ref="BP106:BP108"/>
    <mergeCell ref="AP73:AP75"/>
    <mergeCell ref="BN43:BN45"/>
    <mergeCell ref="R16:R18"/>
    <mergeCell ref="C94:C96"/>
    <mergeCell ref="AB76:AB78"/>
    <mergeCell ref="H55:H57"/>
    <mergeCell ref="BL10:BL12"/>
    <mergeCell ref="BE22:BE24"/>
    <mergeCell ref="AL91:AL93"/>
    <mergeCell ref="I16:I18"/>
    <mergeCell ref="A83:A84"/>
    <mergeCell ref="AV82:AV84"/>
    <mergeCell ref="BA43:BA45"/>
    <mergeCell ref="BR140:CK143"/>
    <mergeCell ref="AT19:AT21"/>
    <mergeCell ref="BN76:BN78"/>
    <mergeCell ref="AT55:AT57"/>
    <mergeCell ref="AM88:AM90"/>
    <mergeCell ref="S40:S42"/>
    <mergeCell ref="BD37:BD39"/>
    <mergeCell ref="BK58:BK60"/>
    <mergeCell ref="K82:K84"/>
    <mergeCell ref="AU16:AU18"/>
    <mergeCell ref="H37:H39"/>
    <mergeCell ref="O58:O60"/>
    <mergeCell ref="AX58:AX60"/>
    <mergeCell ref="Z31:Z33"/>
    <mergeCell ref="F10:F12"/>
    <mergeCell ref="AL109:AL111"/>
    <mergeCell ref="BA25:BA27"/>
    <mergeCell ref="BG106:BG108"/>
    <mergeCell ref="AM85:AM87"/>
    <mergeCell ref="L70:L72"/>
    <mergeCell ref="AJ46:AJ48"/>
    <mergeCell ref="AH13:AH15"/>
    <mergeCell ref="AT37:AT39"/>
    <mergeCell ref="BD97:BD99"/>
    <mergeCell ref="J13:J15"/>
    <mergeCell ref="T4:T6"/>
    <mergeCell ref="AD64:AD66"/>
    <mergeCell ref="AA19:AA21"/>
    <mergeCell ref="AS100:AS102"/>
    <mergeCell ref="S61:S63"/>
    <mergeCell ref="AJ73:AJ75"/>
    <mergeCell ref="P52:P54"/>
    <mergeCell ref="L73:L75"/>
    <mergeCell ref="BP64:BP66"/>
    <mergeCell ref="AH10:AH12"/>
    <mergeCell ref="AC85:AC87"/>
    <mergeCell ref="I64:I66"/>
    <mergeCell ref="BM46:BM48"/>
    <mergeCell ref="BE61:BE63"/>
    <mergeCell ref="AK40:AK42"/>
    <mergeCell ref="J25:J27"/>
    <mergeCell ref="AI7:AI9"/>
    <mergeCell ref="R109:R111"/>
    <mergeCell ref="BB52:BB54"/>
    <mergeCell ref="R22:R24"/>
    <mergeCell ref="AB19:AB21"/>
    <mergeCell ref="BT10:BT12"/>
    <mergeCell ref="I88:I90"/>
    <mergeCell ref="AG58:AG60"/>
    <mergeCell ref="BO106:BO108"/>
    <mergeCell ref="AA76:AA78"/>
    <mergeCell ref="BD109:BD111"/>
    <mergeCell ref="AH28:AH30"/>
    <mergeCell ref="N7:N9"/>
    <mergeCell ref="BD22:BD24"/>
    <mergeCell ref="Q43:Q45"/>
    <mergeCell ref="AU88:AU90"/>
    <mergeCell ref="AU82:AU84"/>
    <mergeCell ref="AD103:AD105"/>
    <mergeCell ref="BC16:BC18"/>
    <mergeCell ref="BM76:BM78"/>
    <mergeCell ref="AL61:AL63"/>
    <mergeCell ref="R40:R42"/>
    <mergeCell ref="Z97:Z99"/>
    <mergeCell ref="N61:N63"/>
    <mergeCell ref="BC43:BC45"/>
    <mergeCell ref="BA10:BA12"/>
    <mergeCell ref="Q103:Q105"/>
    <mergeCell ref="AC10:AC12"/>
    <mergeCell ref="J79:J81"/>
    <mergeCell ref="BG49:BG51"/>
    <mergeCell ref="T70:T72"/>
    <mergeCell ref="AU85:AU87"/>
    <mergeCell ref="Y31:Y33"/>
    <mergeCell ref="BL97:BL99"/>
    <mergeCell ref="AK109:AK111"/>
    <mergeCell ref="AL64:AL66"/>
    <mergeCell ref="BC67:BC69"/>
    <mergeCell ref="AI46:AI48"/>
    <mergeCell ref="AS37:AS39"/>
    <mergeCell ref="AZ58:AZ60"/>
    <mergeCell ref="I13:I15"/>
    <mergeCell ref="AV79:AV81"/>
    <mergeCell ref="AB58:AB60"/>
    <mergeCell ref="S4:S6"/>
    <mergeCell ref="A74:A75"/>
    <mergeCell ref="BF70:BF72"/>
    <mergeCell ref="BK31:BK33"/>
    <mergeCell ref="AJ16:AJ18"/>
    <mergeCell ref="X52:X54"/>
    <mergeCell ref="AR100:AR102"/>
    <mergeCell ref="V76:V78"/>
    <mergeCell ref="AK106:AK108"/>
    <mergeCell ref="BS13:BS15"/>
    <mergeCell ref="L13:L15"/>
    <mergeCell ref="AU13:AU15"/>
    <mergeCell ref="BQ40:BQ42"/>
    <mergeCell ref="H34:H36"/>
    <mergeCell ref="AB91:AB93"/>
    <mergeCell ref="R25:R27"/>
    <mergeCell ref="BM88:BM90"/>
    <mergeCell ref="AB85:AB87"/>
    <mergeCell ref="H64:H66"/>
    <mergeCell ref="AQ7:AQ9"/>
    <mergeCell ref="Z22:Z24"/>
    <mergeCell ref="BD67:BD69"/>
    <mergeCell ref="Q88:Q90"/>
    <mergeCell ref="BD61:BD63"/>
    <mergeCell ref="I25:I27"/>
    <mergeCell ref="Q82:Q84"/>
    <mergeCell ref="A92:A93"/>
    <mergeCell ref="AW73:AW75"/>
    <mergeCell ref="J94:J96"/>
    <mergeCell ref="H61:H63"/>
    <mergeCell ref="BS10:BS12"/>
    <mergeCell ref="BL22:BL24"/>
    <mergeCell ref="AK34:AK36"/>
    <mergeCell ref="AS91:AS93"/>
    <mergeCell ref="BC82:BC84"/>
    <mergeCell ref="AC49:AC51"/>
    <mergeCell ref="AT61:AT63"/>
    <mergeCell ref="BA55:BA57"/>
    <mergeCell ref="AT88:AT90"/>
    <mergeCell ref="Z40:Z42"/>
    <mergeCell ref="G109:G111"/>
    <mergeCell ref="BR58:BR60"/>
    <mergeCell ref="AM94:AM96"/>
    <mergeCell ref="BB16:BB18"/>
    <mergeCell ref="E55:E57"/>
    <mergeCell ref="Y103:Y105"/>
    <mergeCell ref="O37:O39"/>
    <mergeCell ref="V58:V60"/>
    <mergeCell ref="BS28:BS30"/>
    <mergeCell ref="AF49:AF51"/>
    <mergeCell ref="BB43:BB45"/>
    <mergeCell ref="F16:F18"/>
    <mergeCell ref="AS109:AS111"/>
    <mergeCell ref="BN106:BN108"/>
    <mergeCell ref="S70:S72"/>
    <mergeCell ref="AQ46:AQ48"/>
    <mergeCell ref="CL127:DZ127"/>
    <mergeCell ref="AO13:AO15"/>
    <mergeCell ref="BK103:BK105"/>
    <mergeCell ref="P67:P69"/>
    <mergeCell ref="BA37:BA39"/>
    <mergeCell ref="BK97:BK99"/>
    <mergeCell ref="BH58:BH60"/>
    <mergeCell ref="AY4:AY6"/>
    <mergeCell ref="AK64:AK66"/>
    <mergeCell ref="AH19:AH21"/>
    <mergeCell ref="AR16:AR18"/>
    <mergeCell ref="H109:H111"/>
    <mergeCell ref="AH55:AH57"/>
    <mergeCell ref="H22:H24"/>
    <mergeCell ref="BE70:BE72"/>
    <mergeCell ref="AK49:AK51"/>
    <mergeCell ref="AQ79:AQ81"/>
    <mergeCell ref="W58:W60"/>
    <mergeCell ref="AI16:AI18"/>
    <mergeCell ref="AQ73:AQ75"/>
    <mergeCell ref="W52:W54"/>
    <mergeCell ref="AJ85:AJ87"/>
    <mergeCell ref="BT19:BT21"/>
    <mergeCell ref="N31:N33"/>
    <mergeCell ref="G43:G45"/>
    <mergeCell ref="AA91:AA93"/>
    <mergeCell ref="BL61:BL63"/>
    <mergeCell ref="Q25:Q27"/>
    <mergeCell ref="X46:X48"/>
    <mergeCell ref="AK82:AK84"/>
    <mergeCell ref="BI52:BI54"/>
    <mergeCell ref="AH37:AH39"/>
    <mergeCell ref="AI19:AI21"/>
    <mergeCell ref="H4:H6"/>
    <mergeCell ref="P88:P90"/>
    <mergeCell ref="BT79:BT81"/>
    <mergeCell ref="AF10:AF12"/>
    <mergeCell ref="AG100:AG102"/>
    <mergeCell ref="M79:M81"/>
    <mergeCell ref="A47:A48"/>
    <mergeCell ref="BC25:BC27"/>
    <mergeCell ref="BM85:BM87"/>
    <mergeCell ref="Z106:Z108"/>
    <mergeCell ref="AO28:AO30"/>
    <mergeCell ref="BB88:BB90"/>
    <mergeCell ref="O109:O111"/>
    <mergeCell ref="BB82:BB84"/>
    <mergeCell ref="BT46:BT48"/>
    <mergeCell ref="O22:O24"/>
    <mergeCell ref="Y46:Y48"/>
    <mergeCell ref="BT76:BT78"/>
    <mergeCell ref="AS61:AS63"/>
    <mergeCell ref="Y40:Y42"/>
    <mergeCell ref="AG97:AG99"/>
    <mergeCell ref="BQ31:BQ33"/>
    <mergeCell ref="R52:R54"/>
    <mergeCell ref="P19:P21"/>
    <mergeCell ref="X76:X78"/>
    <mergeCell ref="D55:D57"/>
    <mergeCell ref="BH10:BH12"/>
    <mergeCell ref="BR34:BR36"/>
    <mergeCell ref="AH94:AH96"/>
    <mergeCell ref="E16:E18"/>
    <mergeCell ref="AA106:AA108"/>
    <mergeCell ref="BK40:BK42"/>
    <mergeCell ref="BS97:BS99"/>
    <mergeCell ref="AR109:AR111"/>
    <mergeCell ref="AW43:AW45"/>
    <mergeCell ref="AK7:AK9"/>
    <mergeCell ref="W10:W12"/>
    <mergeCell ref="BJ76:BJ78"/>
    <mergeCell ref="AP55:AP57"/>
    <mergeCell ref="BJ103:BJ105"/>
    <mergeCell ref="AI88:AI90"/>
    <mergeCell ref="AZ37:AZ39"/>
    <mergeCell ref="BG58:BG60"/>
    <mergeCell ref="BT94:BT96"/>
    <mergeCell ref="G82:G84"/>
    <mergeCell ref="BR31:BR33"/>
    <mergeCell ref="AQ16:AQ18"/>
    <mergeCell ref="B128:L128"/>
    <mergeCell ref="AC76:AC78"/>
    <mergeCell ref="BI10:BI12"/>
    <mergeCell ref="V31:V33"/>
    <mergeCell ref="AP79:AP81"/>
    <mergeCell ref="AM34:AM36"/>
    <mergeCell ref="AZ70:AZ72"/>
    <mergeCell ref="AW25:AW27"/>
    <mergeCell ref="BC106:BC108"/>
    <mergeCell ref="AI85:AI87"/>
    <mergeCell ref="BS19:BS21"/>
    <mergeCell ref="AZ97:AZ99"/>
    <mergeCell ref="F13:F15"/>
    <mergeCell ref="Z64:Z66"/>
    <mergeCell ref="F43:F45"/>
    <mergeCell ref="AO94:AO96"/>
    <mergeCell ref="BR49:BR51"/>
    <mergeCell ref="O67:O69"/>
    <mergeCell ref="G4:G6"/>
    <mergeCell ref="O61:O63"/>
    <mergeCell ref="AY31:AY33"/>
    <mergeCell ref="L52:L54"/>
    <mergeCell ref="AR7:AR9"/>
    <mergeCell ref="BQ103:BQ105"/>
    <mergeCell ref="BH49:BH51"/>
    <mergeCell ref="AN28:AN30"/>
    <mergeCell ref="I70:I72"/>
    <mergeCell ref="BA61:BA63"/>
    <mergeCell ref="AG40:AG42"/>
    <mergeCell ref="BA88:BA90"/>
    <mergeCell ref="F25:F27"/>
    <mergeCell ref="AE7:AE9"/>
    <mergeCell ref="N109:N111"/>
    <mergeCell ref="AX52:AX54"/>
    <mergeCell ref="BR100:BR102"/>
    <mergeCell ref="N22:N24"/>
    <mergeCell ref="X19:X21"/>
    <mergeCell ref="E88:E90"/>
    <mergeCell ref="AF97:AF99"/>
    <mergeCell ref="AC58:AC60"/>
    <mergeCell ref="M16:M18"/>
    <mergeCell ref="W76:W78"/>
    <mergeCell ref="C55:C57"/>
    <mergeCell ref="AZ109:AZ111"/>
    <mergeCell ref="M131:Q131"/>
    <mergeCell ref="AG91:AG93"/>
    <mergeCell ref="AQ88:AQ90"/>
    <mergeCell ref="W67:W69"/>
    <mergeCell ref="BR97:BR99"/>
    <mergeCell ref="AQ82:AQ84"/>
    <mergeCell ref="BF4:BF6"/>
    <mergeCell ref="AR64:AR66"/>
    <mergeCell ref="E85:E87"/>
    <mergeCell ref="BI76:BI78"/>
    <mergeCell ref="AO55:AO57"/>
    <mergeCell ref="N40:N42"/>
    <mergeCell ref="F82:F84"/>
    <mergeCell ref="AP16:AP18"/>
    <mergeCell ref="M103:M105"/>
    <mergeCell ref="C37:C39"/>
    <mergeCell ref="AS58:AS60"/>
    <mergeCell ref="BC49:BC51"/>
    <mergeCell ref="AI28:AI30"/>
    <mergeCell ref="AQ85:AQ87"/>
    <mergeCell ref="U31:U33"/>
    <mergeCell ref="AG109:AG111"/>
    <mergeCell ref="AY70:AY72"/>
    <mergeCell ref="AH91:AH93"/>
    <mergeCell ref="BB106:BB108"/>
    <mergeCell ref="AH85:AH87"/>
    <mergeCell ref="AE46:AE48"/>
    <mergeCell ref="AR82:AR84"/>
    <mergeCell ref="AO37:AO39"/>
    <mergeCell ref="AV58:AV60"/>
    <mergeCell ref="BN19:BN21"/>
    <mergeCell ref="E13:E15"/>
    <mergeCell ref="O4:O6"/>
    <mergeCell ref="Y64:Y66"/>
    <mergeCell ref="BG31:BG33"/>
    <mergeCell ref="AF16:AF18"/>
    <mergeCell ref="AN100:AN102"/>
    <mergeCell ref="BT85:BT87"/>
    <mergeCell ref="BQ46:BQ48"/>
    <mergeCell ref="D37:D39"/>
    <mergeCell ref="BO13:BO15"/>
    <mergeCell ref="K58:K60"/>
    <mergeCell ref="AQ13:AQ15"/>
    <mergeCell ref="G73:G75"/>
    <mergeCell ref="BM40:BM42"/>
    <mergeCell ref="BM67:BM69"/>
    <mergeCell ref="BI88:BI90"/>
    <mergeCell ref="X85:X87"/>
    <mergeCell ref="D64:D66"/>
    <mergeCell ref="AM7:AM9"/>
    <mergeCell ref="BP103:BP105"/>
    <mergeCell ref="AH109:AH111"/>
    <mergeCell ref="V22:V24"/>
    <mergeCell ref="AZ67:AZ69"/>
    <mergeCell ref="AZ61:AZ63"/>
    <mergeCell ref="O91:O93"/>
    <mergeCell ref="AF40:AF42"/>
    <mergeCell ref="E25:E27"/>
    <mergeCell ref="BQ73:BQ75"/>
    <mergeCell ref="AW52:AW54"/>
    <mergeCell ref="BR55:BR57"/>
    <mergeCell ref="W19:W21"/>
    <mergeCell ref="AE76:AE78"/>
    <mergeCell ref="K55:K57"/>
    <mergeCell ref="D88:D90"/>
    <mergeCell ref="BO10:BO12"/>
    <mergeCell ref="BH22:BH24"/>
    <mergeCell ref="L16:L18"/>
    <mergeCell ref="BR40:BR42"/>
    <mergeCell ref="AF73:AF75"/>
    <mergeCell ref="AY109:AY111"/>
    <mergeCell ref="BP7:BP9"/>
    <mergeCell ref="AC28:AC30"/>
    <mergeCell ref="E28:E30"/>
    <mergeCell ref="AY22:AY24"/>
    <mergeCell ref="L43:L45"/>
    <mergeCell ref="BI19:BI21"/>
    <mergeCell ref="BQ76:BQ78"/>
    <mergeCell ref="V40:V42"/>
    <mergeCell ref="AP88:AP90"/>
    <mergeCell ref="C109:C111"/>
    <mergeCell ref="BR37:BR39"/>
    <mergeCell ref="M46:M48"/>
    <mergeCell ref="AX16:AX18"/>
    <mergeCell ref="U103:U105"/>
    <mergeCell ref="BH76:BH78"/>
    <mergeCell ref="BO28:BO30"/>
    <mergeCell ref="BR91:BR93"/>
    <mergeCell ref="L76:L78"/>
    <mergeCell ref="AT34:AT36"/>
    <mergeCell ref="AO109:AO111"/>
    <mergeCell ref="BD25:BD27"/>
    <mergeCell ref="BB49:BB51"/>
    <mergeCell ref="BJ106:BJ108"/>
    <mergeCell ref="O70:O72"/>
    <mergeCell ref="T31:T33"/>
    <mergeCell ref="O106:O108"/>
    <mergeCell ref="L67:L69"/>
    <mergeCell ref="BG97:BG99"/>
    <mergeCell ref="AG64:AG66"/>
    <mergeCell ref="M43:M45"/>
    <mergeCell ref="AD55:AD57"/>
    <mergeCell ref="AV100:AV102"/>
    <mergeCell ref="AN37:AN39"/>
    <mergeCell ref="AV94:AV96"/>
    <mergeCell ref="D22:D24"/>
    <mergeCell ref="N4:N6"/>
    <mergeCell ref="V61:V63"/>
    <mergeCell ref="V97:V99"/>
    <mergeCell ref="S58:S60"/>
    <mergeCell ref="BF31:BF33"/>
    <mergeCell ref="S52:S54"/>
    <mergeCell ref="AM100:AM102"/>
    <mergeCell ref="AE16:AE18"/>
    <mergeCell ref="BP46:BP48"/>
    <mergeCell ref="AD79:AD81"/>
    <mergeCell ref="F79:F81"/>
    <mergeCell ref="BL40:BL42"/>
    <mergeCell ref="AZ4:AZ6"/>
    <mergeCell ref="W91:W93"/>
    <mergeCell ref="BH61:BH63"/>
    <mergeCell ref="M25:M27"/>
    <mergeCell ref="W85:W87"/>
    <mergeCell ref="AL7:AL9"/>
    <mergeCell ref="M61:M63"/>
    <mergeCell ref="AO43:AO45"/>
    <mergeCell ref="AE19:AE21"/>
    <mergeCell ref="AY67:AY69"/>
    <mergeCell ref="D4:D6"/>
    <mergeCell ref="L88:L90"/>
    <mergeCell ref="BP79:BP81"/>
    <mergeCell ref="AC100:AC102"/>
    <mergeCell ref="AO34:AO36"/>
    <mergeCell ref="AD76:AD78"/>
    <mergeCell ref="AY25:AY27"/>
    <mergeCell ref="AN73:AN75"/>
    <mergeCell ref="A128:A131"/>
    <mergeCell ref="AX88:AX90"/>
    <mergeCell ref="AX82:AX84"/>
    <mergeCell ref="AB34:AB36"/>
    <mergeCell ref="AO67:AO69"/>
    <mergeCell ref="BP76:BP78"/>
    <mergeCell ref="AO61:AO63"/>
    <mergeCell ref="AV55:AV57"/>
    <mergeCell ref="U40:U42"/>
    <mergeCell ref="AT22:AT24"/>
    <mergeCell ref="C64:C66"/>
    <mergeCell ref="AH100:AH102"/>
    <mergeCell ref="T103:T105"/>
    <mergeCell ref="J37:J39"/>
    <mergeCell ref="BN34:BN36"/>
    <mergeCell ref="AD94:AD96"/>
    <mergeCell ref="BN28:BN30"/>
    <mergeCell ref="BJ49:BJ51"/>
    <mergeCell ref="AV52:AV54"/>
    <mergeCell ref="AN109:AN111"/>
    <mergeCell ref="AS43:AS45"/>
    <mergeCell ref="BM91:BM93"/>
    <mergeCell ref="AO91:AO93"/>
    <mergeCell ref="S10:S12"/>
    <mergeCell ref="A11:A12"/>
    <mergeCell ref="AY82:AY84"/>
    <mergeCell ref="AL55:AL57"/>
    <mergeCell ref="BF103:BF105"/>
    <mergeCell ref="K67:K69"/>
    <mergeCell ref="AV37:AV39"/>
    <mergeCell ref="BC58:BC60"/>
    <mergeCell ref="BF97:BF99"/>
    <mergeCell ref="BP94:BP96"/>
    <mergeCell ref="AF64:AF66"/>
    <mergeCell ref="BN31:BN33"/>
    <mergeCell ref="AM16:AM18"/>
    <mergeCell ref="AW76:AW78"/>
    <mergeCell ref="C82:C84"/>
    <mergeCell ref="Y76:Y78"/>
    <mergeCell ref="BE10:BE12"/>
    <mergeCell ref="AL79:AL81"/>
    <mergeCell ref="R58:R60"/>
    <mergeCell ref="AB49:AB51"/>
    <mergeCell ref="BT40:BT42"/>
    <mergeCell ref="BR64:BR66"/>
    <mergeCell ref="AE85:AE87"/>
    <mergeCell ref="BK46:BK48"/>
    <mergeCell ref="V64:V66"/>
    <mergeCell ref="V91:V93"/>
    <mergeCell ref="AF82:AF84"/>
    <mergeCell ref="BD58:BD60"/>
    <mergeCell ref="AU4:AU6"/>
    <mergeCell ref="BD52:BD54"/>
    <mergeCell ref="AD19:AD21"/>
    <mergeCell ref="C4:C6"/>
    <mergeCell ref="K88:K90"/>
    <mergeCell ref="BQ85:BQ87"/>
    <mergeCell ref="AU31:AU33"/>
    <mergeCell ref="H52:H54"/>
    <mergeCell ref="BM70:BM72"/>
    <mergeCell ref="H79:H81"/>
    <mergeCell ref="BM106:BM108"/>
    <mergeCell ref="AX25:AX27"/>
    <mergeCell ref="AJ34:AJ36"/>
    <mergeCell ref="P13:P15"/>
    <mergeCell ref="AJ28:AJ30"/>
    <mergeCell ref="E70:E72"/>
    <mergeCell ref="BP19:BP21"/>
    <mergeCell ref="BQ109:BQ111"/>
    <mergeCell ref="AW88:AW90"/>
    <mergeCell ref="AC40:AC42"/>
    <mergeCell ref="AA7:AA9"/>
    <mergeCell ref="J109:J111"/>
    <mergeCell ref="CL129:DZ129"/>
    <mergeCell ref="BN100:BN102"/>
    <mergeCell ref="J22:J24"/>
    <mergeCell ref="T19:T21"/>
    <mergeCell ref="T46:T48"/>
    <mergeCell ref="AB103:AB105"/>
    <mergeCell ref="BO76:BO78"/>
    <mergeCell ref="CL131:DZ131"/>
    <mergeCell ref="AB97:AB99"/>
    <mergeCell ref="AD37:AD39"/>
    <mergeCell ref="AL94:AL96"/>
    <mergeCell ref="K19:K21"/>
    <mergeCell ref="S76:S78"/>
    <mergeCell ref="AV109:AV111"/>
    <mergeCell ref="V106:V108"/>
    <mergeCell ref="S67:S69"/>
    <mergeCell ref="BN97:BN99"/>
    <mergeCell ref="BF40:BF42"/>
    <mergeCell ref="AN64:AN66"/>
    <mergeCell ref="M49:M51"/>
    <mergeCell ref="R10:R12"/>
    <mergeCell ref="BE76:BE78"/>
    <mergeCell ref="AK55:AK57"/>
    <mergeCell ref="K22:K24"/>
    <mergeCell ref="BM31:BM33"/>
    <mergeCell ref="AL16:AL18"/>
    <mergeCell ref="I103:I105"/>
    <mergeCell ref="T76:T78"/>
    <mergeCell ref="BD10:BD12"/>
    <mergeCell ref="Q31:Q33"/>
    <mergeCell ref="AK79:AK81"/>
    <mergeCell ref="AU70:AU72"/>
    <mergeCell ref="AD91:AD93"/>
    <mergeCell ref="AX106:AX108"/>
    <mergeCell ref="AD85:AD87"/>
    <mergeCell ref="AA46:AA48"/>
    <mergeCell ref="AN82:AN84"/>
    <mergeCell ref="AK37:AK39"/>
    <mergeCell ref="BJ19:BJ21"/>
    <mergeCell ref="K4:K6"/>
    <mergeCell ref="BF67:BF69"/>
    <mergeCell ref="U64:U66"/>
    <mergeCell ref="BC31:BC33"/>
    <mergeCell ref="AJ100:AJ102"/>
    <mergeCell ref="BT34:BT36"/>
    <mergeCell ref="J67:J69"/>
    <mergeCell ref="J61:J63"/>
    <mergeCell ref="BP85:BP87"/>
    <mergeCell ref="J97:J99"/>
    <mergeCell ref="AP52:AP54"/>
    <mergeCell ref="C73:C75"/>
    <mergeCell ref="AI34:AI36"/>
    <mergeCell ref="BL103:BL105"/>
    <mergeCell ref="AD109:AD111"/>
    <mergeCell ref="AS25:AS27"/>
    <mergeCell ref="A35:A36"/>
    <mergeCell ref="D70:D72"/>
    <mergeCell ref="AV61:AV63"/>
    <mergeCell ref="AB40:AB42"/>
    <mergeCell ref="AV97:AV99"/>
    <mergeCell ref="AS52:AS54"/>
    <mergeCell ref="BN55:BN57"/>
    <mergeCell ref="S19:S21"/>
    <mergeCell ref="G55:G57"/>
    <mergeCell ref="AA103:AA105"/>
    <mergeCell ref="X58:X60"/>
    <mergeCell ref="AK94:AK96"/>
    <mergeCell ref="K61:K63"/>
    <mergeCell ref="H16:H18"/>
    <mergeCell ref="BN40:BN42"/>
    <mergeCell ref="BL7:BL9"/>
    <mergeCell ref="AU109:AU111"/>
    <mergeCell ref="AZ43:AZ45"/>
    <mergeCell ref="Y28:Y30"/>
    <mergeCell ref="BM103:BM105"/>
    <mergeCell ref="AL88:AL90"/>
    <mergeCell ref="R67:R69"/>
    <mergeCell ref="BM97:BM99"/>
    <mergeCell ref="BA4:BA6"/>
    <mergeCell ref="I46:I48"/>
    <mergeCell ref="AT16:AT18"/>
    <mergeCell ref="BD76:BD78"/>
    <mergeCell ref="AT52:AT54"/>
    <mergeCell ref="AS79:AS81"/>
    <mergeCell ref="AS73:AS75"/>
    <mergeCell ref="BC70:BC72"/>
    <mergeCell ref="AJ52:AJ54"/>
    <mergeCell ref="P31:P33"/>
    <mergeCell ref="K106:K108"/>
    <mergeCell ref="AC64:AC66"/>
    <mergeCell ref="I43:I45"/>
    <mergeCell ref="AC91:AC93"/>
    <mergeCell ref="AM82:AM84"/>
    <mergeCell ref="AT103:AT105"/>
    <mergeCell ref="AJ37:AJ39"/>
    <mergeCell ref="J4:J6"/>
    <mergeCell ref="R97:R99"/>
    <mergeCell ref="BB31:BB33"/>
    <mergeCell ref="O52:O54"/>
    <mergeCell ref="AI100:AI102"/>
    <mergeCell ref="BO91:BO93"/>
    <mergeCell ref="Z79:Z81"/>
    <mergeCell ref="F58:F60"/>
    <mergeCell ref="BK85:BK87"/>
    <mergeCell ref="BH40:BH42"/>
    <mergeCell ref="AV4:AV6"/>
    <mergeCell ref="S91:S93"/>
    <mergeCell ref="AJ40:AJ42"/>
    <mergeCell ref="S85:S87"/>
    <mergeCell ref="AH7:AH9"/>
    <mergeCell ref="I61:I63"/>
    <mergeCell ref="AU67:AU69"/>
    <mergeCell ref="AU61:AU63"/>
    <mergeCell ref="AR58:AR60"/>
    <mergeCell ref="BM55:BM57"/>
    <mergeCell ref="R19:R21"/>
    <mergeCell ref="Z76:Z78"/>
    <mergeCell ref="F55:F57"/>
    <mergeCell ref="AB16:AB18"/>
    <mergeCell ref="BJ10:BJ12"/>
    <mergeCell ref="BT7:BT9"/>
    <mergeCell ref="BC22:BC24"/>
    <mergeCell ref="AC106:AC108"/>
    <mergeCell ref="AA73:AA75"/>
    <mergeCell ref="X34:X36"/>
    <mergeCell ref="BS64:BS66"/>
    <mergeCell ref="AY43:AY45"/>
    <mergeCell ref="D13:D15"/>
    <mergeCell ref="T85:T87"/>
    <mergeCell ref="BL76:BL78"/>
    <mergeCell ref="AR55:AR57"/>
    <mergeCell ref="AK88:AK90"/>
    <mergeCell ref="Q40:Q42"/>
    <mergeCell ref="AP22:AP24"/>
    <mergeCell ref="C43:C45"/>
    <mergeCell ref="BC55:BC57"/>
    <mergeCell ref="BM37:BM39"/>
    <mergeCell ref="I82:I84"/>
    <mergeCell ref="AS16:AS18"/>
    <mergeCell ref="P103:P105"/>
    <mergeCell ref="F37:F39"/>
    <mergeCell ref="BM73:BM75"/>
    <mergeCell ref="AP13:AP15"/>
    <mergeCell ref="Z94:Z96"/>
    <mergeCell ref="BJ28:BJ30"/>
    <mergeCell ref="BF49:BF51"/>
    <mergeCell ref="BK10:BK12"/>
    <mergeCell ref="X31:X33"/>
    <mergeCell ref="AJ109:AJ111"/>
    <mergeCell ref="BB70:BB72"/>
    <mergeCell ref="BI91:BI93"/>
    <mergeCell ref="AK91:AK93"/>
    <mergeCell ref="AY61:AY63"/>
    <mergeCell ref="O10:O12"/>
    <mergeCell ref="BB103:BB105"/>
    <mergeCell ref="BB97:BB99"/>
    <mergeCell ref="BQ19:BQ21"/>
    <mergeCell ref="BL94:BL96"/>
    <mergeCell ref="R4:R6"/>
    <mergeCell ref="AB64:AB66"/>
    <mergeCell ref="H43:H45"/>
    <mergeCell ref="BJ31:BJ33"/>
    <mergeCell ref="Y55:Y57"/>
    <mergeCell ref="AQ100:AQ102"/>
    <mergeCell ref="Q67:Q69"/>
    <mergeCell ref="A44:A45"/>
    <mergeCell ref="G37:G39"/>
    <mergeCell ref="BR13:BR15"/>
    <mergeCell ref="Q97:Q99"/>
    <mergeCell ref="N58:N60"/>
    <mergeCell ref="N52:N54"/>
    <mergeCell ref="BK28:BK30"/>
    <mergeCell ref="X49:X51"/>
    <mergeCell ref="BN64:BN66"/>
    <mergeCell ref="AT43:AT45"/>
    <mergeCell ref="AR10:AR12"/>
    <mergeCell ref="E31:E33"/>
  </mergeCells>
  <printOptions horizontalCentered="1"/>
  <pageMargins left="0.25" right="0.25" top="0.75" bottom="0.25" header="0" footer="0"/>
  <pageSetup orientation="portrait" paperSize="3" scale="35" pageOrder="overThenDown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Z148"/>
  <sheetViews>
    <sheetView zoomScale="40" zoomScaleNormal="40" workbookViewId="0">
      <selection activeCell="CH8" sqref="CH8"/>
    </sheetView>
  </sheetViews>
  <sheetFormatPr baseColWidth="8" defaultColWidth="11.7109375" defaultRowHeight="12.75"/>
  <cols>
    <col width="5.7109375" customWidth="1" style="212" min="1" max="1"/>
    <col width="30.7109375" customWidth="1" style="1" min="2" max="2"/>
    <col width="7.28515625" bestFit="1" customWidth="1" style="2" min="3" max="3"/>
    <col width="2.5703125" customWidth="1" style="1" min="4" max="128"/>
    <col width="2.7109375" customWidth="1" style="1" min="129" max="130"/>
    <col hidden="1" width="2.42578125" customWidth="1" style="1" min="131" max="131"/>
    <col hidden="1" width="8.7109375" customWidth="1" style="2" min="132" max="132"/>
    <col hidden="1" style="2" min="133" max="172"/>
    <col hidden="1" width="11.5703125" customWidth="1" style="212" min="173" max="173"/>
    <col hidden="1" width="10.5703125" customWidth="1" style="212" min="174" max="174"/>
    <col hidden="1" width="10.85546875" customWidth="1" style="212" min="175" max="175"/>
    <col hidden="1" width="10.5703125" customWidth="1" style="212" min="176" max="177"/>
    <col hidden="1" width="10.85546875" customWidth="1" style="212" min="178" max="178"/>
    <col hidden="1" width="9.5703125" customWidth="1" style="212" min="179" max="179"/>
    <col hidden="1" width="11.7109375" customWidth="1" style="212" min="180" max="245"/>
    <col width="11.7109375" customWidth="1" style="212" min="246" max="247"/>
    <col width="11.7109375" customWidth="1" style="212" min="248" max="16384"/>
  </cols>
  <sheetData>
    <row r="1" ht="36" customHeight="1">
      <c r="A1" s="612">
        <f>Thickness!A1</f>
        <v/>
      </c>
      <c r="B1" s="446" t="n"/>
      <c r="C1" s="473">
        <f>IF(ISBLANK(Thickness!C1),"",(Thickness!C1))</f>
        <v/>
      </c>
      <c r="D1" s="448" t="n"/>
      <c r="E1" s="448" t="n"/>
      <c r="F1" s="448" t="n"/>
      <c r="G1" s="448" t="n"/>
      <c r="H1" s="448" t="n"/>
      <c r="I1" s="448" t="n"/>
      <c r="J1" s="448" t="n"/>
      <c r="K1" s="448" t="n"/>
      <c r="L1" s="448" t="n"/>
      <c r="M1" s="448" t="n"/>
      <c r="N1" s="448" t="n"/>
      <c r="O1" s="448" t="n"/>
      <c r="P1" s="448" t="n"/>
      <c r="Q1" s="448" t="n"/>
      <c r="R1" s="448" t="n"/>
      <c r="S1" s="448" t="n"/>
      <c r="T1" s="448" t="n"/>
      <c r="U1" s="448" t="n"/>
      <c r="V1" s="448" t="n"/>
      <c r="W1" s="448" t="n"/>
      <c r="X1" s="448" t="n"/>
      <c r="Y1" s="448" t="n"/>
      <c r="Z1" s="448" t="n"/>
      <c r="AA1" s="448" t="n"/>
      <c r="AB1" s="448" t="n"/>
      <c r="AC1" s="448" t="n"/>
      <c r="AD1" s="448" t="n"/>
      <c r="AE1" s="448" t="n"/>
      <c r="AF1" s="448" t="n"/>
      <c r="AG1" s="448" t="n"/>
      <c r="AH1" s="448" t="n"/>
      <c r="AI1" s="448" t="n"/>
      <c r="AJ1" s="448" t="n"/>
      <c r="AK1" s="448" t="n"/>
      <c r="AL1" s="448" t="n"/>
      <c r="AM1" s="448" t="n"/>
      <c r="AN1" s="448" t="n"/>
      <c r="AO1" s="448" t="n"/>
      <c r="AP1" s="448" t="n"/>
      <c r="AQ1" s="448" t="n"/>
      <c r="AR1" s="448" t="n"/>
      <c r="AS1" s="448" t="n"/>
      <c r="AT1" s="448" t="n"/>
      <c r="AU1" s="448" t="n"/>
      <c r="AV1" s="448" t="n"/>
      <c r="AW1" s="448" t="n"/>
      <c r="AX1" s="448" t="n"/>
      <c r="AY1" s="448" t="n"/>
      <c r="AZ1" s="448" t="n"/>
      <c r="BA1" s="448" t="n"/>
      <c r="BB1" s="448" t="n"/>
      <c r="BC1" s="448" t="n"/>
      <c r="BD1" s="448" t="n"/>
      <c r="BE1" s="448" t="n"/>
      <c r="BF1" s="448" t="n"/>
      <c r="BG1" s="448" t="n"/>
      <c r="BH1" s="448" t="n"/>
      <c r="BI1" s="448" t="n"/>
      <c r="BJ1" s="448" t="n"/>
      <c r="BK1" s="448" t="n"/>
      <c r="BL1" s="448" t="n"/>
      <c r="BM1" s="448" t="n"/>
      <c r="BN1" s="448" t="n"/>
      <c r="BO1" s="448" t="n"/>
      <c r="BP1" s="448" t="n"/>
      <c r="BQ1" s="448" t="n"/>
      <c r="BR1" s="448" t="n"/>
      <c r="BS1" s="448" t="n"/>
      <c r="BT1" s="448" t="n"/>
      <c r="BU1" s="448" t="n"/>
      <c r="BV1" s="448" t="n"/>
      <c r="BW1" s="448" t="n"/>
      <c r="BX1" s="448" t="n"/>
      <c r="BY1" s="448" t="n"/>
      <c r="BZ1" s="448" t="n"/>
      <c r="CA1" s="448" t="n"/>
      <c r="CB1" s="448" t="n"/>
      <c r="CC1" s="448" t="n"/>
      <c r="CD1" s="448" t="n"/>
      <c r="CE1" s="448" t="n"/>
      <c r="CF1" s="448" t="n"/>
      <c r="CG1" s="448" t="n"/>
      <c r="CH1" s="448" t="n"/>
      <c r="CI1" s="448" t="n"/>
      <c r="CJ1" s="448" t="n"/>
      <c r="CK1" s="448" t="n"/>
      <c r="CL1" s="448" t="n"/>
      <c r="CM1" s="448" t="n"/>
      <c r="CN1" s="448" t="n"/>
      <c r="CO1" s="448" t="n"/>
      <c r="CP1" s="448" t="n"/>
      <c r="CQ1" s="448" t="n"/>
      <c r="CR1" s="448" t="n"/>
      <c r="CS1" s="448" t="n"/>
      <c r="CT1" s="448" t="n"/>
      <c r="CU1" s="448" t="n"/>
      <c r="CV1" s="448" t="n"/>
      <c r="CW1" s="448" t="n"/>
      <c r="CX1" s="448" t="n"/>
      <c r="CY1" s="448" t="n"/>
      <c r="CZ1" s="448" t="n"/>
      <c r="DA1" s="448" t="n"/>
      <c r="DB1" s="448" t="n"/>
      <c r="DC1" s="448" t="n"/>
      <c r="DD1" s="448" t="n"/>
      <c r="DE1" s="448" t="n"/>
      <c r="DF1" s="448" t="n"/>
      <c r="DG1" s="448" t="n"/>
      <c r="DH1" s="448" t="n"/>
      <c r="DI1" s="448" t="n"/>
      <c r="DJ1" s="448" t="n"/>
      <c r="DK1" s="448" t="n"/>
      <c r="DL1" s="448" t="n"/>
      <c r="DM1" s="448" t="n"/>
      <c r="DN1" s="448" t="n"/>
      <c r="DO1" s="448" t="n"/>
      <c r="DP1" s="449" t="n"/>
      <c r="DQ1" s="450" t="inlineStr">
        <is>
          <t>OBSTRUCTION</t>
        </is>
      </c>
      <c r="DR1" s="448" t="n"/>
      <c r="DS1" s="448" t="n"/>
      <c r="DT1" s="448" t="n"/>
      <c r="DU1" s="448" t="n"/>
      <c r="DV1" s="448" t="n"/>
      <c r="DW1" s="448" t="n"/>
      <c r="DX1" s="448" t="n"/>
      <c r="DY1" s="448" t="n"/>
      <c r="DZ1" s="449" t="n"/>
    </row>
    <row r="2" ht="36" customFormat="1" customHeight="1" s="5">
      <c r="A2" s="14" t="n"/>
      <c r="B2" s="451" t="n"/>
      <c r="C2" s="473" t="inlineStr">
        <is>
          <t>TUBES NUMBERED LEFT TO RIGHT FACING WALL.  LOW THICKNESS MEASUREMENTS ARE IN INCHES.</t>
        </is>
      </c>
      <c r="D2" s="448" t="n"/>
      <c r="E2" s="448" t="n"/>
      <c r="F2" s="448" t="n"/>
      <c r="G2" s="448" t="n"/>
      <c r="H2" s="448" t="n"/>
      <c r="I2" s="448" t="n"/>
      <c r="J2" s="448" t="n"/>
      <c r="K2" s="448" t="n"/>
      <c r="L2" s="448" t="n"/>
      <c r="M2" s="448" t="n"/>
      <c r="N2" s="448" t="n"/>
      <c r="O2" s="448" t="n"/>
      <c r="P2" s="448" t="n"/>
      <c r="Q2" s="448" t="n"/>
      <c r="R2" s="448" t="n"/>
      <c r="S2" s="448" t="n"/>
      <c r="T2" s="448" t="n"/>
      <c r="U2" s="448" t="n"/>
      <c r="V2" s="448" t="n"/>
      <c r="W2" s="448" t="n"/>
      <c r="X2" s="448" t="n"/>
      <c r="Y2" s="448" t="n"/>
      <c r="Z2" s="448" t="n"/>
      <c r="AA2" s="448" t="n"/>
      <c r="AB2" s="448" t="n"/>
      <c r="AC2" s="448" t="n"/>
      <c r="AD2" s="448" t="n"/>
      <c r="AE2" s="448" t="n"/>
      <c r="AF2" s="448" t="n"/>
      <c r="AG2" s="448" t="n"/>
      <c r="AH2" s="448" t="n"/>
      <c r="AI2" s="448" t="n"/>
      <c r="AJ2" s="448" t="n"/>
      <c r="AK2" s="448" t="n"/>
      <c r="AL2" s="448" t="n"/>
      <c r="AM2" s="448" t="n"/>
      <c r="AN2" s="448" t="n"/>
      <c r="AO2" s="448" t="n"/>
      <c r="AP2" s="448" t="n"/>
      <c r="AQ2" s="448" t="n"/>
      <c r="AR2" s="448" t="n"/>
      <c r="AS2" s="448" t="n"/>
      <c r="AT2" s="448" t="n"/>
      <c r="AU2" s="448" t="n"/>
      <c r="AV2" s="448" t="n"/>
      <c r="AW2" s="448" t="n"/>
      <c r="AX2" s="448" t="n"/>
      <c r="AY2" s="448" t="n"/>
      <c r="AZ2" s="448" t="n"/>
      <c r="BA2" s="448" t="n"/>
      <c r="BB2" s="448" t="n"/>
      <c r="BC2" s="448" t="n"/>
      <c r="BD2" s="448" t="n"/>
      <c r="BE2" s="448" t="n"/>
      <c r="BF2" s="448" t="n"/>
      <c r="BG2" s="448" t="n"/>
      <c r="BH2" s="448" t="n"/>
      <c r="BI2" s="448" t="n"/>
      <c r="BJ2" s="448" t="n"/>
      <c r="BK2" s="448" t="n"/>
      <c r="BL2" s="448" t="n"/>
      <c r="BM2" s="448" t="n"/>
      <c r="BN2" s="448" t="n"/>
      <c r="BO2" s="448" t="n"/>
      <c r="BP2" s="448" t="n"/>
      <c r="BQ2" s="448" t="n"/>
      <c r="BR2" s="448" t="n"/>
      <c r="BS2" s="448" t="n"/>
      <c r="BT2" s="448" t="n"/>
      <c r="BU2" s="448" t="n"/>
      <c r="BV2" s="448" t="n"/>
      <c r="BW2" s="448" t="n"/>
      <c r="BX2" s="448" t="n"/>
      <c r="BY2" s="448" t="n"/>
      <c r="BZ2" s="448" t="n"/>
      <c r="CA2" s="448" t="n"/>
      <c r="CB2" s="448" t="n"/>
      <c r="CC2" s="448" t="n"/>
      <c r="CD2" s="448" t="n"/>
      <c r="CE2" s="448" t="n"/>
      <c r="CF2" s="448" t="n"/>
      <c r="CG2" s="448" t="n"/>
      <c r="CH2" s="448" t="n"/>
      <c r="CI2" s="448" t="n"/>
      <c r="CJ2" s="448" t="n"/>
      <c r="CK2" s="448" t="n"/>
      <c r="CL2" s="448" t="n"/>
      <c r="CM2" s="448" t="n"/>
      <c r="CN2" s="448" t="n"/>
      <c r="CO2" s="448" t="n"/>
      <c r="CP2" s="448" t="n"/>
      <c r="CQ2" s="448" t="n"/>
      <c r="CR2" s="448" t="n"/>
      <c r="CS2" s="448" t="n"/>
      <c r="CT2" s="448" t="n"/>
      <c r="CU2" s="448" t="n"/>
      <c r="CV2" s="448" t="n"/>
      <c r="CW2" s="448" t="n"/>
      <c r="CX2" s="448" t="n"/>
      <c r="CY2" s="448" t="n"/>
      <c r="CZ2" s="448" t="n"/>
      <c r="DA2" s="448" t="n"/>
      <c r="DB2" s="448" t="n"/>
      <c r="DC2" s="448" t="n"/>
      <c r="DD2" s="448" t="n"/>
      <c r="DE2" s="448" t="n"/>
      <c r="DF2" s="448" t="n"/>
      <c r="DG2" s="448" t="n"/>
      <c r="DH2" s="448" t="n"/>
      <c r="DI2" s="448" t="n"/>
      <c r="DJ2" s="448" t="n"/>
      <c r="DK2" s="448" t="n"/>
      <c r="DL2" s="448" t="n"/>
      <c r="DM2" s="448" t="n"/>
      <c r="DN2" s="448" t="n"/>
      <c r="DO2" s="448" t="n"/>
      <c r="DP2" s="449" t="n"/>
      <c r="DQ2" s="450" t="inlineStr">
        <is>
          <t>ORIENTATION</t>
        </is>
      </c>
      <c r="DR2" s="448" t="n"/>
      <c r="DS2" s="448" t="n"/>
      <c r="DT2" s="448" t="n"/>
      <c r="DU2" s="448" t="n"/>
      <c r="DV2" s="448" t="n"/>
      <c r="DW2" s="448" t="n"/>
      <c r="DX2" s="448" t="n"/>
      <c r="DY2" s="448" t="n"/>
      <c r="DZ2" s="449" t="n"/>
      <c r="EA2" s="4" t="n"/>
    </row>
    <row r="3" ht="36" customFormat="1" customHeight="1" s="5">
      <c r="A3" s="453" t="inlineStr">
        <is>
          <t>ELEVATION</t>
        </is>
      </c>
      <c r="B3" s="449" t="n"/>
      <c r="C3" s="18" t="inlineStr">
        <is>
          <t>LOC</t>
        </is>
      </c>
      <c r="D3" s="25" t="n">
        <v>1</v>
      </c>
      <c r="E3" s="19" t="n">
        <v>2</v>
      </c>
      <c r="F3" s="19" t="n">
        <v>3</v>
      </c>
      <c r="G3" s="19" t="n">
        <v>4</v>
      </c>
      <c r="H3" s="19" t="n">
        <v>5</v>
      </c>
      <c r="I3" s="19" t="n">
        <v>6</v>
      </c>
      <c r="J3" s="19" t="n">
        <v>7</v>
      </c>
      <c r="K3" s="19" t="n">
        <v>8</v>
      </c>
      <c r="L3" s="19" t="n">
        <v>9</v>
      </c>
      <c r="M3" s="19" t="n">
        <v>10</v>
      </c>
      <c r="N3" s="19" t="n">
        <v>11</v>
      </c>
      <c r="O3" s="19" t="n">
        <v>12</v>
      </c>
      <c r="P3" s="19" t="n">
        <v>13</v>
      </c>
      <c r="Q3" s="19" t="n">
        <v>14</v>
      </c>
      <c r="R3" s="19" t="n">
        <v>15</v>
      </c>
      <c r="S3" s="19" t="n">
        <v>16</v>
      </c>
      <c r="T3" s="19" t="n">
        <v>17</v>
      </c>
      <c r="U3" s="19" t="n">
        <v>18</v>
      </c>
      <c r="V3" s="19" t="n">
        <v>19</v>
      </c>
      <c r="W3" s="19" t="n">
        <v>20</v>
      </c>
      <c r="X3" s="19" t="n">
        <v>21</v>
      </c>
      <c r="Y3" s="19" t="n">
        <v>22</v>
      </c>
      <c r="Z3" s="19" t="n">
        <v>23</v>
      </c>
      <c r="AA3" s="19" t="n">
        <v>24</v>
      </c>
      <c r="AB3" s="19" t="n">
        <v>25</v>
      </c>
      <c r="AC3" s="19" t="n">
        <v>26</v>
      </c>
      <c r="AD3" s="19" t="n">
        <v>27</v>
      </c>
      <c r="AE3" s="19" t="n">
        <v>28</v>
      </c>
      <c r="AF3" s="19" t="n">
        <v>29</v>
      </c>
      <c r="AG3" s="19" t="n">
        <v>30</v>
      </c>
      <c r="AH3" s="19" t="n">
        <v>31</v>
      </c>
      <c r="AI3" s="19" t="n">
        <v>32</v>
      </c>
      <c r="AJ3" s="19" t="n">
        <v>33</v>
      </c>
      <c r="AK3" s="19" t="n">
        <v>34</v>
      </c>
      <c r="AL3" s="19" t="n">
        <v>35</v>
      </c>
      <c r="AM3" s="19" t="n">
        <v>36</v>
      </c>
      <c r="AN3" s="19" t="n">
        <v>37</v>
      </c>
      <c r="AO3" s="19" t="n">
        <v>38</v>
      </c>
      <c r="AP3" s="19" t="n">
        <v>39</v>
      </c>
      <c r="AQ3" s="19" t="n">
        <v>40</v>
      </c>
      <c r="AR3" s="19" t="n">
        <v>41</v>
      </c>
      <c r="AS3" s="19" t="n">
        <v>42</v>
      </c>
      <c r="AT3" s="19" t="n">
        <v>43</v>
      </c>
      <c r="AU3" s="19" t="n">
        <v>44</v>
      </c>
      <c r="AV3" s="19" t="n">
        <v>45</v>
      </c>
      <c r="AW3" s="19" t="n">
        <v>46</v>
      </c>
      <c r="AX3" s="19" t="n">
        <v>47</v>
      </c>
      <c r="AY3" s="19" t="n">
        <v>48</v>
      </c>
      <c r="AZ3" s="19" t="n">
        <v>49</v>
      </c>
      <c r="BA3" s="19" t="n">
        <v>50</v>
      </c>
      <c r="BB3" s="19" t="n">
        <v>51</v>
      </c>
      <c r="BC3" s="19" t="n">
        <v>52</v>
      </c>
      <c r="BD3" s="19" t="n">
        <v>53</v>
      </c>
      <c r="BE3" s="19" t="n">
        <v>54</v>
      </c>
      <c r="BF3" s="19" t="n">
        <v>55</v>
      </c>
      <c r="BG3" s="19" t="n">
        <v>56</v>
      </c>
      <c r="BH3" s="19" t="n">
        <v>57</v>
      </c>
      <c r="BI3" s="19" t="n">
        <v>58</v>
      </c>
      <c r="BJ3" s="19" t="n">
        <v>59</v>
      </c>
      <c r="BK3" s="19" t="n">
        <v>60</v>
      </c>
      <c r="BL3" s="19" t="n">
        <v>61</v>
      </c>
      <c r="BM3" s="19" t="n">
        <v>62</v>
      </c>
      <c r="BN3" s="19" t="n">
        <v>63</v>
      </c>
      <c r="BO3" s="19" t="n">
        <v>64</v>
      </c>
      <c r="BP3" s="19" t="n">
        <v>65</v>
      </c>
      <c r="BQ3" s="19" t="n">
        <v>66</v>
      </c>
      <c r="BR3" s="19" t="n">
        <v>67</v>
      </c>
      <c r="BS3" s="19" t="n">
        <v>68</v>
      </c>
      <c r="BT3" s="94" t="n">
        <v>69</v>
      </c>
      <c r="BU3" s="29" t="inlineStr">
        <is>
          <t>AVG</t>
        </is>
      </c>
      <c r="BV3" s="30" t="inlineStr">
        <is>
          <t>MIN</t>
        </is>
      </c>
      <c r="BW3" s="19" t="n"/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19" t="n"/>
      <c r="CL3" s="19" t="n"/>
      <c r="CM3" s="19" t="n"/>
      <c r="CN3" s="19" t="n"/>
      <c r="CO3" s="19" t="n"/>
      <c r="CP3" s="19" t="n"/>
      <c r="CQ3" s="19" t="n"/>
      <c r="CR3" s="19" t="n"/>
      <c r="CS3" s="19" t="n"/>
      <c r="CT3" s="19" t="n"/>
      <c r="CU3" s="19" t="n"/>
      <c r="CV3" s="19" t="n"/>
      <c r="CW3" s="19" t="n"/>
      <c r="CX3" s="19" t="n"/>
      <c r="CY3" s="19" t="n"/>
      <c r="CZ3" s="19" t="n"/>
      <c r="DA3" s="19" t="n"/>
      <c r="DB3" s="19" t="n"/>
      <c r="DC3" s="19" t="n"/>
      <c r="DD3" s="19" t="n"/>
      <c r="DE3" s="19" t="n"/>
      <c r="DF3" s="19" t="n"/>
      <c r="DG3" s="19" t="n"/>
      <c r="DH3" s="19" t="n"/>
      <c r="DI3" s="19" t="n"/>
      <c r="DJ3" s="19" t="n"/>
      <c r="DK3" s="19" t="n"/>
      <c r="DL3" s="19" t="n"/>
      <c r="DM3" s="19" t="n"/>
      <c r="DN3" s="19" t="n"/>
      <c r="DO3" s="20" t="n"/>
      <c r="DP3" s="20" t="n"/>
      <c r="DQ3" s="20" t="n"/>
      <c r="DR3" s="20" t="n"/>
      <c r="DS3" s="20" t="n"/>
      <c r="DT3" s="20" t="n"/>
      <c r="DU3" s="20" t="n"/>
      <c r="DV3" s="20" t="n"/>
      <c r="DW3" s="20" t="n"/>
      <c r="DX3" s="20" t="n"/>
      <c r="DY3" s="20" t="n"/>
      <c r="DZ3" s="21" t="n"/>
    </row>
    <row r="4" ht="36" customFormat="1" customHeight="1" s="5">
      <c r="A4" s="10" t="inlineStr">
        <is>
          <t>A</t>
        </is>
      </c>
      <c r="B4" s="6" t="n"/>
      <c r="C4" s="415" t="inlineStr">
        <is>
          <t>LOWEST</t>
        </is>
      </c>
      <c r="D4" s="613" t="inlineStr">
        <is>
          <t>RF</t>
        </is>
      </c>
      <c r="E4" s="614">
        <f>MIN(Thickness!E4:E6)</f>
        <v/>
      </c>
      <c r="F4" s="614">
        <f>MIN(Thickness!F4:F6)</f>
        <v/>
      </c>
      <c r="G4" s="614">
        <f>MIN(Thickness!G4:G6)</f>
        <v/>
      </c>
      <c r="H4" s="615">
        <f>MIN(Thickness!H4:H6)</f>
        <v/>
      </c>
      <c r="I4" s="616">
        <f>MIN(Thickness!I4:I6)</f>
        <v/>
      </c>
      <c r="J4" s="614">
        <f>MIN(Thickness!J4:J6)</f>
        <v/>
      </c>
      <c r="K4" s="614">
        <f>MIN(Thickness!K4:K6)</f>
        <v/>
      </c>
      <c r="L4" s="614">
        <f>MIN(Thickness!L4:L6)</f>
        <v/>
      </c>
      <c r="M4" s="615">
        <f>MIN(Thickness!M4:M6)</f>
        <v/>
      </c>
      <c r="N4" s="616">
        <f>MIN(Thickness!N4:N6)</f>
        <v/>
      </c>
      <c r="O4" s="614">
        <f>MIN(Thickness!O4:O6)</f>
        <v/>
      </c>
      <c r="P4" s="614">
        <f>MIN(Thickness!P4:P6)</f>
        <v/>
      </c>
      <c r="Q4" s="614">
        <f>MIN(Thickness!Q4:Q6)</f>
        <v/>
      </c>
      <c r="R4" s="615">
        <f>MIN(Thickness!R4:R6)</f>
        <v/>
      </c>
      <c r="S4" s="616">
        <f>MIN(Thickness!S4:S6)</f>
        <v/>
      </c>
      <c r="T4" s="614">
        <f>MIN(Thickness!T4:T6)</f>
        <v/>
      </c>
      <c r="U4" s="614">
        <f>MIN(Thickness!U4:U6)</f>
        <v/>
      </c>
      <c r="V4" s="614">
        <f>MIN(Thickness!V4:V6)</f>
        <v/>
      </c>
      <c r="W4" s="615">
        <f>MIN(Thickness!W4:W6)</f>
        <v/>
      </c>
      <c r="X4" s="616">
        <f>MIN(Thickness!X4:X6)</f>
        <v/>
      </c>
      <c r="Y4" s="614">
        <f>MIN(Thickness!Y4:Y6)</f>
        <v/>
      </c>
      <c r="Z4" s="614">
        <f>MIN(Thickness!Z4:Z6)</f>
        <v/>
      </c>
      <c r="AA4" s="614">
        <f>MIN(Thickness!AA4:AA6)</f>
        <v/>
      </c>
      <c r="AB4" s="615">
        <f>MIN(Thickness!AB4:AB6)</f>
        <v/>
      </c>
      <c r="AC4" s="616">
        <f>MIN(Thickness!AC4:AC6)</f>
        <v/>
      </c>
      <c r="AD4" s="614">
        <f>MIN(Thickness!AD4:AD6)</f>
        <v/>
      </c>
      <c r="AE4" s="614">
        <f>MIN(Thickness!AE4:AE6)</f>
        <v/>
      </c>
      <c r="AF4" s="614">
        <f>MIN(Thickness!AF4:AF6)</f>
        <v/>
      </c>
      <c r="AG4" s="615">
        <f>MIN(Thickness!AG4:AG6)</f>
        <v/>
      </c>
      <c r="AH4" s="616">
        <f>MIN(Thickness!AH4:AH6)</f>
        <v/>
      </c>
      <c r="AI4" s="614">
        <f>MIN(Thickness!AI4:AI6)</f>
        <v/>
      </c>
      <c r="AJ4" s="614">
        <f>MIN(Thickness!AJ4:AJ6)</f>
        <v/>
      </c>
      <c r="AK4" s="614">
        <f>MIN(Thickness!AK4:AK6)</f>
        <v/>
      </c>
      <c r="AL4" s="615">
        <f>MIN(Thickness!AL4:AL6)</f>
        <v/>
      </c>
      <c r="AM4" s="616">
        <f>MIN(Thickness!AM4:AM6)</f>
        <v/>
      </c>
      <c r="AN4" s="614">
        <f>MIN(Thickness!AN4:AN6)</f>
        <v/>
      </c>
      <c r="AO4" s="614">
        <f>MIN(Thickness!AO4:AO6)</f>
        <v/>
      </c>
      <c r="AP4" s="614">
        <f>MIN(Thickness!AP4:AP6)</f>
        <v/>
      </c>
      <c r="AQ4" s="615">
        <f>MIN(Thickness!AQ4:AQ6)</f>
        <v/>
      </c>
      <c r="AR4" s="616">
        <f>MIN(Thickness!AR4:AR6)</f>
        <v/>
      </c>
      <c r="AS4" s="614">
        <f>MIN(Thickness!AS4:AS6)</f>
        <v/>
      </c>
      <c r="AT4" s="614">
        <f>MIN(Thickness!AT4:AT6)</f>
        <v/>
      </c>
      <c r="AU4" s="614">
        <f>MIN(Thickness!AU4:AU6)</f>
        <v/>
      </c>
      <c r="AV4" s="615">
        <f>MIN(Thickness!AV4:AV6)</f>
        <v/>
      </c>
      <c r="AW4" s="616">
        <f>MIN(Thickness!AW4:AW6)</f>
        <v/>
      </c>
      <c r="AX4" s="614">
        <f>MIN(Thickness!AX4:AX6)</f>
        <v/>
      </c>
      <c r="AY4" s="614">
        <f>MIN(Thickness!AY4:AY6)</f>
        <v/>
      </c>
      <c r="AZ4" s="614">
        <f>MIN(Thickness!AZ4:AZ6)</f>
        <v/>
      </c>
      <c r="BA4" s="615">
        <f>MIN(Thickness!BA4:BA6)</f>
        <v/>
      </c>
      <c r="BB4" s="616">
        <f>MIN(Thickness!BB4:BB6)</f>
        <v/>
      </c>
      <c r="BC4" s="614">
        <f>MIN(Thickness!BC4:BC6)</f>
        <v/>
      </c>
      <c r="BD4" s="614">
        <f>MIN(Thickness!BD4:BD6)</f>
        <v/>
      </c>
      <c r="BE4" s="614">
        <f>MIN(Thickness!BE4:BE6)</f>
        <v/>
      </c>
      <c r="BF4" s="615">
        <f>MIN(Thickness!BF4:BF6)</f>
        <v/>
      </c>
      <c r="BG4" s="616">
        <f>MIN(Thickness!BG4:BG6)</f>
        <v/>
      </c>
      <c r="BH4" s="614">
        <f>MIN(Thickness!BH4:BH6)</f>
        <v/>
      </c>
      <c r="BI4" s="614">
        <f>MIN(Thickness!BI4:BI6)</f>
        <v/>
      </c>
      <c r="BJ4" s="614">
        <f>MIN(Thickness!BJ4:BJ6)</f>
        <v/>
      </c>
      <c r="BK4" s="615">
        <f>MIN(Thickness!BK4:BK6)</f>
        <v/>
      </c>
      <c r="BL4" s="616">
        <f>MIN(Thickness!BL4:BL6)</f>
        <v/>
      </c>
      <c r="BM4" s="614">
        <f>MIN(Thickness!BM4:BM6)</f>
        <v/>
      </c>
      <c r="BN4" s="614">
        <f>MIN(Thickness!BN4:BN6)</f>
        <v/>
      </c>
      <c r="BO4" s="614">
        <f>MIN(Thickness!BO4:BO6)</f>
        <v/>
      </c>
      <c r="BP4" s="615">
        <f>MIN(Thickness!BP4:BP6)</f>
        <v/>
      </c>
      <c r="BQ4" s="616">
        <f>MIN(Thickness!BQ4:BQ6)</f>
        <v/>
      </c>
      <c r="BR4" s="614">
        <f>MIN(Thickness!BR4:BR6)</f>
        <v/>
      </c>
      <c r="BS4" s="614">
        <f>MIN(Thickness!BS4:BS6)</f>
        <v/>
      </c>
      <c r="BT4" s="615">
        <f>MIN(Thickness!BT4:BT6)</f>
        <v/>
      </c>
      <c r="BU4" s="454">
        <f>IFERROR(AVERAGE(D4:BT6),0)</f>
        <v/>
      </c>
      <c r="BV4" s="454">
        <f>MIN(D4:BT6)</f>
        <v/>
      </c>
      <c r="BW4" s="437" t="n"/>
      <c r="BX4" s="437" t="n"/>
      <c r="BY4" s="437" t="n"/>
      <c r="BZ4" s="437" t="n"/>
      <c r="CA4" s="437" t="n"/>
      <c r="CB4" s="437" t="n"/>
      <c r="CC4" s="437" t="n"/>
      <c r="CD4" s="437" t="n"/>
      <c r="CE4" s="437" t="n"/>
      <c r="CF4" s="437" t="n"/>
      <c r="CG4" s="437" t="n"/>
      <c r="CH4" s="437" t="n"/>
      <c r="CI4" s="437" t="n"/>
      <c r="CJ4" s="437" t="n"/>
      <c r="CK4" s="437" t="n"/>
      <c r="CL4" s="437" t="n"/>
      <c r="CM4" s="437" t="n"/>
      <c r="CN4" s="437" t="n"/>
      <c r="CO4" s="437" t="n"/>
      <c r="CP4" s="437" t="n"/>
      <c r="CQ4" s="437" t="n"/>
      <c r="CR4" s="437" t="n"/>
      <c r="CS4" s="437" t="n"/>
      <c r="CT4" s="437" t="n"/>
      <c r="CU4" s="437" t="n"/>
      <c r="CV4" s="437" t="n"/>
      <c r="CW4" s="437" t="n"/>
      <c r="CX4" s="437" t="n"/>
      <c r="CY4" s="437" t="n"/>
      <c r="CZ4" s="437" t="n"/>
      <c r="DA4" s="437" t="n"/>
      <c r="DB4" s="437" t="n"/>
      <c r="DC4" s="437" t="n"/>
      <c r="DD4" s="437" t="n"/>
      <c r="DE4" s="437" t="n"/>
      <c r="DF4" s="437" t="n"/>
      <c r="DG4" s="437" t="n"/>
      <c r="DH4" s="437" t="n"/>
      <c r="DI4" s="437" t="n"/>
      <c r="DJ4" s="437" t="n"/>
      <c r="DK4" s="437" t="n"/>
      <c r="DL4" s="437" t="n"/>
      <c r="DM4" s="437" t="n"/>
      <c r="DN4" s="437" t="n"/>
      <c r="DO4" s="437" t="n"/>
      <c r="DP4" s="437" t="n"/>
      <c r="DQ4" s="437" t="n"/>
      <c r="DR4" s="437" t="n"/>
      <c r="DS4" s="437" t="n"/>
      <c r="DT4" s="437" t="n"/>
      <c r="DU4" s="437" t="n"/>
      <c r="DV4" s="437" t="n"/>
      <c r="DW4" s="437" t="n"/>
      <c r="DX4" s="437" t="n"/>
      <c r="DY4" s="238" t="n"/>
      <c r="DZ4" s="23" t="n"/>
      <c r="FQ4" s="212" t="n"/>
      <c r="FR4" s="212" t="n"/>
      <c r="FS4" s="212" t="n"/>
      <c r="FT4" s="212" t="n"/>
      <c r="FU4" s="212" t="n"/>
      <c r="FV4" s="212" t="n"/>
      <c r="FW4" s="212" t="n"/>
      <c r="FX4" s="212" t="n"/>
      <c r="FY4" s="212" t="n"/>
      <c r="FZ4" s="212" t="n"/>
    </row>
    <row r="5" ht="36" customFormat="1" customHeight="1" s="5">
      <c r="A5" s="182" t="n">
        <v>0.083</v>
      </c>
      <c r="B5" s="7" t="inlineStr">
        <is>
          <t>+16 FT 6 IN</t>
        </is>
      </c>
      <c r="C5" s="456" t="n"/>
      <c r="D5" s="13" t="n"/>
      <c r="H5" s="592" t="n"/>
      <c r="I5" s="593" t="n"/>
      <c r="M5" s="592" t="n"/>
      <c r="N5" s="593" t="n"/>
      <c r="R5" s="592" t="n"/>
      <c r="S5" s="593" t="n"/>
      <c r="W5" s="592" t="n"/>
      <c r="X5" s="593" t="n"/>
      <c r="AB5" s="592" t="n"/>
      <c r="AC5" s="593" t="n"/>
      <c r="AG5" s="592" t="n"/>
      <c r="AH5" s="593" t="n"/>
      <c r="AL5" s="592" t="n"/>
      <c r="AM5" s="593" t="n"/>
      <c r="AQ5" s="592" t="n"/>
      <c r="AR5" s="593" t="n"/>
      <c r="AV5" s="592" t="n"/>
      <c r="AW5" s="593" t="n"/>
      <c r="BA5" s="592" t="n"/>
      <c r="BB5" s="593" t="n"/>
      <c r="BF5" s="592" t="n"/>
      <c r="BG5" s="593" t="n"/>
      <c r="BK5" s="592" t="n"/>
      <c r="BL5" s="593" t="n"/>
      <c r="BP5" s="592" t="n"/>
      <c r="BQ5" s="593" t="n"/>
      <c r="BT5" s="592" t="n"/>
      <c r="BU5" s="455" t="n"/>
      <c r="BV5" s="455" t="n"/>
      <c r="BW5" s="437" t="n"/>
      <c r="BX5" s="437" t="n"/>
      <c r="BY5" s="437" t="n"/>
      <c r="BZ5" s="437" t="n"/>
      <c r="CA5" s="437" t="n"/>
      <c r="CB5" s="437" t="n"/>
      <c r="CC5" s="437" t="n"/>
      <c r="CD5" s="437" t="n"/>
      <c r="CE5" s="437" t="n"/>
      <c r="CF5" s="437" t="n"/>
      <c r="CG5" s="437" t="n"/>
      <c r="CH5" s="437" t="n"/>
      <c r="CI5" s="437" t="n"/>
      <c r="CJ5" s="437" t="n"/>
      <c r="CK5" s="437" t="n"/>
      <c r="CL5" s="437" t="n"/>
      <c r="CM5" s="437" t="n"/>
      <c r="CN5" s="437" t="n"/>
      <c r="CO5" s="437" t="n"/>
      <c r="CP5" s="437" t="n"/>
      <c r="CQ5" s="437" t="n"/>
      <c r="CR5" s="437" t="n"/>
      <c r="CS5" s="437" t="n"/>
      <c r="CT5" s="437" t="n"/>
      <c r="CU5" s="437" t="n"/>
      <c r="CV5" s="437" t="n"/>
      <c r="CW5" s="437" t="n"/>
      <c r="CX5" s="437" t="n"/>
      <c r="CY5" s="437" t="n"/>
      <c r="CZ5" s="437" t="n"/>
      <c r="DA5" s="437" t="n"/>
      <c r="DB5" s="437" t="n"/>
      <c r="DC5" s="437" t="n"/>
      <c r="DD5" s="437" t="n"/>
      <c r="DE5" s="437" t="n"/>
      <c r="DF5" s="437" t="n"/>
      <c r="DG5" s="437" t="n"/>
      <c r="DH5" s="437" t="n"/>
      <c r="DI5" s="437" t="n"/>
      <c r="DJ5" s="437" t="n"/>
      <c r="DK5" s="437" t="n"/>
      <c r="DL5" s="437" t="n"/>
      <c r="DM5" s="437" t="n"/>
      <c r="DN5" s="437" t="n"/>
      <c r="DO5" s="437" t="n"/>
      <c r="DP5" s="437" t="n"/>
      <c r="DQ5" s="437" t="n"/>
      <c r="DR5" s="437" t="n"/>
      <c r="DS5" s="437" t="n"/>
      <c r="DT5" s="437" t="n"/>
      <c r="DU5" s="437" t="n"/>
      <c r="DV5" s="437" t="n"/>
      <c r="DW5" s="437" t="n"/>
      <c r="DX5" s="437" t="n"/>
      <c r="DY5" s="238" t="n"/>
      <c r="DZ5" s="23" t="n"/>
      <c r="FQ5" s="212" t="n"/>
      <c r="FR5" s="212" t="n"/>
      <c r="FS5" s="212" t="n"/>
      <c r="FT5" s="212" t="n"/>
      <c r="FU5" s="212" t="n"/>
      <c r="FV5" s="212" t="n"/>
      <c r="FW5" s="212" t="n"/>
      <c r="FX5" s="212" t="n"/>
      <c r="FY5" s="212" t="n"/>
      <c r="FZ5" s="212" t="n"/>
    </row>
    <row r="6" ht="36" customFormat="1" customHeight="1" s="5">
      <c r="A6" s="456" t="n"/>
      <c r="B6" s="8" t="n"/>
      <c r="C6" s="456" t="n"/>
      <c r="D6" s="594" t="n"/>
      <c r="E6" s="595" t="n"/>
      <c r="F6" s="595" t="n"/>
      <c r="G6" s="595" t="n"/>
      <c r="H6" s="596" t="n"/>
      <c r="I6" s="597" t="n"/>
      <c r="J6" s="595" t="n"/>
      <c r="K6" s="595" t="n"/>
      <c r="L6" s="595" t="n"/>
      <c r="M6" s="596" t="n"/>
      <c r="N6" s="597" t="n"/>
      <c r="O6" s="595" t="n"/>
      <c r="P6" s="595" t="n"/>
      <c r="Q6" s="595" t="n"/>
      <c r="R6" s="596" t="n"/>
      <c r="S6" s="597" t="n"/>
      <c r="T6" s="595" t="n"/>
      <c r="U6" s="595" t="n"/>
      <c r="V6" s="595" t="n"/>
      <c r="W6" s="596" t="n"/>
      <c r="X6" s="597" t="n"/>
      <c r="Y6" s="595" t="n"/>
      <c r="Z6" s="595" t="n"/>
      <c r="AA6" s="595" t="n"/>
      <c r="AB6" s="596" t="n"/>
      <c r="AC6" s="597" t="n"/>
      <c r="AD6" s="595" t="n"/>
      <c r="AE6" s="595" t="n"/>
      <c r="AF6" s="595" t="n"/>
      <c r="AG6" s="596" t="n"/>
      <c r="AH6" s="597" t="n"/>
      <c r="AI6" s="595" t="n"/>
      <c r="AJ6" s="595" t="n"/>
      <c r="AK6" s="595" t="n"/>
      <c r="AL6" s="596" t="n"/>
      <c r="AM6" s="597" t="n"/>
      <c r="AN6" s="595" t="n"/>
      <c r="AO6" s="595" t="n"/>
      <c r="AP6" s="595" t="n"/>
      <c r="AQ6" s="596" t="n"/>
      <c r="AR6" s="597" t="n"/>
      <c r="AS6" s="595" t="n"/>
      <c r="AT6" s="595" t="n"/>
      <c r="AU6" s="595" t="n"/>
      <c r="AV6" s="596" t="n"/>
      <c r="AW6" s="597" t="n"/>
      <c r="AX6" s="595" t="n"/>
      <c r="AY6" s="595" t="n"/>
      <c r="AZ6" s="595" t="n"/>
      <c r="BA6" s="596" t="n"/>
      <c r="BB6" s="597" t="n"/>
      <c r="BC6" s="595" t="n"/>
      <c r="BD6" s="595" t="n"/>
      <c r="BE6" s="595" t="n"/>
      <c r="BF6" s="596" t="n"/>
      <c r="BG6" s="597" t="n"/>
      <c r="BH6" s="595" t="n"/>
      <c r="BI6" s="595" t="n"/>
      <c r="BJ6" s="595" t="n"/>
      <c r="BK6" s="596" t="n"/>
      <c r="BL6" s="597" t="n"/>
      <c r="BM6" s="595" t="n"/>
      <c r="BN6" s="595" t="n"/>
      <c r="BO6" s="595" t="n"/>
      <c r="BP6" s="596" t="n"/>
      <c r="BQ6" s="597" t="n"/>
      <c r="BR6" s="595" t="n"/>
      <c r="BS6" s="595" t="n"/>
      <c r="BT6" s="596" t="n"/>
      <c r="BU6" s="457" t="n"/>
      <c r="BV6" s="457" t="n"/>
      <c r="BW6" s="437" t="n"/>
      <c r="BX6" s="437" t="n"/>
      <c r="BY6" s="437" t="n"/>
      <c r="BZ6" s="437" t="n"/>
      <c r="CA6" s="437" t="n"/>
      <c r="CB6" s="437" t="n"/>
      <c r="CC6" s="437" t="n"/>
      <c r="CD6" s="437" t="n"/>
      <c r="CE6" s="437" t="n"/>
      <c r="CF6" s="437" t="n"/>
      <c r="CG6" s="437" t="n"/>
      <c r="CH6" s="437" t="n"/>
      <c r="CI6" s="437" t="n"/>
      <c r="CJ6" s="437" t="n"/>
      <c r="CK6" s="437" t="n"/>
      <c r="CL6" s="437" t="n"/>
      <c r="CM6" s="437" t="n"/>
      <c r="CN6" s="437" t="n"/>
      <c r="CO6" s="437" t="n"/>
      <c r="CP6" s="437" t="n"/>
      <c r="CQ6" s="437" t="n"/>
      <c r="CR6" s="437" t="n"/>
      <c r="CS6" s="437" t="n"/>
      <c r="CT6" s="437" t="n"/>
      <c r="CU6" s="437" t="n"/>
      <c r="CV6" s="437" t="n"/>
      <c r="CW6" s="437" t="n"/>
      <c r="CX6" s="437" t="n"/>
      <c r="CY6" s="437" t="n"/>
      <c r="CZ6" s="437" t="n"/>
      <c r="DA6" s="437" t="n"/>
      <c r="DB6" s="437" t="n"/>
      <c r="DC6" s="437" t="n"/>
      <c r="DD6" s="437" t="n"/>
      <c r="DE6" s="437" t="n"/>
      <c r="DF6" s="437" t="n"/>
      <c r="DG6" s="437" t="n"/>
      <c r="DH6" s="437" t="n"/>
      <c r="DI6" s="437" t="n"/>
      <c r="DJ6" s="437" t="n"/>
      <c r="DK6" s="437" t="n"/>
      <c r="DL6" s="437" t="n"/>
      <c r="DM6" s="437" t="n"/>
      <c r="DN6" s="437" t="n"/>
      <c r="DO6" s="437" t="n"/>
      <c r="DP6" s="437" t="n"/>
      <c r="DQ6" s="437" t="n"/>
      <c r="DR6" s="437" t="n"/>
      <c r="DS6" s="437" t="n"/>
      <c r="DT6" s="437" t="n"/>
      <c r="DU6" s="437" t="n"/>
      <c r="DV6" s="437" t="n"/>
      <c r="DW6" s="437" t="n"/>
      <c r="DX6" s="437" t="n"/>
      <c r="DY6" s="238" t="n"/>
      <c r="DZ6" s="23" t="n"/>
      <c r="FQ6" s="212" t="n"/>
      <c r="FR6" s="212" t="n"/>
      <c r="FS6" s="212" t="n"/>
      <c r="FT6" s="212" t="n"/>
      <c r="FU6" s="212" t="n"/>
      <c r="FV6" s="212" t="n"/>
      <c r="FW6" s="212" t="n"/>
      <c r="FX6" s="212" t="n"/>
      <c r="FY6" s="212" t="n"/>
      <c r="FZ6" s="212" t="n"/>
    </row>
    <row r="7" ht="39.95" customFormat="1" customHeight="1" s="5">
      <c r="A7" s="10" t="inlineStr">
        <is>
          <t>A</t>
        </is>
      </c>
      <c r="B7" s="6" t="n"/>
      <c r="C7" s="415" t="inlineStr">
        <is>
          <t>LOWEST</t>
        </is>
      </c>
      <c r="D7" s="613" t="inlineStr">
        <is>
          <t>RF</t>
        </is>
      </c>
      <c r="E7" s="614">
        <f>MIN(Thickness!E7:E9)</f>
        <v/>
      </c>
      <c r="F7" s="614">
        <f>MIN(Thickness!F7:F9)</f>
        <v/>
      </c>
      <c r="G7" s="614">
        <f>MIN(Thickness!G7:G9)</f>
        <v/>
      </c>
      <c r="H7" s="615">
        <f>MIN(Thickness!H7:H9)</f>
        <v/>
      </c>
      <c r="I7" s="616">
        <f>MIN(Thickness!I7:I9)</f>
        <v/>
      </c>
      <c r="J7" s="614">
        <f>MIN(Thickness!J7:J9)</f>
        <v/>
      </c>
      <c r="K7" s="614">
        <f>MIN(Thickness!K7:K9)</f>
        <v/>
      </c>
      <c r="L7" s="614">
        <f>MIN(Thickness!L7:L9)</f>
        <v/>
      </c>
      <c r="M7" s="615">
        <f>MIN(Thickness!M7:M9)</f>
        <v/>
      </c>
      <c r="N7" s="616">
        <f>MIN(Thickness!N7:N9)</f>
        <v/>
      </c>
      <c r="O7" s="614">
        <f>MIN(Thickness!O7:O9)</f>
        <v/>
      </c>
      <c r="P7" s="614">
        <f>MIN(Thickness!P7:P9)</f>
        <v/>
      </c>
      <c r="Q7" s="614">
        <f>MIN(Thickness!Q7:Q9)</f>
        <v/>
      </c>
      <c r="R7" s="615">
        <f>MIN(Thickness!R7:R9)</f>
        <v/>
      </c>
      <c r="S7" s="616">
        <f>MIN(Thickness!S7:S9)</f>
        <v/>
      </c>
      <c r="T7" s="614">
        <f>MIN(Thickness!T7:T9)</f>
        <v/>
      </c>
      <c r="U7" s="614">
        <f>MIN(Thickness!U7:U9)</f>
        <v/>
      </c>
      <c r="V7" s="614">
        <f>MIN(Thickness!V7:V9)</f>
        <v/>
      </c>
      <c r="W7" s="615">
        <f>MIN(Thickness!W7:W9)</f>
        <v/>
      </c>
      <c r="X7" s="616">
        <f>MIN(Thickness!X7:X9)</f>
        <v/>
      </c>
      <c r="Y7" s="614">
        <f>MIN(Thickness!Y7:Y9)</f>
        <v/>
      </c>
      <c r="Z7" s="614">
        <f>MIN(Thickness!Z7:Z9)</f>
        <v/>
      </c>
      <c r="AA7" s="614">
        <f>MIN(Thickness!AA7:AA9)</f>
        <v/>
      </c>
      <c r="AB7" s="615">
        <f>MIN(Thickness!AB7:AB9)</f>
        <v/>
      </c>
      <c r="AC7" s="616">
        <f>MIN(Thickness!AC7:AC9)</f>
        <v/>
      </c>
      <c r="AD7" s="614">
        <f>MIN(Thickness!AD7:AD9)</f>
        <v/>
      </c>
      <c r="AE7" s="614">
        <f>MIN(Thickness!AE7:AE9)</f>
        <v/>
      </c>
      <c r="AF7" s="614">
        <f>MIN(Thickness!AF7:AF9)</f>
        <v/>
      </c>
      <c r="AG7" s="615">
        <f>MIN(Thickness!AG7:AG9)</f>
        <v/>
      </c>
      <c r="AH7" s="616">
        <f>MIN(Thickness!AH7:AH9)</f>
        <v/>
      </c>
      <c r="AI7" s="614">
        <f>MIN(Thickness!AI7:AI9)</f>
        <v/>
      </c>
      <c r="AJ7" s="614">
        <f>MIN(Thickness!AJ7:AJ9)</f>
        <v/>
      </c>
      <c r="AK7" s="614">
        <f>MIN(Thickness!AK7:AK9)</f>
        <v/>
      </c>
      <c r="AL7" s="615">
        <f>MIN(Thickness!AL7:AL9)</f>
        <v/>
      </c>
      <c r="AM7" s="616">
        <f>MIN(Thickness!AM7:AM9)</f>
        <v/>
      </c>
      <c r="AN7" s="614">
        <f>MIN(Thickness!AN7:AN9)</f>
        <v/>
      </c>
      <c r="AO7" s="614">
        <f>MIN(Thickness!AO7:AO9)</f>
        <v/>
      </c>
      <c r="AP7" s="614">
        <f>MIN(Thickness!AP7:AP9)</f>
        <v/>
      </c>
      <c r="AQ7" s="615">
        <f>MIN(Thickness!AQ7:AQ9)</f>
        <v/>
      </c>
      <c r="AR7" s="616">
        <f>MIN(Thickness!AR7:AR9)</f>
        <v/>
      </c>
      <c r="AS7" s="614">
        <f>MIN(Thickness!AS7:AS9)</f>
        <v/>
      </c>
      <c r="AT7" s="614">
        <f>MIN(Thickness!AT7:AT9)</f>
        <v/>
      </c>
      <c r="AU7" s="614">
        <f>MIN(Thickness!AU7:AU9)</f>
        <v/>
      </c>
      <c r="AV7" s="615">
        <f>MIN(Thickness!AV7:AV9)</f>
        <v/>
      </c>
      <c r="AW7" s="616">
        <f>MIN(Thickness!AW7:AW9)</f>
        <v/>
      </c>
      <c r="AX7" s="614">
        <f>MIN(Thickness!AX7:AX9)</f>
        <v/>
      </c>
      <c r="AY7" s="614">
        <f>MIN(Thickness!AY7:AY9)</f>
        <v/>
      </c>
      <c r="AZ7" s="614">
        <f>MIN(Thickness!AZ7:AZ9)</f>
        <v/>
      </c>
      <c r="BA7" s="615">
        <f>MIN(Thickness!BA7:BA9)</f>
        <v/>
      </c>
      <c r="BB7" s="616">
        <f>MIN(Thickness!BB7:BB9)</f>
        <v/>
      </c>
      <c r="BC7" s="614">
        <f>MIN(Thickness!BC7:BC9)</f>
        <v/>
      </c>
      <c r="BD7" s="614">
        <f>MIN(Thickness!BD7:BD9)</f>
        <v/>
      </c>
      <c r="BE7" s="614">
        <f>MIN(Thickness!BE7:BE9)</f>
        <v/>
      </c>
      <c r="BF7" s="615">
        <f>MIN(Thickness!BF7:BF9)</f>
        <v/>
      </c>
      <c r="BG7" s="616">
        <f>MIN(Thickness!BG7:BG9)</f>
        <v/>
      </c>
      <c r="BH7" s="614">
        <f>MIN(Thickness!BH7:BH9)</f>
        <v/>
      </c>
      <c r="BI7" s="614">
        <f>MIN(Thickness!BI7:BI9)</f>
        <v/>
      </c>
      <c r="BJ7" s="614">
        <f>MIN(Thickness!BJ7:BJ9)</f>
        <v/>
      </c>
      <c r="BK7" s="615">
        <f>MIN(Thickness!BK7:BK9)</f>
        <v/>
      </c>
      <c r="BL7" s="616">
        <f>MIN(Thickness!BL7:BL9)</f>
        <v/>
      </c>
      <c r="BM7" s="614">
        <f>MIN(Thickness!BM7:BM9)</f>
        <v/>
      </c>
      <c r="BN7" s="614">
        <f>MIN(Thickness!BN7:BN9)</f>
        <v/>
      </c>
      <c r="BO7" s="614">
        <f>MIN(Thickness!BO7:BO9)</f>
        <v/>
      </c>
      <c r="BP7" s="615">
        <f>MIN(Thickness!BP7:BP9)</f>
        <v/>
      </c>
      <c r="BQ7" s="616">
        <f>MIN(Thickness!BQ7:BQ9)</f>
        <v/>
      </c>
      <c r="BR7" s="614">
        <f>MIN(Thickness!BR7:BR9)</f>
        <v/>
      </c>
      <c r="BS7" s="614">
        <f>MIN(Thickness!BS7:BS9)</f>
        <v/>
      </c>
      <c r="BT7" s="615" t="inlineStr">
        <is>
          <t>RF</t>
        </is>
      </c>
      <c r="BU7" s="454">
        <f>IFERROR(AVERAGE(D7:BT9),0)</f>
        <v/>
      </c>
      <c r="BV7" s="454">
        <f>MIN(D7:BT9)</f>
        <v/>
      </c>
      <c r="BW7" s="238" t="n"/>
      <c r="BX7" s="238" t="n"/>
      <c r="BY7" s="238" t="n"/>
      <c r="BZ7" s="238" t="n"/>
      <c r="CA7" s="238" t="n"/>
      <c r="CB7" s="238" t="n"/>
      <c r="CC7" s="238" t="n"/>
      <c r="CD7" s="238" t="n"/>
      <c r="CE7" s="238" t="n"/>
      <c r="CF7" s="238" t="n"/>
      <c r="CG7" s="238" t="n"/>
      <c r="CH7" s="238" t="n"/>
      <c r="CI7" s="238" t="n"/>
      <c r="CJ7" s="238" t="n"/>
      <c r="CK7" s="238" t="n"/>
      <c r="CL7" s="238" t="n"/>
      <c r="CM7" s="238" t="n"/>
      <c r="CN7" s="238" t="n"/>
      <c r="CO7" s="238" t="n"/>
      <c r="CP7" s="238" t="n"/>
      <c r="CQ7" s="238" t="n"/>
      <c r="CR7" s="238" t="n"/>
      <c r="CS7" s="238" t="n"/>
      <c r="CT7" s="238" t="n"/>
      <c r="CU7" s="238" t="n"/>
      <c r="CV7" s="238" t="n"/>
      <c r="CW7" s="238" t="n"/>
      <c r="CX7" s="238" t="n"/>
      <c r="CY7" s="238" t="n"/>
      <c r="CZ7" s="238" t="n"/>
      <c r="DA7" s="238" t="n"/>
      <c r="DB7" s="238" t="n"/>
      <c r="DC7" s="238" t="n"/>
      <c r="DD7" s="238" t="n"/>
      <c r="DE7" s="238" t="n"/>
      <c r="DF7" s="238" t="n"/>
      <c r="DG7" s="238" t="n"/>
      <c r="DH7" s="238" t="n"/>
      <c r="DI7" s="238" t="n"/>
      <c r="DJ7" s="238" t="n"/>
      <c r="DK7" s="238" t="n"/>
      <c r="DL7" s="238" t="n"/>
      <c r="DM7" s="238" t="n"/>
      <c r="DN7" s="238" t="n"/>
      <c r="DO7" s="238" t="n"/>
      <c r="DP7" s="238" t="n"/>
      <c r="DQ7" s="238" t="n"/>
      <c r="DR7" s="238" t="n"/>
      <c r="DS7" s="238" t="n"/>
      <c r="DT7" s="238" t="n"/>
      <c r="DU7" s="238" t="n"/>
      <c r="DV7" s="238" t="n"/>
      <c r="DW7" s="238" t="n"/>
      <c r="DX7" s="238" t="n"/>
      <c r="DY7" s="238" t="n"/>
      <c r="DZ7" s="23" t="n"/>
      <c r="FQ7" s="212" t="n"/>
      <c r="FR7" s="212" t="n"/>
      <c r="FS7" s="212" t="n"/>
      <c r="FT7" s="212" t="n"/>
      <c r="FU7" s="212" t="n"/>
      <c r="FV7" s="212" t="n"/>
      <c r="FW7" s="212" t="n"/>
      <c r="FX7" s="212" t="n"/>
      <c r="FY7" s="212" t="n"/>
      <c r="FZ7" s="212" t="n"/>
    </row>
    <row r="8" ht="39.95" customFormat="1" customHeight="1" s="5">
      <c r="A8" s="182" t="n">
        <v>0.083</v>
      </c>
      <c r="B8" s="7" t="inlineStr">
        <is>
          <t>+15 FT</t>
        </is>
      </c>
      <c r="C8" s="456" t="n"/>
      <c r="D8" s="13" t="n"/>
      <c r="H8" s="592" t="n"/>
      <c r="I8" s="593" t="n"/>
      <c r="M8" s="592" t="n"/>
      <c r="N8" s="593" t="n"/>
      <c r="R8" s="592" t="n"/>
      <c r="S8" s="593" t="n"/>
      <c r="W8" s="592" t="n"/>
      <c r="X8" s="593" t="n"/>
      <c r="AB8" s="592" t="n"/>
      <c r="AC8" s="593" t="n"/>
      <c r="AG8" s="592" t="n"/>
      <c r="AH8" s="593" t="n"/>
      <c r="AL8" s="592" t="n"/>
      <c r="AM8" s="593" t="n"/>
      <c r="AQ8" s="592" t="n"/>
      <c r="AR8" s="593" t="n"/>
      <c r="AV8" s="592" t="n"/>
      <c r="AW8" s="593" t="n"/>
      <c r="BA8" s="592" t="n"/>
      <c r="BB8" s="593" t="n"/>
      <c r="BF8" s="592" t="n"/>
      <c r="BG8" s="593" t="n"/>
      <c r="BK8" s="592" t="n"/>
      <c r="BL8" s="593" t="n"/>
      <c r="BP8" s="592" t="n"/>
      <c r="BQ8" s="593" t="n"/>
      <c r="BT8" s="592" t="n"/>
      <c r="BU8" s="455" t="n"/>
      <c r="BV8" s="455" t="n"/>
      <c r="BW8" s="238" t="n"/>
      <c r="BX8" s="238" t="n"/>
      <c r="BY8" s="238" t="n"/>
      <c r="BZ8" s="238" t="n"/>
      <c r="CA8" s="238" t="n"/>
      <c r="CB8" s="238" t="n"/>
      <c r="CC8" s="238" t="n"/>
      <c r="CD8" s="238" t="n"/>
      <c r="CE8" s="238" t="n"/>
      <c r="CF8" s="238" t="n"/>
      <c r="CG8" s="238" t="n"/>
      <c r="CH8" s="238" t="n"/>
      <c r="CI8" s="238" t="n"/>
      <c r="CJ8" s="238" t="n"/>
      <c r="CK8" s="238" t="n"/>
      <c r="CL8" s="238" t="n"/>
      <c r="CM8" s="238" t="n"/>
      <c r="CN8" s="238" t="n"/>
      <c r="CO8" s="238" t="n"/>
      <c r="CP8" s="238" t="n"/>
      <c r="CQ8" s="238" t="n"/>
      <c r="CR8" s="238" t="n"/>
      <c r="CS8" s="238" t="n"/>
      <c r="CT8" s="238" t="n"/>
      <c r="CU8" s="238" t="n"/>
      <c r="CV8" s="238" t="n"/>
      <c r="CW8" s="238" t="n"/>
      <c r="CX8" s="238" t="n"/>
      <c r="CY8" s="238" t="n"/>
      <c r="CZ8" s="238" t="n"/>
      <c r="DA8" s="238" t="n"/>
      <c r="DB8" s="238" t="n"/>
      <c r="DC8" s="238" t="n"/>
      <c r="DD8" s="238" t="n"/>
      <c r="DE8" s="238" t="n"/>
      <c r="DF8" s="238" t="n"/>
      <c r="DG8" s="238" t="n"/>
      <c r="DH8" s="238" t="n"/>
      <c r="DI8" s="238" t="n"/>
      <c r="DJ8" s="238" t="n"/>
      <c r="DK8" s="238" t="n"/>
      <c r="DL8" s="238" t="n"/>
      <c r="DM8" s="238" t="n"/>
      <c r="DN8" s="238" t="n"/>
      <c r="DO8" s="238" t="n"/>
      <c r="DP8" s="238" t="n"/>
      <c r="DQ8" s="238" t="n"/>
      <c r="DR8" s="238" t="n"/>
      <c r="DS8" s="238" t="n"/>
      <c r="DT8" s="238" t="n"/>
      <c r="DU8" s="238" t="n"/>
      <c r="DV8" s="238" t="n"/>
      <c r="DW8" s="238" t="n"/>
      <c r="DX8" s="238" t="n"/>
      <c r="DY8" s="238" t="n"/>
      <c r="DZ8" s="23" t="n"/>
      <c r="FQ8" s="212" t="n"/>
      <c r="FR8" s="212" t="n"/>
      <c r="FS8" s="212" t="n"/>
      <c r="FT8" s="212" t="n"/>
      <c r="FU8" s="212" t="n"/>
      <c r="FV8" s="212" t="n"/>
      <c r="FW8" s="212" t="n"/>
      <c r="FX8" s="212" t="n"/>
      <c r="FY8" s="212" t="n"/>
      <c r="FZ8" s="212" t="n"/>
    </row>
    <row r="9" ht="39.95" customFormat="1" customHeight="1" s="5">
      <c r="A9" s="456" t="n"/>
      <c r="B9" s="8" t="n"/>
      <c r="C9" s="456" t="n"/>
      <c r="D9" s="594" t="n"/>
      <c r="E9" s="595" t="n"/>
      <c r="F9" s="595" t="n"/>
      <c r="G9" s="595" t="n"/>
      <c r="H9" s="596" t="n"/>
      <c r="I9" s="597" t="n"/>
      <c r="J9" s="595" t="n"/>
      <c r="K9" s="595" t="n"/>
      <c r="L9" s="595" t="n"/>
      <c r="M9" s="596" t="n"/>
      <c r="N9" s="597" t="n"/>
      <c r="O9" s="595" t="n"/>
      <c r="P9" s="595" t="n"/>
      <c r="Q9" s="595" t="n"/>
      <c r="R9" s="596" t="n"/>
      <c r="S9" s="597" t="n"/>
      <c r="T9" s="595" t="n"/>
      <c r="U9" s="595" t="n"/>
      <c r="V9" s="595" t="n"/>
      <c r="W9" s="596" t="n"/>
      <c r="X9" s="597" t="n"/>
      <c r="Y9" s="595" t="n"/>
      <c r="Z9" s="595" t="n"/>
      <c r="AA9" s="595" t="n"/>
      <c r="AB9" s="596" t="n"/>
      <c r="AC9" s="597" t="n"/>
      <c r="AD9" s="595" t="n"/>
      <c r="AE9" s="595" t="n"/>
      <c r="AF9" s="595" t="n"/>
      <c r="AG9" s="596" t="n"/>
      <c r="AH9" s="597" t="n"/>
      <c r="AI9" s="595" t="n"/>
      <c r="AJ9" s="595" t="n"/>
      <c r="AK9" s="595" t="n"/>
      <c r="AL9" s="596" t="n"/>
      <c r="AM9" s="597" t="n"/>
      <c r="AN9" s="595" t="n"/>
      <c r="AO9" s="595" t="n"/>
      <c r="AP9" s="595" t="n"/>
      <c r="AQ9" s="596" t="n"/>
      <c r="AR9" s="597" t="n"/>
      <c r="AS9" s="595" t="n"/>
      <c r="AT9" s="595" t="n"/>
      <c r="AU9" s="595" t="n"/>
      <c r="AV9" s="596" t="n"/>
      <c r="AW9" s="597" t="n"/>
      <c r="AX9" s="595" t="n"/>
      <c r="AY9" s="595" t="n"/>
      <c r="AZ9" s="595" t="n"/>
      <c r="BA9" s="596" t="n"/>
      <c r="BB9" s="597" t="n"/>
      <c r="BC9" s="595" t="n"/>
      <c r="BD9" s="595" t="n"/>
      <c r="BE9" s="595" t="n"/>
      <c r="BF9" s="596" t="n"/>
      <c r="BG9" s="597" t="n"/>
      <c r="BH9" s="595" t="n"/>
      <c r="BI9" s="595" t="n"/>
      <c r="BJ9" s="595" t="n"/>
      <c r="BK9" s="596" t="n"/>
      <c r="BL9" s="597" t="n"/>
      <c r="BM9" s="595" t="n"/>
      <c r="BN9" s="595" t="n"/>
      <c r="BO9" s="595" t="n"/>
      <c r="BP9" s="596" t="n"/>
      <c r="BQ9" s="597" t="n"/>
      <c r="BR9" s="595" t="n"/>
      <c r="BS9" s="595" t="n"/>
      <c r="BT9" s="596" t="n"/>
      <c r="BU9" s="457" t="n"/>
      <c r="BV9" s="457" t="n"/>
      <c r="BW9" s="238" t="n"/>
      <c r="BX9" s="238" t="n"/>
      <c r="BY9" s="238" t="n"/>
      <c r="BZ9" s="238" t="n"/>
      <c r="CA9" s="238" t="n"/>
      <c r="CB9" s="238" t="n"/>
      <c r="CC9" s="238" t="n"/>
      <c r="CD9" s="238" t="n"/>
      <c r="CE9" s="238" t="n"/>
      <c r="CF9" s="238" t="n"/>
      <c r="CG9" s="238" t="n"/>
      <c r="CH9" s="238" t="n"/>
      <c r="CI9" s="238" t="n"/>
      <c r="CJ9" s="238" t="n"/>
      <c r="CK9" s="238" t="n"/>
      <c r="CL9" s="238" t="n"/>
      <c r="CM9" s="238" t="n"/>
      <c r="CN9" s="238" t="n"/>
      <c r="CO9" s="238" t="n"/>
      <c r="CP9" s="238" t="n"/>
      <c r="CQ9" s="238" t="n"/>
      <c r="CR9" s="238" t="n"/>
      <c r="CS9" s="238" t="n"/>
      <c r="CT9" s="238" t="n"/>
      <c r="CU9" s="238" t="n"/>
      <c r="CV9" s="238" t="n"/>
      <c r="CW9" s="238" t="n"/>
      <c r="CX9" s="238" t="n"/>
      <c r="CY9" s="238" t="n"/>
      <c r="CZ9" s="238" t="n"/>
      <c r="DA9" s="238" t="n"/>
      <c r="DB9" s="238" t="n"/>
      <c r="DC9" s="238" t="n"/>
      <c r="DD9" s="238" t="n"/>
      <c r="DE9" s="238" t="n"/>
      <c r="DF9" s="238" t="n"/>
      <c r="DG9" s="238" t="n"/>
      <c r="DH9" s="238" t="n"/>
      <c r="DI9" s="238" t="n"/>
      <c r="DJ9" s="238" t="n"/>
      <c r="DK9" s="238" t="n"/>
      <c r="DL9" s="238" t="n"/>
      <c r="DM9" s="238" t="n"/>
      <c r="DN9" s="238" t="n"/>
      <c r="DO9" s="238" t="n"/>
      <c r="DP9" s="238" t="n"/>
      <c r="DQ9" s="238" t="n"/>
      <c r="DR9" s="238" t="n"/>
      <c r="DS9" s="238" t="n"/>
      <c r="DT9" s="238" t="n"/>
      <c r="DU9" s="238" t="n"/>
      <c r="DV9" s="238" t="n"/>
      <c r="DW9" s="238" t="n"/>
      <c r="DX9" s="238" t="n"/>
      <c r="DY9" s="238" t="n"/>
      <c r="DZ9" s="23" t="n"/>
      <c r="FQ9" s="212" t="n"/>
      <c r="FR9" s="212" t="n"/>
      <c r="FS9" s="212" t="n"/>
      <c r="FT9" s="212" t="n"/>
      <c r="FU9" s="212" t="n"/>
      <c r="FV9" s="212" t="n"/>
      <c r="FW9" s="212" t="n"/>
      <c r="FX9" s="212" t="n"/>
      <c r="FY9" s="212" t="n"/>
      <c r="FZ9" s="212" t="n"/>
    </row>
    <row r="10" ht="39.95" customFormat="1" customHeight="1" s="5">
      <c r="A10" s="10" t="inlineStr">
        <is>
          <t>A</t>
        </is>
      </c>
      <c r="B10" s="6" t="n"/>
      <c r="C10" s="415" t="inlineStr">
        <is>
          <t>LOWEST</t>
        </is>
      </c>
      <c r="D10" s="613" t="inlineStr">
        <is>
          <t>RF</t>
        </is>
      </c>
      <c r="E10" s="614">
        <f>MIN(Thickness!E10:E12)</f>
        <v/>
      </c>
      <c r="F10" s="614">
        <f>MIN(Thickness!F10:F12)</f>
        <v/>
      </c>
      <c r="G10" s="614">
        <f>MIN(Thickness!G10:G12)</f>
        <v/>
      </c>
      <c r="H10" s="615">
        <f>MIN(Thickness!H10:H12)</f>
        <v/>
      </c>
      <c r="I10" s="616">
        <f>MIN(Thickness!I10:I12)</f>
        <v/>
      </c>
      <c r="J10" s="614">
        <f>MIN(Thickness!J10:J12)</f>
        <v/>
      </c>
      <c r="K10" s="614">
        <f>MIN(Thickness!K10:K12)</f>
        <v/>
      </c>
      <c r="L10" s="614">
        <f>MIN(Thickness!L10:L12)</f>
        <v/>
      </c>
      <c r="M10" s="615">
        <f>MIN(Thickness!M10:M12)</f>
        <v/>
      </c>
      <c r="N10" s="616">
        <f>MIN(Thickness!N10:N12)</f>
        <v/>
      </c>
      <c r="O10" s="614">
        <f>MIN(Thickness!O10:O12)</f>
        <v/>
      </c>
      <c r="P10" s="614">
        <f>MIN(Thickness!P10:P12)</f>
        <v/>
      </c>
      <c r="Q10" s="614">
        <f>MIN(Thickness!Q10:Q12)</f>
        <v/>
      </c>
      <c r="R10" s="615">
        <f>MIN(Thickness!R10:R12)</f>
        <v/>
      </c>
      <c r="S10" s="616">
        <f>MIN(Thickness!S10:S12)</f>
        <v/>
      </c>
      <c r="T10" s="614">
        <f>MIN(Thickness!T10:T12)</f>
        <v/>
      </c>
      <c r="U10" s="614">
        <f>MIN(Thickness!U10:U12)</f>
        <v/>
      </c>
      <c r="V10" s="614">
        <f>MIN(Thickness!V10:V12)</f>
        <v/>
      </c>
      <c r="W10" s="615">
        <f>MIN(Thickness!W10:W12)</f>
        <v/>
      </c>
      <c r="X10" s="616">
        <f>MIN(Thickness!X10:X12)</f>
        <v/>
      </c>
      <c r="Y10" s="614">
        <f>MIN(Thickness!Y10:Y12)</f>
        <v/>
      </c>
      <c r="Z10" s="614">
        <f>MIN(Thickness!Z10:Z12)</f>
        <v/>
      </c>
      <c r="AA10" s="614">
        <f>MIN(Thickness!AA10:AA12)</f>
        <v/>
      </c>
      <c r="AB10" s="615">
        <f>MIN(Thickness!AB10:AB12)</f>
        <v/>
      </c>
      <c r="AC10" s="616">
        <f>MIN(Thickness!AC10:AC12)</f>
        <v/>
      </c>
      <c r="AD10" s="614">
        <f>MIN(Thickness!AD10:AD12)</f>
        <v/>
      </c>
      <c r="AE10" s="614">
        <f>MIN(Thickness!AE10:AE12)</f>
        <v/>
      </c>
      <c r="AF10" s="614">
        <f>MIN(Thickness!AF10:AF12)</f>
        <v/>
      </c>
      <c r="AG10" s="615">
        <f>MIN(Thickness!AG10:AG12)</f>
        <v/>
      </c>
      <c r="AH10" s="616">
        <f>MIN(Thickness!AH10:AH12)</f>
        <v/>
      </c>
      <c r="AI10" s="614">
        <f>MIN(Thickness!AI10:AI12)</f>
        <v/>
      </c>
      <c r="AJ10" s="614">
        <f>MIN(Thickness!AJ10:AJ12)</f>
        <v/>
      </c>
      <c r="AK10" s="614">
        <f>MIN(Thickness!AK10:AK12)</f>
        <v/>
      </c>
      <c r="AL10" s="615">
        <f>MIN(Thickness!AL10:AL12)</f>
        <v/>
      </c>
      <c r="AM10" s="616">
        <f>MIN(Thickness!AM10:AM12)</f>
        <v/>
      </c>
      <c r="AN10" s="614">
        <f>MIN(Thickness!AN10:AN12)</f>
        <v/>
      </c>
      <c r="AO10" s="614">
        <f>MIN(Thickness!AO10:AO12)</f>
        <v/>
      </c>
      <c r="AP10" s="614">
        <f>MIN(Thickness!AP10:AP12)</f>
        <v/>
      </c>
      <c r="AQ10" s="615">
        <f>MIN(Thickness!AQ10:AQ12)</f>
        <v/>
      </c>
      <c r="AR10" s="616">
        <f>MIN(Thickness!AR10:AR12)</f>
        <v/>
      </c>
      <c r="AS10" s="614">
        <f>MIN(Thickness!AS10:AS12)</f>
        <v/>
      </c>
      <c r="AT10" s="614">
        <f>MIN(Thickness!AT10:AT12)</f>
        <v/>
      </c>
      <c r="AU10" s="614">
        <f>MIN(Thickness!AU10:AU12)</f>
        <v/>
      </c>
      <c r="AV10" s="615">
        <f>MIN(Thickness!AV10:AV12)</f>
        <v/>
      </c>
      <c r="AW10" s="616">
        <f>MIN(Thickness!AW10:AW12)</f>
        <v/>
      </c>
      <c r="AX10" s="614">
        <f>MIN(Thickness!AX10:AX12)</f>
        <v/>
      </c>
      <c r="AY10" s="614">
        <f>MIN(Thickness!AY10:AY12)</f>
        <v/>
      </c>
      <c r="AZ10" s="614">
        <f>MIN(Thickness!AZ10:AZ12)</f>
        <v/>
      </c>
      <c r="BA10" s="615">
        <f>MIN(Thickness!BA10:BA12)</f>
        <v/>
      </c>
      <c r="BB10" s="616">
        <f>MIN(Thickness!BB10:BB12)</f>
        <v/>
      </c>
      <c r="BC10" s="614">
        <f>MIN(Thickness!BC10:BC12)</f>
        <v/>
      </c>
      <c r="BD10" s="614">
        <f>MIN(Thickness!BD10:BD12)</f>
        <v/>
      </c>
      <c r="BE10" s="614">
        <f>MIN(Thickness!BE10:BE12)</f>
        <v/>
      </c>
      <c r="BF10" s="615">
        <f>MIN(Thickness!BF10:BF12)</f>
        <v/>
      </c>
      <c r="BG10" s="616">
        <f>MIN(Thickness!BG10:BG12)</f>
        <v/>
      </c>
      <c r="BH10" s="614">
        <f>MIN(Thickness!BH10:BH12)</f>
        <v/>
      </c>
      <c r="BI10" s="614">
        <f>MIN(Thickness!BI10:BI12)</f>
        <v/>
      </c>
      <c r="BJ10" s="614">
        <f>MIN(Thickness!BJ10:BJ12)</f>
        <v/>
      </c>
      <c r="BK10" s="615">
        <f>MIN(Thickness!BK10:BK12)</f>
        <v/>
      </c>
      <c r="BL10" s="616">
        <f>MIN(Thickness!BL10:BL12)</f>
        <v/>
      </c>
      <c r="BM10" s="614">
        <f>MIN(Thickness!BM10:BM12)</f>
        <v/>
      </c>
      <c r="BN10" s="614">
        <f>MIN(Thickness!BN10:BN12)</f>
        <v/>
      </c>
      <c r="BO10" s="614">
        <f>MIN(Thickness!BO10:BO12)</f>
        <v/>
      </c>
      <c r="BP10" s="615">
        <f>MIN(Thickness!BP10:BP12)</f>
        <v/>
      </c>
      <c r="BQ10" s="616">
        <f>MIN(Thickness!BQ10:BQ12)</f>
        <v/>
      </c>
      <c r="BR10" s="614">
        <f>MIN(Thickness!BR10:BR12)</f>
        <v/>
      </c>
      <c r="BS10" s="614">
        <f>MIN(Thickness!BS10:BS12)</f>
        <v/>
      </c>
      <c r="BT10" s="615" t="inlineStr">
        <is>
          <t>RF</t>
        </is>
      </c>
      <c r="BU10" s="454">
        <f>IFERROR(AVERAGE(D10:BT12),0)</f>
        <v/>
      </c>
      <c r="BV10" s="454">
        <f>MIN(D10:BT12)</f>
        <v/>
      </c>
      <c r="BW10" s="238" t="n"/>
      <c r="BX10" s="238" t="n"/>
      <c r="BY10" s="238" t="n"/>
      <c r="BZ10" s="238" t="n"/>
      <c r="CA10" s="238" t="n"/>
      <c r="CB10" s="238" t="n"/>
      <c r="CC10" s="238" t="n"/>
      <c r="CD10" s="238" t="n"/>
      <c r="CE10" s="238" t="n"/>
      <c r="CF10" s="238" t="n"/>
      <c r="CG10" s="238" t="n"/>
      <c r="CH10" s="238" t="n"/>
      <c r="CI10" s="238" t="n"/>
      <c r="CJ10" s="238" t="n"/>
      <c r="CK10" s="238" t="n"/>
      <c r="CL10" s="238" t="n"/>
      <c r="CM10" s="238" t="n"/>
      <c r="CN10" s="238" t="n"/>
      <c r="CO10" s="238" t="n"/>
      <c r="CP10" s="238" t="n"/>
      <c r="CQ10" s="238" t="n"/>
      <c r="CR10" s="238" t="n"/>
      <c r="CS10" s="238" t="n"/>
      <c r="CT10" s="238" t="n"/>
      <c r="CU10" s="238" t="n"/>
      <c r="CV10" s="238" t="n"/>
      <c r="CW10" s="238" t="n"/>
      <c r="CX10" s="238" t="n"/>
      <c r="CY10" s="238" t="n"/>
      <c r="CZ10" s="238" t="n"/>
      <c r="DA10" s="238" t="n"/>
      <c r="DB10" s="238" t="n"/>
      <c r="DC10" s="238" t="n"/>
      <c r="DD10" s="238" t="n"/>
      <c r="DE10" s="238" t="n"/>
      <c r="DF10" s="238" t="n"/>
      <c r="DG10" s="238" t="n"/>
      <c r="DH10" s="238" t="n"/>
      <c r="DI10" s="238" t="n"/>
      <c r="DJ10" s="238" t="n"/>
      <c r="DK10" s="238" t="n"/>
      <c r="DL10" s="238" t="n"/>
      <c r="DM10" s="238" t="n"/>
      <c r="DN10" s="238" t="n"/>
      <c r="DO10" s="238" t="n"/>
      <c r="DP10" s="238" t="n"/>
      <c r="DQ10" s="238" t="n"/>
      <c r="DR10" s="238" t="n"/>
      <c r="DS10" s="238" t="n"/>
      <c r="DT10" s="238" t="n"/>
      <c r="DU10" s="238" t="n"/>
      <c r="DV10" s="238" t="n"/>
      <c r="DW10" s="238" t="n"/>
      <c r="DX10" s="238" t="n"/>
      <c r="DY10" s="238" t="n"/>
      <c r="DZ10" s="23" t="n"/>
      <c r="FQ10" s="212" t="n"/>
      <c r="FR10" s="212" t="n"/>
      <c r="FS10" s="212" t="n"/>
      <c r="FT10" s="212" t="n"/>
      <c r="FU10" s="212" t="n"/>
      <c r="FV10" s="212" t="n"/>
      <c r="FW10" s="212" t="n"/>
      <c r="FX10" s="212" t="n"/>
      <c r="FY10" s="212" t="n"/>
      <c r="FZ10" s="212" t="n"/>
    </row>
    <row r="11" ht="39.95" customFormat="1" customHeight="1" s="5">
      <c r="A11" s="182" t="n">
        <v>0.083</v>
      </c>
      <c r="B11" s="7" t="inlineStr">
        <is>
          <t>+13 FT 6 IN</t>
        </is>
      </c>
      <c r="C11" s="456" t="n"/>
      <c r="D11" s="13" t="n"/>
      <c r="H11" s="592" t="n"/>
      <c r="I11" s="593" t="n"/>
      <c r="M11" s="592" t="n"/>
      <c r="N11" s="593" t="n"/>
      <c r="R11" s="592" t="n"/>
      <c r="S11" s="593" t="n"/>
      <c r="W11" s="592" t="n"/>
      <c r="X11" s="593" t="n"/>
      <c r="AB11" s="592" t="n"/>
      <c r="AC11" s="593" t="n"/>
      <c r="AG11" s="592" t="n"/>
      <c r="AH11" s="593" t="n"/>
      <c r="AL11" s="592" t="n"/>
      <c r="AM11" s="593" t="n"/>
      <c r="AQ11" s="592" t="n"/>
      <c r="AR11" s="593" t="n"/>
      <c r="AV11" s="592" t="n"/>
      <c r="AW11" s="593" t="n"/>
      <c r="BA11" s="592" t="n"/>
      <c r="BB11" s="593" t="n"/>
      <c r="BF11" s="592" t="n"/>
      <c r="BG11" s="593" t="n"/>
      <c r="BK11" s="592" t="n"/>
      <c r="BL11" s="593" t="n"/>
      <c r="BP11" s="592" t="n"/>
      <c r="BQ11" s="593" t="n"/>
      <c r="BT11" s="592" t="n"/>
      <c r="BU11" s="455" t="n"/>
      <c r="BV11" s="455" t="n"/>
      <c r="BW11" s="238" t="n"/>
      <c r="BX11" s="238" t="n"/>
      <c r="BY11" s="238" t="n"/>
      <c r="BZ11" s="238" t="n"/>
      <c r="CA11" s="238" t="n"/>
      <c r="CB11" s="238" t="n"/>
      <c r="CC11" s="238" t="n"/>
      <c r="CD11" s="238" t="n"/>
      <c r="CE11" s="238" t="n"/>
      <c r="CF11" s="238" t="n"/>
      <c r="CG11" s="238" t="n"/>
      <c r="CH11" s="238" t="n"/>
      <c r="CI11" s="238" t="n"/>
      <c r="CJ11" s="238" t="n"/>
      <c r="CK11" s="238" t="n"/>
      <c r="CL11" s="238" t="n"/>
      <c r="CM11" s="238" t="n"/>
      <c r="CN11" s="238" t="n"/>
      <c r="CO11" s="238" t="n"/>
      <c r="CP11" s="238" t="n"/>
      <c r="CQ11" s="238" t="n"/>
      <c r="CR11" s="238" t="n"/>
      <c r="CS11" s="238" t="n"/>
      <c r="CT11" s="238" t="n"/>
      <c r="CU11" s="238" t="n"/>
      <c r="CV11" s="238" t="n"/>
      <c r="CW11" s="238" t="n"/>
      <c r="CX11" s="238" t="n"/>
      <c r="CY11" s="238" t="n"/>
      <c r="CZ11" s="238" t="n"/>
      <c r="DA11" s="238" t="n"/>
      <c r="DB11" s="238" t="n"/>
      <c r="DC11" s="238" t="n"/>
      <c r="DD11" s="238" t="n"/>
      <c r="DE11" s="238" t="n"/>
      <c r="DF11" s="238" t="n"/>
      <c r="DG11" s="238" t="n"/>
      <c r="DH11" s="238" t="n"/>
      <c r="DI11" s="238" t="n"/>
      <c r="DJ11" s="238" t="n"/>
      <c r="DK11" s="238" t="n"/>
      <c r="DL11" s="238" t="n"/>
      <c r="DM11" s="238" t="n"/>
      <c r="DN11" s="238" t="n"/>
      <c r="DO11" s="238" t="n"/>
      <c r="DP11" s="238" t="n"/>
      <c r="DQ11" s="238" t="n"/>
      <c r="DR11" s="238" t="n"/>
      <c r="DS11" s="238" t="n"/>
      <c r="DT11" s="238" t="n"/>
      <c r="DU11" s="238" t="n"/>
      <c r="DV11" s="238" t="n"/>
      <c r="DW11" s="238" t="n"/>
      <c r="DX11" s="238" t="n"/>
      <c r="DY11" s="238" t="n"/>
      <c r="DZ11" s="23" t="n"/>
      <c r="FQ11" s="212" t="n"/>
      <c r="FR11" s="212" t="n"/>
      <c r="FS11" s="212" t="n"/>
      <c r="FT11" s="212" t="n"/>
      <c r="FU11" s="212" t="n"/>
      <c r="FV11" s="212" t="n"/>
      <c r="FW11" s="212" t="n"/>
      <c r="FX11" s="212" t="n"/>
      <c r="FY11" s="212" t="n"/>
      <c r="FZ11" s="212" t="n"/>
    </row>
    <row r="12" ht="39.95" customFormat="1" customHeight="1" s="5">
      <c r="A12" s="456" t="n"/>
      <c r="B12" s="8" t="n"/>
      <c r="C12" s="456" t="n"/>
      <c r="D12" s="594" t="n"/>
      <c r="E12" s="595" t="n"/>
      <c r="F12" s="595" t="n"/>
      <c r="G12" s="595" t="n"/>
      <c r="H12" s="596" t="n"/>
      <c r="I12" s="597" t="n"/>
      <c r="J12" s="595" t="n"/>
      <c r="K12" s="595" t="n"/>
      <c r="L12" s="595" t="n"/>
      <c r="M12" s="596" t="n"/>
      <c r="N12" s="597" t="n"/>
      <c r="O12" s="595" t="n"/>
      <c r="P12" s="595" t="n"/>
      <c r="Q12" s="595" t="n"/>
      <c r="R12" s="596" t="n"/>
      <c r="S12" s="597" t="n"/>
      <c r="T12" s="595" t="n"/>
      <c r="U12" s="595" t="n"/>
      <c r="V12" s="595" t="n"/>
      <c r="W12" s="596" t="n"/>
      <c r="X12" s="597" t="n"/>
      <c r="Y12" s="595" t="n"/>
      <c r="Z12" s="595" t="n"/>
      <c r="AA12" s="595" t="n"/>
      <c r="AB12" s="596" t="n"/>
      <c r="AC12" s="597" t="n"/>
      <c r="AD12" s="595" t="n"/>
      <c r="AE12" s="595" t="n"/>
      <c r="AF12" s="595" t="n"/>
      <c r="AG12" s="596" t="n"/>
      <c r="AH12" s="597" t="n"/>
      <c r="AI12" s="595" t="n"/>
      <c r="AJ12" s="595" t="n"/>
      <c r="AK12" s="595" t="n"/>
      <c r="AL12" s="596" t="n"/>
      <c r="AM12" s="597" t="n"/>
      <c r="AN12" s="595" t="n"/>
      <c r="AO12" s="595" t="n"/>
      <c r="AP12" s="595" t="n"/>
      <c r="AQ12" s="596" t="n"/>
      <c r="AR12" s="597" t="n"/>
      <c r="AS12" s="595" t="n"/>
      <c r="AT12" s="595" t="n"/>
      <c r="AU12" s="595" t="n"/>
      <c r="AV12" s="596" t="n"/>
      <c r="AW12" s="597" t="n"/>
      <c r="AX12" s="595" t="n"/>
      <c r="AY12" s="595" t="n"/>
      <c r="AZ12" s="595" t="n"/>
      <c r="BA12" s="596" t="n"/>
      <c r="BB12" s="597" t="n"/>
      <c r="BC12" s="595" t="n"/>
      <c r="BD12" s="595" t="n"/>
      <c r="BE12" s="595" t="n"/>
      <c r="BF12" s="596" t="n"/>
      <c r="BG12" s="597" t="n"/>
      <c r="BH12" s="595" t="n"/>
      <c r="BI12" s="595" t="n"/>
      <c r="BJ12" s="595" t="n"/>
      <c r="BK12" s="596" t="n"/>
      <c r="BL12" s="597" t="n"/>
      <c r="BM12" s="595" t="n"/>
      <c r="BN12" s="595" t="n"/>
      <c r="BO12" s="595" t="n"/>
      <c r="BP12" s="596" t="n"/>
      <c r="BQ12" s="597" t="n"/>
      <c r="BR12" s="595" t="n"/>
      <c r="BS12" s="595" t="n"/>
      <c r="BT12" s="596" t="n"/>
      <c r="BU12" s="457" t="n"/>
      <c r="BV12" s="457" t="n"/>
      <c r="BW12" s="238" t="n"/>
      <c r="BX12" s="238" t="n"/>
      <c r="BY12" s="238" t="n"/>
      <c r="BZ12" s="238" t="n"/>
      <c r="CA12" s="238" t="n"/>
      <c r="CB12" s="238" t="n"/>
      <c r="CC12" s="238" t="n"/>
      <c r="CD12" s="238" t="n"/>
      <c r="CE12" s="238" t="n"/>
      <c r="CF12" s="238" t="n"/>
      <c r="CG12" s="238" t="n"/>
      <c r="CH12" s="238" t="n"/>
      <c r="CI12" s="238" t="n"/>
      <c r="CJ12" s="238" t="n"/>
      <c r="CK12" s="238" t="n"/>
      <c r="CL12" s="238" t="n"/>
      <c r="CM12" s="238" t="n"/>
      <c r="CN12" s="238" t="n"/>
      <c r="CO12" s="238" t="n"/>
      <c r="CP12" s="238" t="n"/>
      <c r="CQ12" s="238" t="n"/>
      <c r="CR12" s="238" t="n"/>
      <c r="CS12" s="238" t="n"/>
      <c r="CT12" s="238" t="n"/>
      <c r="CU12" s="238" t="n"/>
      <c r="CV12" s="238" t="n"/>
      <c r="CW12" s="238" t="n"/>
      <c r="CX12" s="238" t="n"/>
      <c r="CY12" s="238" t="n"/>
      <c r="CZ12" s="238" t="n"/>
      <c r="DA12" s="238" t="n"/>
      <c r="DB12" s="238" t="n"/>
      <c r="DC12" s="238" t="n"/>
      <c r="DD12" s="238" t="n"/>
      <c r="DE12" s="238" t="n"/>
      <c r="DF12" s="238" t="n"/>
      <c r="DG12" s="238" t="n"/>
      <c r="DH12" s="238" t="n"/>
      <c r="DI12" s="238" t="n"/>
      <c r="DJ12" s="238" t="n"/>
      <c r="DK12" s="238" t="n"/>
      <c r="DL12" s="238" t="n"/>
      <c r="DM12" s="238" t="n"/>
      <c r="DN12" s="238" t="n"/>
      <c r="DO12" s="238" t="n"/>
      <c r="DP12" s="238" t="n"/>
      <c r="DQ12" s="238" t="n"/>
      <c r="DR12" s="238" t="n"/>
      <c r="DS12" s="238" t="n"/>
      <c r="DT12" s="238" t="n"/>
      <c r="DU12" s="238" t="n"/>
      <c r="DV12" s="238" t="n"/>
      <c r="DW12" s="238" t="n"/>
      <c r="DX12" s="238" t="n"/>
      <c r="DY12" s="238" t="n"/>
      <c r="DZ12" s="23" t="n"/>
      <c r="FQ12" s="212" t="n"/>
      <c r="FR12" s="212" t="n"/>
      <c r="FS12" s="212" t="n"/>
      <c r="FT12" s="212" t="n"/>
      <c r="FU12" s="212" t="n"/>
      <c r="FV12" s="212" t="n"/>
      <c r="FW12" s="212" t="n"/>
      <c r="FX12" s="212" t="n"/>
      <c r="FY12" s="212" t="n"/>
      <c r="FZ12" s="212" t="n"/>
    </row>
    <row r="13" ht="39.95" customFormat="1" customHeight="1" s="5">
      <c r="A13" s="10" t="inlineStr">
        <is>
          <t>A</t>
        </is>
      </c>
      <c r="B13" s="6" t="n"/>
      <c r="C13" s="415" t="inlineStr">
        <is>
          <t>LOWEST</t>
        </is>
      </c>
      <c r="D13" s="613" t="inlineStr">
        <is>
          <t>RF</t>
        </is>
      </c>
      <c r="E13" s="614">
        <f>MIN(Thickness!E13:E15)</f>
        <v/>
      </c>
      <c r="F13" s="614">
        <f>MIN(Thickness!F13:F15)</f>
        <v/>
      </c>
      <c r="G13" s="614">
        <f>MIN(Thickness!G13:G15)</f>
        <v/>
      </c>
      <c r="H13" s="615">
        <f>MIN(Thickness!H13:H15)</f>
        <v/>
      </c>
      <c r="I13" s="616">
        <f>MIN(Thickness!I13:I15)</f>
        <v/>
      </c>
      <c r="J13" s="614">
        <f>MIN(Thickness!J13:J15)</f>
        <v/>
      </c>
      <c r="K13" s="614">
        <f>MIN(Thickness!K13:K15)</f>
        <v/>
      </c>
      <c r="L13" s="614">
        <f>MIN(Thickness!L13:L15)</f>
        <v/>
      </c>
      <c r="M13" s="615">
        <f>MIN(Thickness!M13:M15)</f>
        <v/>
      </c>
      <c r="N13" s="616">
        <f>MIN(Thickness!N13:N15)</f>
        <v/>
      </c>
      <c r="O13" s="614">
        <f>MIN(Thickness!O13:O15)</f>
        <v/>
      </c>
      <c r="P13" s="614">
        <f>MIN(Thickness!P13:P15)</f>
        <v/>
      </c>
      <c r="Q13" s="614">
        <f>MIN(Thickness!Q13:Q15)</f>
        <v/>
      </c>
      <c r="R13" s="615">
        <f>MIN(Thickness!R13:R15)</f>
        <v/>
      </c>
      <c r="S13" s="616">
        <f>MIN(Thickness!S13:S15)</f>
        <v/>
      </c>
      <c r="T13" s="614">
        <f>MIN(Thickness!T13:T15)</f>
        <v/>
      </c>
      <c r="U13" s="614">
        <f>MIN(Thickness!U13:U15)</f>
        <v/>
      </c>
      <c r="V13" s="614">
        <f>MIN(Thickness!V13:V15)</f>
        <v/>
      </c>
      <c r="W13" s="615">
        <f>MIN(Thickness!W13:W15)</f>
        <v/>
      </c>
      <c r="X13" s="616">
        <f>MIN(Thickness!X13:X15)</f>
        <v/>
      </c>
      <c r="Y13" s="614">
        <f>MIN(Thickness!Y13:Y15)</f>
        <v/>
      </c>
      <c r="Z13" s="614">
        <f>MIN(Thickness!Z13:Z15)</f>
        <v/>
      </c>
      <c r="AA13" s="614">
        <f>MIN(Thickness!AA13:AA15)</f>
        <v/>
      </c>
      <c r="AB13" s="615">
        <f>MIN(Thickness!AB13:AB15)</f>
        <v/>
      </c>
      <c r="AC13" s="616">
        <f>MIN(Thickness!AC13:AC15)</f>
        <v/>
      </c>
      <c r="AD13" s="614">
        <f>MIN(Thickness!AD13:AD15)</f>
        <v/>
      </c>
      <c r="AE13" s="614">
        <f>MIN(Thickness!AE13:AE15)</f>
        <v/>
      </c>
      <c r="AF13" s="614">
        <f>MIN(Thickness!AF13:AF15)</f>
        <v/>
      </c>
      <c r="AG13" s="615">
        <f>MIN(Thickness!AG13:AG15)</f>
        <v/>
      </c>
      <c r="AH13" s="616">
        <f>MIN(Thickness!AH13:AH15)</f>
        <v/>
      </c>
      <c r="AI13" s="614">
        <f>MIN(Thickness!AI13:AI15)</f>
        <v/>
      </c>
      <c r="AJ13" s="614">
        <f>MIN(Thickness!AJ13:AJ15)</f>
        <v/>
      </c>
      <c r="AK13" s="614">
        <f>MIN(Thickness!AK13:AK15)</f>
        <v/>
      </c>
      <c r="AL13" s="615">
        <f>MIN(Thickness!AL13:AL15)</f>
        <v/>
      </c>
      <c r="AM13" s="616">
        <f>MIN(Thickness!AM13:AM15)</f>
        <v/>
      </c>
      <c r="AN13" s="614">
        <f>MIN(Thickness!AN13:AN15)</f>
        <v/>
      </c>
      <c r="AO13" s="614">
        <f>MIN(Thickness!AO13:AO15)</f>
        <v/>
      </c>
      <c r="AP13" s="614">
        <f>MIN(Thickness!AP13:AP15)</f>
        <v/>
      </c>
      <c r="AQ13" s="615">
        <f>MIN(Thickness!AQ13:AQ15)</f>
        <v/>
      </c>
      <c r="AR13" s="616">
        <f>MIN(Thickness!AR13:AR15)</f>
        <v/>
      </c>
      <c r="AS13" s="614">
        <f>MIN(Thickness!AS13:AS15)</f>
        <v/>
      </c>
      <c r="AT13" s="614">
        <f>MIN(Thickness!AT13:AT15)</f>
        <v/>
      </c>
      <c r="AU13" s="614">
        <f>MIN(Thickness!AU13:AU15)</f>
        <v/>
      </c>
      <c r="AV13" s="615">
        <f>MIN(Thickness!AV13:AV15)</f>
        <v/>
      </c>
      <c r="AW13" s="616">
        <f>MIN(Thickness!AW13:AW15)</f>
        <v/>
      </c>
      <c r="AX13" s="614">
        <f>MIN(Thickness!AX13:AX15)</f>
        <v/>
      </c>
      <c r="AY13" s="614">
        <f>MIN(Thickness!AY13:AY15)</f>
        <v/>
      </c>
      <c r="AZ13" s="614">
        <f>MIN(Thickness!AZ13:AZ15)</f>
        <v/>
      </c>
      <c r="BA13" s="615">
        <f>MIN(Thickness!BA13:BA15)</f>
        <v/>
      </c>
      <c r="BB13" s="616">
        <f>MIN(Thickness!BB13:BB15)</f>
        <v/>
      </c>
      <c r="BC13" s="614">
        <f>MIN(Thickness!BC13:BC15)</f>
        <v/>
      </c>
      <c r="BD13" s="614">
        <f>MIN(Thickness!BD13:BD15)</f>
        <v/>
      </c>
      <c r="BE13" s="614">
        <f>MIN(Thickness!BE13:BE15)</f>
        <v/>
      </c>
      <c r="BF13" s="615">
        <f>MIN(Thickness!BF13:BF15)</f>
        <v/>
      </c>
      <c r="BG13" s="616">
        <f>MIN(Thickness!BG13:BG15)</f>
        <v/>
      </c>
      <c r="BH13" s="614">
        <f>MIN(Thickness!BH13:BH15)</f>
        <v/>
      </c>
      <c r="BI13" s="614">
        <f>MIN(Thickness!BI13:BI15)</f>
        <v/>
      </c>
      <c r="BJ13" s="614">
        <f>MIN(Thickness!BJ13:BJ15)</f>
        <v/>
      </c>
      <c r="BK13" s="615">
        <f>MIN(Thickness!BK13:BK15)</f>
        <v/>
      </c>
      <c r="BL13" s="616">
        <f>MIN(Thickness!BL13:BL15)</f>
        <v/>
      </c>
      <c r="BM13" s="614">
        <f>MIN(Thickness!BM13:BM15)</f>
        <v/>
      </c>
      <c r="BN13" s="614">
        <f>MIN(Thickness!BN13:BN15)</f>
        <v/>
      </c>
      <c r="BO13" s="614">
        <f>MIN(Thickness!BO13:BO15)</f>
        <v/>
      </c>
      <c r="BP13" s="615">
        <f>MIN(Thickness!BP13:BP15)</f>
        <v/>
      </c>
      <c r="BQ13" s="616">
        <f>MIN(Thickness!BQ13:BQ15)</f>
        <v/>
      </c>
      <c r="BR13" s="614">
        <f>MIN(Thickness!BR13:BR15)</f>
        <v/>
      </c>
      <c r="BS13" s="614">
        <f>MIN(Thickness!BS13:BS15)</f>
        <v/>
      </c>
      <c r="BT13" s="615">
        <f>MIN(Thickness!BT13:BT15)</f>
        <v/>
      </c>
      <c r="BU13" s="454">
        <f>IFERROR(AVERAGE(D13:BT15),0)</f>
        <v/>
      </c>
      <c r="BV13" s="454">
        <f>MIN(D13:BT15)</f>
        <v/>
      </c>
      <c r="BW13" s="238" t="n"/>
      <c r="BX13" s="238" t="n"/>
      <c r="BY13" s="238" t="n"/>
      <c r="BZ13" s="238" t="n"/>
      <c r="CA13" s="238" t="n"/>
      <c r="CB13" s="238" t="n"/>
      <c r="CC13" s="238" t="n"/>
      <c r="CD13" s="238" t="n"/>
      <c r="CE13" s="238" t="n"/>
      <c r="CF13" s="238" t="n"/>
      <c r="CG13" s="238" t="n"/>
      <c r="CH13" s="238" t="n"/>
      <c r="CI13" s="238" t="n"/>
      <c r="CJ13" s="238" t="n"/>
      <c r="CK13" s="238" t="n"/>
      <c r="CL13" s="238" t="n"/>
      <c r="CM13" s="238" t="n"/>
      <c r="CN13" s="238" t="n"/>
      <c r="CO13" s="238" t="n"/>
      <c r="CP13" s="238" t="n"/>
      <c r="CQ13" s="238" t="n"/>
      <c r="CR13" s="238" t="n"/>
      <c r="CS13" s="238" t="n"/>
      <c r="CT13" s="238" t="n"/>
      <c r="CU13" s="238" t="n"/>
      <c r="CV13" s="238" t="n"/>
      <c r="CW13" s="238" t="n"/>
      <c r="CX13" s="238" t="n"/>
      <c r="CY13" s="238" t="n"/>
      <c r="CZ13" s="238" t="n"/>
      <c r="DA13" s="238" t="n"/>
      <c r="DB13" s="238" t="n"/>
      <c r="DC13" s="238" t="n"/>
      <c r="DD13" s="238" t="n"/>
      <c r="DE13" s="238" t="n"/>
      <c r="DF13" s="238" t="n"/>
      <c r="DG13" s="238" t="n"/>
      <c r="DH13" s="238" t="n"/>
      <c r="DI13" s="238" t="n"/>
      <c r="DJ13" s="238" t="n"/>
      <c r="DK13" s="238" t="n"/>
      <c r="DL13" s="238" t="n"/>
      <c r="DM13" s="238" t="n"/>
      <c r="DN13" s="238" t="n"/>
      <c r="DO13" s="238" t="n"/>
      <c r="DP13" s="238" t="n"/>
      <c r="DQ13" s="238" t="n"/>
      <c r="DR13" s="238" t="n"/>
      <c r="DS13" s="238" t="n"/>
      <c r="DT13" s="238" t="n"/>
      <c r="DU13" s="238" t="n"/>
      <c r="DV13" s="238" t="n"/>
      <c r="DW13" s="238" t="n"/>
      <c r="DX13" s="238" t="n"/>
      <c r="DY13" s="238" t="n"/>
      <c r="DZ13" s="23" t="n"/>
      <c r="FQ13" s="212" t="n"/>
      <c r="FR13" s="212" t="n"/>
      <c r="FS13" s="212" t="n"/>
      <c r="FT13" s="212" t="n"/>
      <c r="FU13" s="212" t="n"/>
      <c r="FV13" s="212" t="n"/>
      <c r="FW13" s="212" t="n"/>
      <c r="FX13" s="212" t="n"/>
      <c r="FY13" s="212" t="n"/>
      <c r="FZ13" s="212" t="n"/>
    </row>
    <row r="14" ht="39.95" customFormat="1" customHeight="1" s="5">
      <c r="A14" s="182" t="n">
        <v>0.083</v>
      </c>
      <c r="B14" s="7" t="inlineStr">
        <is>
          <t>+12 FT</t>
        </is>
      </c>
      <c r="C14" s="456" t="n"/>
      <c r="D14" s="13" t="n"/>
      <c r="H14" s="592" t="n"/>
      <c r="I14" s="593" t="n"/>
      <c r="M14" s="592" t="n"/>
      <c r="N14" s="593" t="n"/>
      <c r="R14" s="592" t="n"/>
      <c r="S14" s="593" t="n"/>
      <c r="W14" s="592" t="n"/>
      <c r="X14" s="593" t="n"/>
      <c r="AB14" s="592" t="n"/>
      <c r="AC14" s="593" t="n"/>
      <c r="AG14" s="592" t="n"/>
      <c r="AH14" s="593" t="n"/>
      <c r="AL14" s="592" t="n"/>
      <c r="AM14" s="593" t="n"/>
      <c r="AQ14" s="592" t="n"/>
      <c r="AR14" s="593" t="n"/>
      <c r="AV14" s="592" t="n"/>
      <c r="AW14" s="593" t="n"/>
      <c r="BA14" s="592" t="n"/>
      <c r="BB14" s="593" t="n"/>
      <c r="BF14" s="592" t="n"/>
      <c r="BG14" s="593" t="n"/>
      <c r="BK14" s="592" t="n"/>
      <c r="BL14" s="593" t="n"/>
      <c r="BP14" s="592" t="n"/>
      <c r="BQ14" s="593" t="n"/>
      <c r="BT14" s="592" t="n"/>
      <c r="BU14" s="455" t="n"/>
      <c r="BV14" s="455" t="n"/>
      <c r="BW14" s="238" t="n"/>
      <c r="BX14" s="238" t="n"/>
      <c r="BY14" s="238" t="n"/>
      <c r="BZ14" s="238" t="n"/>
      <c r="CA14" s="238" t="n"/>
      <c r="CB14" s="238" t="n"/>
      <c r="CC14" s="238" t="n"/>
      <c r="CD14" s="238" t="n"/>
      <c r="CE14" s="238" t="n"/>
      <c r="CF14" s="238" t="n"/>
      <c r="CG14" s="238" t="n"/>
      <c r="CH14" s="238" t="n"/>
      <c r="CI14" s="238" t="n"/>
      <c r="CJ14" s="238" t="n"/>
      <c r="CK14" s="238" t="n"/>
      <c r="CL14" s="238" t="n"/>
      <c r="CM14" s="238" t="n"/>
      <c r="CN14" s="238" t="n"/>
      <c r="CO14" s="238" t="n"/>
      <c r="CP14" s="238" t="n"/>
      <c r="CQ14" s="238" t="n"/>
      <c r="CR14" s="238" t="n"/>
      <c r="CS14" s="238" t="n"/>
      <c r="CT14" s="238" t="n"/>
      <c r="CU14" s="238" t="n"/>
      <c r="CV14" s="238" t="n"/>
      <c r="CW14" s="238" t="n"/>
      <c r="CX14" s="238" t="n"/>
      <c r="CY14" s="238" t="n"/>
      <c r="CZ14" s="238" t="n"/>
      <c r="DA14" s="238" t="n"/>
      <c r="DB14" s="238" t="n"/>
      <c r="DC14" s="238" t="n"/>
      <c r="DD14" s="238" t="n"/>
      <c r="DE14" s="238" t="n"/>
      <c r="DF14" s="238" t="n"/>
      <c r="DG14" s="238" t="n"/>
      <c r="DH14" s="238" t="n"/>
      <c r="DI14" s="238" t="n"/>
      <c r="DJ14" s="238" t="n"/>
      <c r="DK14" s="238" t="n"/>
      <c r="DL14" s="238" t="n"/>
      <c r="DM14" s="238" t="n"/>
      <c r="DN14" s="238" t="n"/>
      <c r="DO14" s="238" t="n"/>
      <c r="DP14" s="238" t="n"/>
      <c r="DQ14" s="238" t="n"/>
      <c r="DR14" s="238" t="n"/>
      <c r="DS14" s="238" t="n"/>
      <c r="DT14" s="238" t="n"/>
      <c r="DU14" s="238" t="n"/>
      <c r="DV14" s="238" t="n"/>
      <c r="DW14" s="238" t="n"/>
      <c r="DX14" s="238" t="n"/>
      <c r="DY14" s="238" t="n"/>
      <c r="DZ14" s="23" t="n"/>
      <c r="FQ14" s="212" t="n"/>
      <c r="FR14" s="212" t="n"/>
      <c r="FS14" s="212" t="n"/>
      <c r="FT14" s="212" t="n"/>
      <c r="FU14" s="212" t="n"/>
      <c r="FV14" s="212" t="n"/>
      <c r="FW14" s="212" t="n"/>
      <c r="FX14" s="212" t="n"/>
      <c r="FY14" s="212" t="n"/>
      <c r="FZ14" s="212" t="n"/>
    </row>
    <row r="15" ht="39.95" customFormat="1" customHeight="1" s="5">
      <c r="A15" s="456" t="n"/>
      <c r="B15" s="8" t="n"/>
      <c r="C15" s="456" t="n"/>
      <c r="D15" s="594" t="n"/>
      <c r="E15" s="595" t="n"/>
      <c r="F15" s="595" t="n"/>
      <c r="G15" s="595" t="n"/>
      <c r="H15" s="596" t="n"/>
      <c r="I15" s="597" t="n"/>
      <c r="J15" s="595" t="n"/>
      <c r="K15" s="595" t="n"/>
      <c r="L15" s="595" t="n"/>
      <c r="M15" s="596" t="n"/>
      <c r="N15" s="597" t="n"/>
      <c r="O15" s="595" t="n"/>
      <c r="P15" s="595" t="n"/>
      <c r="Q15" s="595" t="n"/>
      <c r="R15" s="596" t="n"/>
      <c r="S15" s="597" t="n"/>
      <c r="T15" s="595" t="n"/>
      <c r="U15" s="595" t="n"/>
      <c r="V15" s="595" t="n"/>
      <c r="W15" s="596" t="n"/>
      <c r="X15" s="597" t="n"/>
      <c r="Y15" s="595" t="n"/>
      <c r="Z15" s="595" t="n"/>
      <c r="AA15" s="595" t="n"/>
      <c r="AB15" s="596" t="n"/>
      <c r="AC15" s="597" t="n"/>
      <c r="AD15" s="595" t="n"/>
      <c r="AE15" s="595" t="n"/>
      <c r="AF15" s="595" t="n"/>
      <c r="AG15" s="596" t="n"/>
      <c r="AH15" s="597" t="n"/>
      <c r="AI15" s="595" t="n"/>
      <c r="AJ15" s="595" t="n"/>
      <c r="AK15" s="595" t="n"/>
      <c r="AL15" s="596" t="n"/>
      <c r="AM15" s="597" t="n"/>
      <c r="AN15" s="595" t="n"/>
      <c r="AO15" s="595" t="n"/>
      <c r="AP15" s="595" t="n"/>
      <c r="AQ15" s="596" t="n"/>
      <c r="AR15" s="597" t="n"/>
      <c r="AS15" s="595" t="n"/>
      <c r="AT15" s="595" t="n"/>
      <c r="AU15" s="595" t="n"/>
      <c r="AV15" s="596" t="n"/>
      <c r="AW15" s="597" t="n"/>
      <c r="AX15" s="595" t="n"/>
      <c r="AY15" s="595" t="n"/>
      <c r="AZ15" s="595" t="n"/>
      <c r="BA15" s="596" t="n"/>
      <c r="BB15" s="597" t="n"/>
      <c r="BC15" s="595" t="n"/>
      <c r="BD15" s="595" t="n"/>
      <c r="BE15" s="595" t="n"/>
      <c r="BF15" s="596" t="n"/>
      <c r="BG15" s="597" t="n"/>
      <c r="BH15" s="595" t="n"/>
      <c r="BI15" s="595" t="n"/>
      <c r="BJ15" s="595" t="n"/>
      <c r="BK15" s="596" t="n"/>
      <c r="BL15" s="597" t="n"/>
      <c r="BM15" s="595" t="n"/>
      <c r="BN15" s="595" t="n"/>
      <c r="BO15" s="595" t="n"/>
      <c r="BP15" s="596" t="n"/>
      <c r="BQ15" s="597" t="n"/>
      <c r="BR15" s="595" t="n"/>
      <c r="BS15" s="595" t="n"/>
      <c r="BT15" s="596" t="n"/>
      <c r="BU15" s="457" t="n"/>
      <c r="BV15" s="457" t="n"/>
      <c r="BW15" s="238" t="n"/>
      <c r="BX15" s="238" t="n"/>
      <c r="BY15" s="238" t="n"/>
      <c r="BZ15" s="238" t="n"/>
      <c r="CA15" s="238" t="n"/>
      <c r="CB15" s="238" t="n"/>
      <c r="CC15" s="238" t="n"/>
      <c r="CD15" s="238" t="n"/>
      <c r="CE15" s="238" t="n"/>
      <c r="CF15" s="238" t="n"/>
      <c r="CG15" s="238" t="n"/>
      <c r="CH15" s="238" t="n"/>
      <c r="CI15" s="238" t="n"/>
      <c r="CJ15" s="238" t="n"/>
      <c r="CK15" s="238" t="n"/>
      <c r="CL15" s="238" t="n"/>
      <c r="CM15" s="238" t="n"/>
      <c r="CN15" s="238" t="n"/>
      <c r="CO15" s="238" t="n"/>
      <c r="CP15" s="238" t="n"/>
      <c r="CQ15" s="238" t="n"/>
      <c r="CR15" s="238" t="n"/>
      <c r="CS15" s="238" t="n"/>
      <c r="CT15" s="238" t="n"/>
      <c r="CU15" s="238" t="n"/>
      <c r="CV15" s="238" t="n"/>
      <c r="CW15" s="238" t="n"/>
      <c r="CX15" s="238" t="n"/>
      <c r="CY15" s="238" t="n"/>
      <c r="CZ15" s="238" t="n"/>
      <c r="DA15" s="238" t="n"/>
      <c r="DB15" s="238" t="n"/>
      <c r="DC15" s="238" t="n"/>
      <c r="DD15" s="238" t="n"/>
      <c r="DE15" s="238" t="n"/>
      <c r="DF15" s="238" t="n"/>
      <c r="DG15" s="238" t="n"/>
      <c r="DH15" s="238" t="n"/>
      <c r="DI15" s="238" t="n"/>
      <c r="DJ15" s="238" t="n"/>
      <c r="DK15" s="238" t="n"/>
      <c r="DL15" s="238" t="n"/>
      <c r="DM15" s="238" t="n"/>
      <c r="DN15" s="238" t="n"/>
      <c r="DO15" s="238" t="n"/>
      <c r="DP15" s="238" t="n"/>
      <c r="DQ15" s="238" t="n"/>
      <c r="DR15" s="238" t="n"/>
      <c r="DS15" s="238" t="n"/>
      <c r="DT15" s="238" t="n"/>
      <c r="DU15" s="238" t="n"/>
      <c r="DV15" s="238" t="n"/>
      <c r="DW15" s="238" t="n"/>
      <c r="DX15" s="238" t="n"/>
      <c r="DY15" s="238" t="n"/>
      <c r="DZ15" s="23" t="n"/>
      <c r="FQ15" s="212" t="n"/>
      <c r="FR15" s="212" t="n"/>
      <c r="FS15" s="212" t="n"/>
      <c r="FT15" s="212" t="n"/>
      <c r="FU15" s="212" t="n"/>
      <c r="FV15" s="212" t="n"/>
      <c r="FW15" s="212" t="n"/>
      <c r="FX15" s="212" t="n"/>
      <c r="FY15" s="212" t="n"/>
      <c r="FZ15" s="212" t="n"/>
    </row>
    <row r="16" ht="39.95" customFormat="1" customHeight="1" s="5">
      <c r="A16" s="10" t="inlineStr">
        <is>
          <t>A</t>
        </is>
      </c>
      <c r="B16" s="6" t="inlineStr">
        <is>
          <t>POSITION 'A'</t>
        </is>
      </c>
      <c r="C16" s="415" t="inlineStr">
        <is>
          <t>LOWEST</t>
        </is>
      </c>
      <c r="D16" s="613" t="inlineStr"/>
      <c r="E16" s="614">
        <f>MIN(Thickness!E16:E18)</f>
        <v/>
      </c>
      <c r="F16" s="614">
        <f>MIN(Thickness!F16:F18)</f>
        <v/>
      </c>
      <c r="G16" s="614">
        <f>MIN(Thickness!G16:G18)</f>
        <v/>
      </c>
      <c r="H16" s="615">
        <f>MIN(Thickness!H16:H18)</f>
        <v/>
      </c>
      <c r="I16" s="616" t="inlineStr"/>
      <c r="J16" s="614" t="inlineStr"/>
      <c r="K16" s="614" t="inlineStr"/>
      <c r="L16" s="614" t="inlineStr"/>
      <c r="M16" s="615" t="inlineStr"/>
      <c r="N16" s="616" t="inlineStr"/>
      <c r="O16" s="614" t="inlineStr"/>
      <c r="P16" s="614" t="inlineStr"/>
      <c r="Q16" s="614" t="inlineStr"/>
      <c r="R16" s="615" t="inlineStr"/>
      <c r="S16" s="616" t="inlineStr"/>
      <c r="T16" s="614" t="inlineStr"/>
      <c r="U16" s="614" t="inlineStr"/>
      <c r="V16" s="614" t="inlineStr"/>
      <c r="W16" s="615" t="inlineStr"/>
      <c r="X16" s="616" t="inlineStr"/>
      <c r="Y16" s="614" t="inlineStr"/>
      <c r="Z16" s="614" t="inlineStr"/>
      <c r="AA16" s="614" t="inlineStr"/>
      <c r="AB16" s="615" t="inlineStr"/>
      <c r="AC16" s="616" t="inlineStr"/>
      <c r="AD16" s="614" t="inlineStr"/>
      <c r="AE16" s="614" t="inlineStr"/>
      <c r="AF16" s="614" t="inlineStr"/>
      <c r="AG16" s="615" t="inlineStr"/>
      <c r="AH16" s="616" t="inlineStr"/>
      <c r="AI16" s="614" t="inlineStr"/>
      <c r="AJ16" s="614" t="inlineStr"/>
      <c r="AK16" s="614" t="inlineStr"/>
      <c r="AL16" s="615" t="inlineStr"/>
      <c r="AM16" s="616" t="inlineStr"/>
      <c r="AN16" s="614" t="inlineStr"/>
      <c r="AO16" s="614" t="inlineStr"/>
      <c r="AP16" s="614" t="inlineStr"/>
      <c r="AQ16" s="615" t="inlineStr"/>
      <c r="AR16" s="616" t="inlineStr"/>
      <c r="AS16" s="614" t="inlineStr"/>
      <c r="AT16" s="614" t="inlineStr"/>
      <c r="AU16" s="614" t="inlineStr"/>
      <c r="AV16" s="615" t="inlineStr"/>
      <c r="AW16" s="616" t="inlineStr"/>
      <c r="AX16" s="614" t="inlineStr"/>
      <c r="AY16" s="614" t="inlineStr"/>
      <c r="AZ16" s="614" t="inlineStr"/>
      <c r="BA16" s="615" t="inlineStr"/>
      <c r="BB16" s="616" t="inlineStr"/>
      <c r="BC16" s="614" t="inlineStr"/>
      <c r="BD16" s="614" t="inlineStr"/>
      <c r="BE16" s="614" t="inlineStr"/>
      <c r="BF16" s="615" t="inlineStr"/>
      <c r="BG16" s="616" t="inlineStr"/>
      <c r="BH16" s="614" t="inlineStr"/>
      <c r="BI16" s="614" t="inlineStr"/>
      <c r="BJ16" s="614" t="inlineStr"/>
      <c r="BK16" s="615" t="inlineStr"/>
      <c r="BL16" s="616" t="inlineStr"/>
      <c r="BM16" s="614" t="inlineStr"/>
      <c r="BN16" s="614" t="inlineStr"/>
      <c r="BO16" s="614" t="inlineStr"/>
      <c r="BP16" s="615">
        <f>MIN(Thickness!BP16:BP18)</f>
        <v/>
      </c>
      <c r="BQ16" s="616">
        <f>MIN(Thickness!BQ16:BQ18)</f>
        <v/>
      </c>
      <c r="BR16" s="614">
        <f>MIN(Thickness!BR16:BR18)</f>
        <v/>
      </c>
      <c r="BS16" s="614">
        <f>MIN(Thickness!BS16:BS18)</f>
        <v/>
      </c>
      <c r="BT16" s="615" t="inlineStr"/>
      <c r="BU16" s="454">
        <f>IFERROR(AVERAGE(D16:BT18),0)</f>
        <v/>
      </c>
      <c r="BV16" s="454">
        <f>MIN(D16:BT18)</f>
        <v/>
      </c>
      <c r="BW16" s="238" t="n"/>
      <c r="BX16" s="238" t="n"/>
      <c r="BY16" s="238" t="n"/>
      <c r="BZ16" s="238" t="n"/>
      <c r="CA16" s="238" t="n"/>
      <c r="CB16" s="238" t="n"/>
      <c r="CC16" s="238" t="n"/>
      <c r="CD16" s="238" t="n"/>
      <c r="CE16" s="238" t="n"/>
      <c r="CF16" s="238" t="n"/>
      <c r="CG16" s="238" t="n"/>
      <c r="CH16" s="238" t="n"/>
      <c r="CI16" s="238" t="n"/>
      <c r="CJ16" s="238" t="n"/>
      <c r="CK16" s="238" t="n"/>
      <c r="CL16" s="238" t="n"/>
      <c r="CM16" s="238" t="n"/>
      <c r="CN16" s="238" t="n"/>
      <c r="CO16" s="238" t="n"/>
      <c r="CP16" s="238" t="n"/>
      <c r="CQ16" s="238" t="n"/>
      <c r="CR16" s="238" t="n"/>
      <c r="CS16" s="238" t="n"/>
      <c r="CT16" s="238" t="n"/>
      <c r="CU16" s="238" t="n"/>
      <c r="CV16" s="238" t="n"/>
      <c r="CW16" s="238" t="n"/>
      <c r="CX16" s="238" t="n"/>
      <c r="CY16" s="238" t="n"/>
      <c r="CZ16" s="238" t="n"/>
      <c r="DA16" s="238" t="n"/>
      <c r="DB16" s="238" t="n"/>
      <c r="DC16" s="238" t="n"/>
      <c r="DD16" s="238" t="n"/>
      <c r="DE16" s="238" t="n"/>
      <c r="DF16" s="238" t="n"/>
      <c r="DG16" s="238" t="n"/>
      <c r="DH16" s="238" t="n"/>
      <c r="DI16" s="238" t="n"/>
      <c r="DJ16" s="238" t="n"/>
      <c r="DK16" s="238" t="n"/>
      <c r="DL16" s="238" t="n"/>
      <c r="DM16" s="238" t="n"/>
      <c r="DN16" s="238" t="n"/>
      <c r="DO16" s="238" t="n"/>
      <c r="DP16" s="238" t="n"/>
      <c r="DQ16" s="238" t="n"/>
      <c r="DR16" s="238" t="n"/>
      <c r="DS16" s="238" t="n"/>
      <c r="DT16" s="238" t="n"/>
      <c r="DU16" s="238" t="n"/>
      <c r="DV16" s="238" t="n"/>
      <c r="DW16" s="238" t="n"/>
      <c r="DX16" s="238" t="n"/>
      <c r="DY16" s="238" t="n"/>
      <c r="DZ16" s="23" t="n"/>
      <c r="FQ16" s="212" t="n"/>
      <c r="FR16" s="212" t="n"/>
      <c r="FS16" s="212" t="n"/>
      <c r="FT16" s="212" t="n"/>
      <c r="FU16" s="212" t="n"/>
      <c r="FV16" s="212" t="n"/>
      <c r="FW16" s="212" t="n"/>
      <c r="FX16" s="212" t="n"/>
      <c r="FY16" s="212" t="n"/>
      <c r="FZ16" s="212" t="n"/>
    </row>
    <row r="17" ht="39.95" customFormat="1" customHeight="1" s="5">
      <c r="A17" s="182" t="n">
        <v>0.083</v>
      </c>
      <c r="B17" s="7" t="inlineStr">
        <is>
          <t>OF THE</t>
        </is>
      </c>
      <c r="C17" s="456" t="n"/>
      <c r="D17" s="13" t="n"/>
      <c r="H17" s="592" t="n"/>
      <c r="I17" s="593" t="n"/>
      <c r="M17" s="592" t="n"/>
      <c r="N17" s="593" t="n"/>
      <c r="R17" s="592" t="n"/>
      <c r="S17" s="593" t="n"/>
      <c r="W17" s="592" t="n"/>
      <c r="X17" s="593" t="n"/>
      <c r="AB17" s="592" t="n"/>
      <c r="AC17" s="593" t="n"/>
      <c r="AG17" s="592" t="n"/>
      <c r="AH17" s="593" t="n"/>
      <c r="AL17" s="592" t="n"/>
      <c r="AM17" s="593" t="n"/>
      <c r="AQ17" s="592" t="n"/>
      <c r="AR17" s="593" t="n"/>
      <c r="AV17" s="592" t="n"/>
      <c r="AW17" s="593" t="n"/>
      <c r="BA17" s="592" t="n"/>
      <c r="BB17" s="593" t="n"/>
      <c r="BF17" s="592" t="n"/>
      <c r="BG17" s="593" t="n"/>
      <c r="BK17" s="592" t="n"/>
      <c r="BL17" s="593" t="n"/>
      <c r="BP17" s="592" t="n"/>
      <c r="BQ17" s="593" t="n"/>
      <c r="BT17" s="592" t="n"/>
      <c r="BU17" s="455" t="n"/>
      <c r="BV17" s="455" t="n"/>
      <c r="BW17" s="238" t="n"/>
      <c r="BX17" s="238" t="n"/>
      <c r="BY17" s="238" t="n"/>
      <c r="BZ17" s="238" t="n"/>
      <c r="CA17" s="238" t="n"/>
      <c r="CB17" s="238" t="n"/>
      <c r="CC17" s="238" t="n"/>
      <c r="CD17" s="238" t="n"/>
      <c r="CE17" s="238" t="n"/>
      <c r="CF17" s="238" t="n"/>
      <c r="CG17" s="238" t="n"/>
      <c r="CH17" s="238" t="n"/>
      <c r="CI17" s="238" t="n"/>
      <c r="CJ17" s="238" t="n"/>
      <c r="CK17" s="238" t="n"/>
      <c r="CL17" s="238" t="n"/>
      <c r="CM17" s="238" t="n"/>
      <c r="CN17" s="238" t="n"/>
      <c r="CO17" s="238" t="n"/>
      <c r="CP17" s="238" t="n"/>
      <c r="CQ17" s="238" t="n"/>
      <c r="CR17" s="238" t="n"/>
      <c r="CS17" s="238" t="n"/>
      <c r="CT17" s="238" t="n"/>
      <c r="CU17" s="238" t="n"/>
      <c r="CV17" s="238" t="n"/>
      <c r="CW17" s="238" t="n"/>
      <c r="CX17" s="238" t="n"/>
      <c r="CY17" s="238" t="n"/>
      <c r="CZ17" s="238" t="n"/>
      <c r="DA17" s="238" t="n"/>
      <c r="DB17" s="238" t="n"/>
      <c r="DC17" s="238" t="n"/>
      <c r="DD17" s="238" t="n"/>
      <c r="DE17" s="238" t="n"/>
      <c r="DF17" s="238" t="n"/>
      <c r="DG17" s="238" t="n"/>
      <c r="DH17" s="238" t="n"/>
      <c r="DI17" s="238" t="n"/>
      <c r="DJ17" s="238" t="n"/>
      <c r="DK17" s="238" t="n"/>
      <c r="DL17" s="238" t="n"/>
      <c r="DM17" s="238" t="n"/>
      <c r="DN17" s="238" t="n"/>
      <c r="DO17" s="238" t="n"/>
      <c r="DP17" s="238" t="n"/>
      <c r="DQ17" s="238" t="n"/>
      <c r="DR17" s="238" t="n"/>
      <c r="DS17" s="238" t="n"/>
      <c r="DT17" s="238" t="n"/>
      <c r="DU17" s="238" t="n"/>
      <c r="DV17" s="238" t="n"/>
      <c r="DW17" s="238" t="n"/>
      <c r="DX17" s="238" t="n"/>
      <c r="DY17" s="238" t="n"/>
      <c r="DZ17" s="23" t="n"/>
      <c r="FQ17" s="212" t="n"/>
      <c r="FR17" s="212" t="n"/>
      <c r="FS17" s="212" t="n"/>
      <c r="FT17" s="212" t="n"/>
      <c r="FU17" s="212" t="n"/>
      <c r="FV17" s="212" t="n"/>
      <c r="FW17" s="212" t="n"/>
      <c r="FX17" s="212" t="n"/>
      <c r="FY17" s="212" t="n"/>
      <c r="FZ17" s="212" t="n"/>
    </row>
    <row r="18" ht="39.95" customFormat="1" customHeight="1" s="5">
      <c r="A18" s="456" t="n"/>
      <c r="B18" s="8" t="inlineStr">
        <is>
          <t>OB PORTS</t>
        </is>
      </c>
      <c r="C18" s="456" t="n"/>
      <c r="D18" s="594" t="n"/>
      <c r="E18" s="595" t="n"/>
      <c r="F18" s="595" t="n"/>
      <c r="G18" s="595" t="n"/>
      <c r="H18" s="596" t="n"/>
      <c r="I18" s="597" t="n"/>
      <c r="J18" s="595" t="n"/>
      <c r="K18" s="595" t="n"/>
      <c r="L18" s="595" t="n"/>
      <c r="M18" s="596" t="n"/>
      <c r="N18" s="597" t="n"/>
      <c r="O18" s="595" t="n"/>
      <c r="P18" s="595" t="n"/>
      <c r="Q18" s="595" t="n"/>
      <c r="R18" s="596" t="n"/>
      <c r="S18" s="597" t="n"/>
      <c r="T18" s="595" t="n"/>
      <c r="U18" s="595" t="n"/>
      <c r="V18" s="595" t="n"/>
      <c r="W18" s="596" t="n"/>
      <c r="X18" s="597" t="n"/>
      <c r="Y18" s="595" t="n"/>
      <c r="Z18" s="595" t="n"/>
      <c r="AA18" s="595" t="n"/>
      <c r="AB18" s="596" t="n"/>
      <c r="AC18" s="597" t="n"/>
      <c r="AD18" s="595" t="n"/>
      <c r="AE18" s="595" t="n"/>
      <c r="AF18" s="595" t="n"/>
      <c r="AG18" s="596" t="n"/>
      <c r="AH18" s="597" t="n"/>
      <c r="AI18" s="595" t="n"/>
      <c r="AJ18" s="595" t="n"/>
      <c r="AK18" s="595" t="n"/>
      <c r="AL18" s="596" t="n"/>
      <c r="AM18" s="597" t="n"/>
      <c r="AN18" s="595" t="n"/>
      <c r="AO18" s="595" t="n"/>
      <c r="AP18" s="595" t="n"/>
      <c r="AQ18" s="596" t="n"/>
      <c r="AR18" s="597" t="n"/>
      <c r="AS18" s="595" t="n"/>
      <c r="AT18" s="595" t="n"/>
      <c r="AU18" s="595" t="n"/>
      <c r="AV18" s="596" t="n"/>
      <c r="AW18" s="597" t="n"/>
      <c r="AX18" s="595" t="n"/>
      <c r="AY18" s="595" t="n"/>
      <c r="AZ18" s="595" t="n"/>
      <c r="BA18" s="596" t="n"/>
      <c r="BB18" s="597" t="n"/>
      <c r="BC18" s="595" t="n"/>
      <c r="BD18" s="595" t="n"/>
      <c r="BE18" s="595" t="n"/>
      <c r="BF18" s="596" t="n"/>
      <c r="BG18" s="597" t="n"/>
      <c r="BH18" s="595" t="n"/>
      <c r="BI18" s="595" t="n"/>
      <c r="BJ18" s="595" t="n"/>
      <c r="BK18" s="596" t="n"/>
      <c r="BL18" s="597" t="n"/>
      <c r="BM18" s="595" t="n"/>
      <c r="BN18" s="595" t="n"/>
      <c r="BO18" s="595" t="n"/>
      <c r="BP18" s="596" t="n"/>
      <c r="BQ18" s="597" t="n"/>
      <c r="BR18" s="595" t="n"/>
      <c r="BS18" s="595" t="n"/>
      <c r="BT18" s="596" t="n"/>
      <c r="BU18" s="457" t="n"/>
      <c r="BV18" s="457" t="n"/>
      <c r="BW18" s="238" t="n"/>
      <c r="BX18" s="238" t="n"/>
      <c r="BY18" s="238" t="n"/>
      <c r="BZ18" s="238" t="n"/>
      <c r="CA18" s="238" t="n"/>
      <c r="CB18" s="238" t="n"/>
      <c r="CC18" s="238" t="n"/>
      <c r="CD18" s="238" t="n"/>
      <c r="CE18" s="238" t="n"/>
      <c r="CF18" s="238" t="n"/>
      <c r="CG18" s="238" t="n"/>
      <c r="CH18" s="238" t="n"/>
      <c r="CI18" s="238" t="n"/>
      <c r="CJ18" s="238" t="n"/>
      <c r="CK18" s="238" t="n"/>
      <c r="CL18" s="238" t="n"/>
      <c r="CM18" s="238" t="n"/>
      <c r="CN18" s="238" t="n"/>
      <c r="CO18" s="238" t="n"/>
      <c r="CP18" s="238" t="n"/>
      <c r="CQ18" s="238" t="n"/>
      <c r="CR18" s="238" t="n"/>
      <c r="CS18" s="238" t="n"/>
      <c r="CT18" s="238" t="n"/>
      <c r="CU18" s="238" t="n"/>
      <c r="CV18" s="238" t="n"/>
      <c r="CW18" s="238" t="n"/>
      <c r="CX18" s="238" t="n"/>
      <c r="CY18" s="238" t="n"/>
      <c r="CZ18" s="238" t="n"/>
      <c r="DA18" s="238" t="n"/>
      <c r="DB18" s="238" t="n"/>
      <c r="DC18" s="238" t="n"/>
      <c r="DD18" s="238" t="n"/>
      <c r="DE18" s="238" t="n"/>
      <c r="DF18" s="238" t="n"/>
      <c r="DG18" s="238" t="n"/>
      <c r="DH18" s="238" t="n"/>
      <c r="DI18" s="238" t="n"/>
      <c r="DJ18" s="238" t="n"/>
      <c r="DK18" s="238" t="n"/>
      <c r="DL18" s="238" t="n"/>
      <c r="DM18" s="238" t="n"/>
      <c r="DN18" s="238" t="n"/>
      <c r="DO18" s="238" t="n"/>
      <c r="DP18" s="238" t="n"/>
      <c r="DQ18" s="238" t="n"/>
      <c r="DR18" s="238" t="n"/>
      <c r="DS18" s="238" t="n"/>
      <c r="DT18" s="238" t="n"/>
      <c r="DU18" s="238" t="n"/>
      <c r="DV18" s="238" t="n"/>
      <c r="DW18" s="238" t="n"/>
      <c r="DX18" s="238" t="n"/>
      <c r="DY18" s="238" t="n"/>
      <c r="DZ18" s="23" t="n"/>
      <c r="FQ18" s="212" t="n"/>
      <c r="FR18" s="212" t="n"/>
      <c r="FS18" s="212" t="n"/>
      <c r="FT18" s="212" t="n"/>
      <c r="FU18" s="212" t="n"/>
      <c r="FV18" s="212" t="n"/>
      <c r="FW18" s="212" t="n"/>
      <c r="FX18" s="212" t="n"/>
      <c r="FY18" s="212" t="n"/>
      <c r="FZ18" s="212" t="n"/>
    </row>
    <row r="19" ht="39.95" customFormat="1" customHeight="1" s="5">
      <c r="A19" s="10" t="inlineStr">
        <is>
          <t>A</t>
        </is>
      </c>
      <c r="B19" s="6" t="inlineStr">
        <is>
          <t>POSITION 'B'</t>
        </is>
      </c>
      <c r="C19" s="415" t="inlineStr">
        <is>
          <t>LOWEST</t>
        </is>
      </c>
      <c r="D19" s="613" t="inlineStr"/>
      <c r="E19" s="614">
        <f>MIN(Thickness!E19:E21)</f>
        <v/>
      </c>
      <c r="F19" s="614">
        <f>MIN(Thickness!F19:F21)</f>
        <v/>
      </c>
      <c r="G19" s="614">
        <f>MIN(Thickness!G19:G21)</f>
        <v/>
      </c>
      <c r="H19" s="615">
        <f>MIN(Thickness!H19:H21)</f>
        <v/>
      </c>
      <c r="I19" s="616" t="inlineStr"/>
      <c r="J19" s="614" t="inlineStr"/>
      <c r="K19" s="614" t="inlineStr"/>
      <c r="L19" s="614" t="inlineStr"/>
      <c r="M19" s="615" t="inlineStr"/>
      <c r="N19" s="616" t="inlineStr"/>
      <c r="O19" s="614" t="inlineStr"/>
      <c r="P19" s="614" t="inlineStr"/>
      <c r="Q19" s="614" t="inlineStr"/>
      <c r="R19" s="615" t="inlineStr"/>
      <c r="S19" s="616" t="inlineStr"/>
      <c r="T19" s="614" t="inlineStr"/>
      <c r="U19" s="614" t="inlineStr"/>
      <c r="V19" s="614" t="inlineStr"/>
      <c r="W19" s="615" t="inlineStr"/>
      <c r="X19" s="616" t="inlineStr"/>
      <c r="Y19" s="614" t="inlineStr"/>
      <c r="Z19" s="614" t="inlineStr"/>
      <c r="AA19" s="614" t="inlineStr"/>
      <c r="AB19" s="615" t="inlineStr"/>
      <c r="AC19" s="616" t="inlineStr"/>
      <c r="AD19" s="614" t="inlineStr"/>
      <c r="AE19" s="614" t="inlineStr"/>
      <c r="AF19" s="614" t="inlineStr"/>
      <c r="AG19" s="615" t="inlineStr"/>
      <c r="AH19" s="616" t="inlineStr"/>
      <c r="AI19" s="614" t="inlineStr"/>
      <c r="AJ19" s="614" t="inlineStr"/>
      <c r="AK19" s="614" t="inlineStr"/>
      <c r="AL19" s="615" t="inlineStr"/>
      <c r="AM19" s="616" t="inlineStr"/>
      <c r="AN19" s="614" t="inlineStr"/>
      <c r="AO19" s="614" t="inlineStr"/>
      <c r="AP19" s="614" t="inlineStr"/>
      <c r="AQ19" s="615" t="inlineStr"/>
      <c r="AR19" s="616" t="inlineStr"/>
      <c r="AS19" s="614" t="inlineStr"/>
      <c r="AT19" s="614" t="inlineStr"/>
      <c r="AU19" s="614" t="inlineStr"/>
      <c r="AV19" s="615" t="inlineStr"/>
      <c r="AW19" s="616" t="inlineStr"/>
      <c r="AX19" s="614" t="inlineStr"/>
      <c r="AY19" s="614" t="inlineStr"/>
      <c r="AZ19" s="614" t="inlineStr"/>
      <c r="BA19" s="615" t="inlineStr"/>
      <c r="BB19" s="616" t="inlineStr"/>
      <c r="BC19" s="614" t="inlineStr"/>
      <c r="BD19" s="614" t="inlineStr"/>
      <c r="BE19" s="614" t="inlineStr"/>
      <c r="BF19" s="615" t="inlineStr"/>
      <c r="BG19" s="616" t="inlineStr"/>
      <c r="BH19" s="614" t="inlineStr"/>
      <c r="BI19" s="614" t="inlineStr"/>
      <c r="BJ19" s="614" t="inlineStr"/>
      <c r="BK19" s="615" t="inlineStr"/>
      <c r="BL19" s="616" t="inlineStr"/>
      <c r="BM19" s="614" t="inlineStr"/>
      <c r="BN19" s="614" t="inlineStr"/>
      <c r="BO19" s="614" t="inlineStr"/>
      <c r="BP19" s="615">
        <f>MIN(Thickness!BP19:BP21)</f>
        <v/>
      </c>
      <c r="BQ19" s="616">
        <f>MIN(Thickness!BQ19:BQ21)</f>
        <v/>
      </c>
      <c r="BR19" s="614">
        <f>MIN(Thickness!BR19:BR21)</f>
        <v/>
      </c>
      <c r="BS19" s="614">
        <f>MIN(Thickness!BS19:BS21)</f>
        <v/>
      </c>
      <c r="BT19" s="615" t="inlineStr"/>
      <c r="BU19" s="454">
        <f>IFERROR(AVERAGE(D19:BT21),0)</f>
        <v/>
      </c>
      <c r="BV19" s="454">
        <f>MIN(D19:BT21)</f>
        <v/>
      </c>
      <c r="BW19" s="238" t="n"/>
      <c r="BX19" s="238" t="n"/>
      <c r="BY19" s="238" t="n"/>
      <c r="BZ19" s="238" t="n"/>
      <c r="CA19" s="238" t="n"/>
      <c r="CB19" s="238" t="n"/>
      <c r="CC19" s="238" t="n"/>
      <c r="CD19" s="238" t="n"/>
      <c r="CE19" s="238" t="n"/>
      <c r="CF19" s="238" t="n"/>
      <c r="CG19" s="238" t="n"/>
      <c r="CH19" s="238" t="n"/>
      <c r="CI19" s="238" t="n"/>
      <c r="CJ19" s="238" t="n"/>
      <c r="CK19" s="238" t="n"/>
      <c r="CL19" s="238" t="n"/>
      <c r="CM19" s="238" t="n"/>
      <c r="CN19" s="238" t="n"/>
      <c r="CO19" s="238" t="n"/>
      <c r="CP19" s="238" t="n"/>
      <c r="CQ19" s="238" t="n"/>
      <c r="CR19" s="238" t="n"/>
      <c r="CS19" s="238" t="n"/>
      <c r="CT19" s="238" t="n"/>
      <c r="CU19" s="238" t="n"/>
      <c r="CV19" s="238" t="n"/>
      <c r="CW19" s="238" t="n"/>
      <c r="CX19" s="238" t="n"/>
      <c r="CY19" s="238" t="n"/>
      <c r="CZ19" s="238" t="n"/>
      <c r="DA19" s="238" t="n"/>
      <c r="DB19" s="238" t="n"/>
      <c r="DC19" s="238" t="n"/>
      <c r="DD19" s="238" t="n"/>
      <c r="DE19" s="238" t="n"/>
      <c r="DF19" s="238" t="n"/>
      <c r="DG19" s="238" t="n"/>
      <c r="DH19" s="238" t="n"/>
      <c r="DI19" s="238" t="n"/>
      <c r="DJ19" s="238" t="n"/>
      <c r="DK19" s="238" t="n"/>
      <c r="DL19" s="238" t="n"/>
      <c r="DM19" s="238" t="n"/>
      <c r="DN19" s="238" t="n"/>
      <c r="DO19" s="238" t="n"/>
      <c r="DP19" s="238" t="n"/>
      <c r="DQ19" s="238" t="n"/>
      <c r="DR19" s="238" t="n"/>
      <c r="DS19" s="238" t="n"/>
      <c r="DT19" s="238" t="n"/>
      <c r="DU19" s="238" t="n"/>
      <c r="DV19" s="238" t="n"/>
      <c r="DW19" s="238" t="n"/>
      <c r="DX19" s="238" t="n"/>
      <c r="DY19" s="238" t="n"/>
      <c r="DZ19" s="23" t="n"/>
      <c r="FQ19" s="212" t="n"/>
      <c r="FR19" s="212" t="n"/>
      <c r="FS19" s="212" t="n"/>
      <c r="FT19" s="212" t="n"/>
      <c r="FU19" s="212" t="n"/>
      <c r="FV19" s="212" t="n"/>
      <c r="FW19" s="212" t="n"/>
      <c r="FX19" s="212" t="n"/>
      <c r="FY19" s="212" t="n"/>
      <c r="FZ19" s="212" t="n"/>
    </row>
    <row r="20" ht="39.95" customFormat="1" customHeight="1" s="5">
      <c r="A20" s="182" t="n">
        <v>0.083</v>
      </c>
      <c r="B20" s="7" t="inlineStr">
        <is>
          <t xml:space="preserve">OF THE </t>
        </is>
      </c>
      <c r="C20" s="456" t="n"/>
      <c r="D20" s="13" t="n"/>
      <c r="H20" s="592" t="n"/>
      <c r="I20" s="593" t="n"/>
      <c r="M20" s="592" t="n"/>
      <c r="N20" s="593" t="n"/>
      <c r="R20" s="592" t="n"/>
      <c r="S20" s="593" t="n"/>
      <c r="W20" s="592" t="n"/>
      <c r="X20" s="593" t="n"/>
      <c r="AB20" s="592" t="n"/>
      <c r="AC20" s="593" t="n"/>
      <c r="AG20" s="592" t="n"/>
      <c r="AH20" s="593" t="n"/>
      <c r="AL20" s="592" t="n"/>
      <c r="AM20" s="593" t="n"/>
      <c r="AQ20" s="592" t="n"/>
      <c r="AR20" s="593" t="n"/>
      <c r="AV20" s="592" t="n"/>
      <c r="AW20" s="593" t="n"/>
      <c r="BA20" s="592" t="n"/>
      <c r="BB20" s="593" t="n"/>
      <c r="BF20" s="592" t="n"/>
      <c r="BG20" s="593" t="n"/>
      <c r="BK20" s="592" t="n"/>
      <c r="BL20" s="593" t="n"/>
      <c r="BP20" s="592" t="n"/>
      <c r="BQ20" s="593" t="n"/>
      <c r="BT20" s="592" t="n"/>
      <c r="BU20" s="455" t="n"/>
      <c r="BV20" s="455" t="n"/>
      <c r="BW20" s="238" t="n"/>
      <c r="BX20" s="238" t="n"/>
      <c r="BY20" s="238" t="n"/>
      <c r="BZ20" s="238" t="n"/>
      <c r="CA20" s="238" t="n"/>
      <c r="CB20" s="238" t="n"/>
      <c r="CC20" s="238" t="n"/>
      <c r="CD20" s="238" t="n"/>
      <c r="CE20" s="238" t="n"/>
      <c r="CF20" s="238" t="n"/>
      <c r="CG20" s="238" t="n"/>
      <c r="CH20" s="238" t="n"/>
      <c r="CI20" s="238" t="n"/>
      <c r="CJ20" s="238" t="n"/>
      <c r="CK20" s="238" t="n"/>
      <c r="CL20" s="238" t="n"/>
      <c r="CM20" s="238" t="n"/>
      <c r="CN20" s="238" t="n"/>
      <c r="CO20" s="238" t="n"/>
      <c r="CP20" s="238" t="n"/>
      <c r="CQ20" s="238" t="n"/>
      <c r="CR20" s="238" t="n"/>
      <c r="CS20" s="238" t="n"/>
      <c r="CT20" s="238" t="n"/>
      <c r="CU20" s="238" t="n"/>
      <c r="CV20" s="238" t="n"/>
      <c r="CW20" s="238" t="n"/>
      <c r="CX20" s="238" t="n"/>
      <c r="CY20" s="238" t="n"/>
      <c r="CZ20" s="238" t="n"/>
      <c r="DA20" s="238" t="n"/>
      <c r="DB20" s="238" t="n"/>
      <c r="DC20" s="238" t="n"/>
      <c r="DD20" s="238" t="n"/>
      <c r="DE20" s="238" t="n"/>
      <c r="DF20" s="238" t="n"/>
      <c r="DG20" s="238" t="n"/>
      <c r="DH20" s="238" t="n"/>
      <c r="DI20" s="238" t="n"/>
      <c r="DJ20" s="238" t="n"/>
      <c r="DK20" s="238" t="n"/>
      <c r="DL20" s="238" t="n"/>
      <c r="DM20" s="238" t="n"/>
      <c r="DN20" s="238" t="n"/>
      <c r="DO20" s="238" t="n"/>
      <c r="DP20" s="238" t="n"/>
      <c r="DQ20" s="238" t="n"/>
      <c r="DR20" s="238" t="n"/>
      <c r="DS20" s="238" t="n"/>
      <c r="DT20" s="238" t="n"/>
      <c r="DU20" s="238" t="n"/>
      <c r="DV20" s="238" t="n"/>
      <c r="DW20" s="238" t="n"/>
      <c r="DX20" s="238" t="n"/>
      <c r="DY20" s="238" t="n"/>
      <c r="DZ20" s="23" t="n"/>
      <c r="FQ20" s="212" t="n"/>
      <c r="FR20" s="212" t="n"/>
      <c r="FS20" s="212" t="n"/>
      <c r="FT20" s="212" t="n"/>
      <c r="FU20" s="212" t="n"/>
      <c r="FV20" s="212" t="n"/>
      <c r="FW20" s="212" t="n"/>
      <c r="FX20" s="212" t="n"/>
      <c r="FY20" s="212" t="n"/>
      <c r="FZ20" s="212" t="n"/>
    </row>
    <row r="21" ht="39.95" customFormat="1" customHeight="1" s="5">
      <c r="A21" s="456" t="n"/>
      <c r="B21" s="8" t="inlineStr">
        <is>
          <t>OB PORTS</t>
        </is>
      </c>
      <c r="C21" s="456" t="n"/>
      <c r="D21" s="594" t="n"/>
      <c r="E21" s="595" t="n"/>
      <c r="F21" s="595" t="n"/>
      <c r="G21" s="595" t="n"/>
      <c r="H21" s="596" t="n"/>
      <c r="I21" s="597" t="n"/>
      <c r="J21" s="595" t="n"/>
      <c r="K21" s="595" t="n"/>
      <c r="L21" s="595" t="n"/>
      <c r="M21" s="596" t="n"/>
      <c r="N21" s="597" t="n"/>
      <c r="O21" s="595" t="n"/>
      <c r="P21" s="595" t="n"/>
      <c r="Q21" s="595" t="n"/>
      <c r="R21" s="596" t="n"/>
      <c r="S21" s="597" t="n"/>
      <c r="T21" s="595" t="n"/>
      <c r="U21" s="595" t="n"/>
      <c r="V21" s="595" t="n"/>
      <c r="W21" s="596" t="n"/>
      <c r="X21" s="597" t="n"/>
      <c r="Y21" s="595" t="n"/>
      <c r="Z21" s="595" t="n"/>
      <c r="AA21" s="595" t="n"/>
      <c r="AB21" s="596" t="n"/>
      <c r="AC21" s="597" t="n"/>
      <c r="AD21" s="595" t="n"/>
      <c r="AE21" s="595" t="n"/>
      <c r="AF21" s="595" t="n"/>
      <c r="AG21" s="596" t="n"/>
      <c r="AH21" s="597" t="n"/>
      <c r="AI21" s="595" t="n"/>
      <c r="AJ21" s="595" t="n"/>
      <c r="AK21" s="595" t="n"/>
      <c r="AL21" s="596" t="n"/>
      <c r="AM21" s="597" t="n"/>
      <c r="AN21" s="595" t="n"/>
      <c r="AO21" s="595" t="n"/>
      <c r="AP21" s="595" t="n"/>
      <c r="AQ21" s="596" t="n"/>
      <c r="AR21" s="597" t="n"/>
      <c r="AS21" s="595" t="n"/>
      <c r="AT21" s="595" t="n"/>
      <c r="AU21" s="595" t="n"/>
      <c r="AV21" s="596" t="n"/>
      <c r="AW21" s="597" t="n"/>
      <c r="AX21" s="595" t="n"/>
      <c r="AY21" s="595" t="n"/>
      <c r="AZ21" s="595" t="n"/>
      <c r="BA21" s="596" t="n"/>
      <c r="BB21" s="597" t="n"/>
      <c r="BC21" s="595" t="n"/>
      <c r="BD21" s="595" t="n"/>
      <c r="BE21" s="595" t="n"/>
      <c r="BF21" s="596" t="n"/>
      <c r="BG21" s="597" t="n"/>
      <c r="BH21" s="595" t="n"/>
      <c r="BI21" s="595" t="n"/>
      <c r="BJ21" s="595" t="n"/>
      <c r="BK21" s="596" t="n"/>
      <c r="BL21" s="597" t="n"/>
      <c r="BM21" s="595" t="n"/>
      <c r="BN21" s="595" t="n"/>
      <c r="BO21" s="595" t="n"/>
      <c r="BP21" s="596" t="n"/>
      <c r="BQ21" s="597" t="n"/>
      <c r="BR21" s="595" t="n"/>
      <c r="BS21" s="595" t="n"/>
      <c r="BT21" s="596" t="n"/>
      <c r="BU21" s="457" t="n"/>
      <c r="BV21" s="457" t="n"/>
      <c r="BW21" s="238" t="n"/>
      <c r="BX21" s="238" t="n"/>
      <c r="BY21" s="238" t="n"/>
      <c r="BZ21" s="238" t="n"/>
      <c r="CA21" s="238" t="n"/>
      <c r="CB21" s="238" t="n"/>
      <c r="CC21" s="238" t="n"/>
      <c r="CD21" s="238" t="n"/>
      <c r="CE21" s="238" t="n"/>
      <c r="CF21" s="238" t="n"/>
      <c r="CG21" s="238" t="n"/>
      <c r="CH21" s="238" t="n"/>
      <c r="CI21" s="238" t="n"/>
      <c r="CJ21" s="238" t="n"/>
      <c r="CK21" s="238" t="n"/>
      <c r="CL21" s="238" t="n"/>
      <c r="CM21" s="238" t="n"/>
      <c r="CN21" s="238" t="n"/>
      <c r="CO21" s="238" t="n"/>
      <c r="CP21" s="238" t="n"/>
      <c r="CQ21" s="238" t="n"/>
      <c r="CR21" s="238" t="n"/>
      <c r="CS21" s="238" t="n"/>
      <c r="CT21" s="238" t="n"/>
      <c r="CU21" s="238" t="n"/>
      <c r="CV21" s="238" t="n"/>
      <c r="CW21" s="238" t="n"/>
      <c r="CX21" s="238" t="n"/>
      <c r="CY21" s="238" t="n"/>
      <c r="CZ21" s="238" t="n"/>
      <c r="DA21" s="238" t="n"/>
      <c r="DB21" s="238" t="n"/>
      <c r="DC21" s="238" t="n"/>
      <c r="DD21" s="238" t="n"/>
      <c r="DE21" s="238" t="n"/>
      <c r="DF21" s="238" t="n"/>
      <c r="DG21" s="238" t="n"/>
      <c r="DH21" s="238" t="n"/>
      <c r="DI21" s="238" t="n"/>
      <c r="DJ21" s="238" t="n"/>
      <c r="DK21" s="238" t="n"/>
      <c r="DL21" s="238" t="n"/>
      <c r="DM21" s="238" t="n"/>
      <c r="DN21" s="238" t="n"/>
      <c r="DO21" s="238" t="n"/>
      <c r="DP21" s="238" t="n"/>
      <c r="DQ21" s="238" t="n"/>
      <c r="DR21" s="238" t="n"/>
      <c r="DS21" s="238" t="n"/>
      <c r="DT21" s="238" t="n"/>
      <c r="DU21" s="238" t="n"/>
      <c r="DV21" s="238" t="n"/>
      <c r="DW21" s="238" t="n"/>
      <c r="DX21" s="238" t="n"/>
      <c r="DY21" s="238" t="n"/>
      <c r="DZ21" s="23" t="n"/>
      <c r="FQ21" s="212" t="n"/>
      <c r="FR21" s="212" t="n"/>
      <c r="FS21" s="212" t="n"/>
      <c r="FT21" s="212" t="n"/>
      <c r="FU21" s="212" t="n"/>
      <c r="FV21" s="212" t="n"/>
      <c r="FW21" s="212" t="n"/>
      <c r="FX21" s="212" t="n"/>
      <c r="FY21" s="212" t="n"/>
      <c r="FZ21" s="212" t="n"/>
    </row>
    <row r="22" ht="39.95" customFormat="1" customHeight="1" s="5">
      <c r="A22" s="10" t="inlineStr">
        <is>
          <t>A</t>
        </is>
      </c>
      <c r="B22" s="6" t="inlineStr">
        <is>
          <t>POSITION 'C'</t>
        </is>
      </c>
      <c r="C22" s="415" t="inlineStr">
        <is>
          <t>LOWEST</t>
        </is>
      </c>
      <c r="D22" s="613" t="inlineStr"/>
      <c r="E22" s="614">
        <f>MIN(Thickness!E22:E24)</f>
        <v/>
      </c>
      <c r="F22" s="614">
        <f>MIN(Thickness!F22:F24)</f>
        <v/>
      </c>
      <c r="G22" s="614">
        <f>MIN(Thickness!G22:G24)</f>
        <v/>
      </c>
      <c r="H22" s="615">
        <f>MIN(Thickness!H22:H24)</f>
        <v/>
      </c>
      <c r="I22" s="616" t="inlineStr"/>
      <c r="J22" s="614" t="inlineStr"/>
      <c r="K22" s="614" t="inlineStr"/>
      <c r="L22" s="614" t="inlineStr"/>
      <c r="M22" s="615" t="inlineStr"/>
      <c r="N22" s="616" t="inlineStr"/>
      <c r="O22" s="614" t="inlineStr"/>
      <c r="P22" s="614" t="inlineStr"/>
      <c r="Q22" s="614" t="inlineStr"/>
      <c r="R22" s="615" t="inlineStr"/>
      <c r="S22" s="616" t="inlineStr"/>
      <c r="T22" s="614" t="inlineStr"/>
      <c r="U22" s="614" t="inlineStr"/>
      <c r="V22" s="614" t="inlineStr"/>
      <c r="W22" s="615" t="inlineStr"/>
      <c r="X22" s="616" t="inlineStr"/>
      <c r="Y22" s="614" t="inlineStr"/>
      <c r="Z22" s="614" t="inlineStr"/>
      <c r="AA22" s="614" t="inlineStr"/>
      <c r="AB22" s="615" t="inlineStr"/>
      <c r="AC22" s="616" t="inlineStr"/>
      <c r="AD22" s="614" t="inlineStr"/>
      <c r="AE22" s="614" t="inlineStr"/>
      <c r="AF22" s="614" t="inlineStr"/>
      <c r="AG22" s="615" t="inlineStr"/>
      <c r="AH22" s="616" t="inlineStr"/>
      <c r="AI22" s="614" t="inlineStr"/>
      <c r="AJ22" s="614" t="inlineStr"/>
      <c r="AK22" s="614" t="inlineStr"/>
      <c r="AL22" s="615" t="inlineStr"/>
      <c r="AM22" s="616" t="inlineStr"/>
      <c r="AN22" s="614" t="inlineStr"/>
      <c r="AO22" s="614" t="inlineStr"/>
      <c r="AP22" s="614" t="inlineStr"/>
      <c r="AQ22" s="615" t="inlineStr"/>
      <c r="AR22" s="616" t="inlineStr"/>
      <c r="AS22" s="614" t="inlineStr"/>
      <c r="AT22" s="614" t="inlineStr"/>
      <c r="AU22" s="614" t="inlineStr"/>
      <c r="AV22" s="615" t="inlineStr"/>
      <c r="AW22" s="616" t="inlineStr"/>
      <c r="AX22" s="614" t="inlineStr"/>
      <c r="AY22" s="614" t="inlineStr"/>
      <c r="AZ22" s="614" t="inlineStr"/>
      <c r="BA22" s="615" t="inlineStr"/>
      <c r="BB22" s="616" t="inlineStr"/>
      <c r="BC22" s="614" t="inlineStr"/>
      <c r="BD22" s="614" t="inlineStr"/>
      <c r="BE22" s="614" t="inlineStr"/>
      <c r="BF22" s="615" t="inlineStr"/>
      <c r="BG22" s="616" t="inlineStr"/>
      <c r="BH22" s="614" t="inlineStr"/>
      <c r="BI22" s="614" t="inlineStr"/>
      <c r="BJ22" s="614" t="inlineStr"/>
      <c r="BK22" s="615" t="inlineStr"/>
      <c r="BL22" s="616" t="inlineStr"/>
      <c r="BM22" s="614" t="inlineStr"/>
      <c r="BN22" s="614" t="inlineStr"/>
      <c r="BO22" s="614" t="inlineStr"/>
      <c r="BP22" s="615">
        <f>MIN(Thickness!BP22:BP24)</f>
        <v/>
      </c>
      <c r="BQ22" s="616">
        <f>MIN(Thickness!BQ22:BQ24)</f>
        <v/>
      </c>
      <c r="BR22" s="614">
        <f>MIN(Thickness!BR22:BR24)</f>
        <v/>
      </c>
      <c r="BS22" s="614">
        <f>MIN(Thickness!BS22:BS24)</f>
        <v/>
      </c>
      <c r="BT22" s="615" t="inlineStr"/>
      <c r="BU22" s="454">
        <f>IFERROR(AVERAGE(D22:BT24),0)</f>
        <v/>
      </c>
      <c r="BV22" s="454">
        <f>MIN(D22:BT24)</f>
        <v/>
      </c>
      <c r="BW22" s="238" t="n"/>
      <c r="BX22" s="238" t="n"/>
      <c r="BY22" s="238" t="n"/>
      <c r="BZ22" s="238" t="n"/>
      <c r="CA22" s="238" t="n"/>
      <c r="CB22" s="238" t="n"/>
      <c r="CC22" s="238" t="n"/>
      <c r="CD22" s="238" t="n"/>
      <c r="CE22" s="238" t="n"/>
      <c r="CF22" s="238" t="n"/>
      <c r="CG22" s="238" t="n"/>
      <c r="CH22" s="238" t="n"/>
      <c r="CI22" s="238" t="n"/>
      <c r="CJ22" s="238" t="n"/>
      <c r="CK22" s="238" t="n"/>
      <c r="CL22" s="238" t="n"/>
      <c r="CM22" s="238" t="n"/>
      <c r="CN22" s="238" t="n"/>
      <c r="CO22" s="238" t="n"/>
      <c r="CP22" s="238" t="n"/>
      <c r="CQ22" s="238" t="n"/>
      <c r="CR22" s="238" t="n"/>
      <c r="CS22" s="238" t="n"/>
      <c r="CT22" s="238" t="n"/>
      <c r="CU22" s="238" t="n"/>
      <c r="CV22" s="238" t="n"/>
      <c r="CW22" s="238" t="n"/>
      <c r="CX22" s="238" t="n"/>
      <c r="CY22" s="238" t="n"/>
      <c r="CZ22" s="238" t="n"/>
      <c r="DA22" s="238" t="n"/>
      <c r="DB22" s="238" t="n"/>
      <c r="DC22" s="238" t="n"/>
      <c r="DD22" s="238" t="n"/>
      <c r="DE22" s="238" t="n"/>
      <c r="DF22" s="238" t="n"/>
      <c r="DG22" s="238" t="n"/>
      <c r="DH22" s="238" t="n"/>
      <c r="DI22" s="238" t="n"/>
      <c r="DJ22" s="238" t="n"/>
      <c r="DK22" s="238" t="n"/>
      <c r="DL22" s="238" t="n"/>
      <c r="DM22" s="238" t="n"/>
      <c r="DN22" s="238" t="n"/>
      <c r="DO22" s="238" t="n"/>
      <c r="DP22" s="238" t="n"/>
      <c r="DQ22" s="238" t="n"/>
      <c r="DR22" s="238" t="n"/>
      <c r="DS22" s="238" t="n"/>
      <c r="DT22" s="238" t="n"/>
      <c r="DU22" s="238" t="n"/>
      <c r="DV22" s="238" t="n"/>
      <c r="DW22" s="238" t="n"/>
      <c r="DX22" s="238" t="n"/>
      <c r="DY22" s="238" t="n"/>
      <c r="DZ22" s="23" t="n"/>
      <c r="FQ22" s="212" t="n"/>
      <c r="FR22" s="212" t="n"/>
      <c r="FS22" s="212" t="n"/>
      <c r="FT22" s="212" t="n"/>
      <c r="FU22" s="212" t="n"/>
      <c r="FV22" s="212" t="n"/>
      <c r="FW22" s="212" t="n"/>
      <c r="FX22" s="212" t="n"/>
      <c r="FY22" s="212" t="n"/>
      <c r="FZ22" s="212" t="n"/>
    </row>
    <row r="23" ht="39.95" customFormat="1" customHeight="1" s="5">
      <c r="A23" s="182" t="n">
        <v>0.083</v>
      </c>
      <c r="B23" s="7" t="inlineStr">
        <is>
          <t>OF THE</t>
        </is>
      </c>
      <c r="C23" s="456" t="n"/>
      <c r="D23" s="13" t="n"/>
      <c r="H23" s="592" t="n"/>
      <c r="I23" s="593" t="n"/>
      <c r="M23" s="592" t="n"/>
      <c r="N23" s="593" t="n"/>
      <c r="R23" s="592" t="n"/>
      <c r="S23" s="593" t="n"/>
      <c r="W23" s="592" t="n"/>
      <c r="X23" s="593" t="n"/>
      <c r="AB23" s="592" t="n"/>
      <c r="AC23" s="593" t="n"/>
      <c r="AG23" s="592" t="n"/>
      <c r="AH23" s="593" t="n"/>
      <c r="AL23" s="592" t="n"/>
      <c r="AM23" s="593" t="n"/>
      <c r="AQ23" s="592" t="n"/>
      <c r="AR23" s="593" t="n"/>
      <c r="AV23" s="592" t="n"/>
      <c r="AW23" s="593" t="n"/>
      <c r="BA23" s="592" t="n"/>
      <c r="BB23" s="593" t="n"/>
      <c r="BF23" s="592" t="n"/>
      <c r="BG23" s="593" t="n"/>
      <c r="BK23" s="592" t="n"/>
      <c r="BL23" s="593" t="n"/>
      <c r="BP23" s="592" t="n"/>
      <c r="BQ23" s="593" t="n"/>
      <c r="BT23" s="592" t="n"/>
      <c r="BU23" s="455" t="n"/>
      <c r="BV23" s="455" t="n"/>
      <c r="BW23" s="238" t="n"/>
      <c r="BX23" s="238" t="n"/>
      <c r="BY23" s="238" t="n"/>
      <c r="BZ23" s="238" t="n"/>
      <c r="CA23" s="238" t="n"/>
      <c r="CB23" s="238" t="n"/>
      <c r="CC23" s="238" t="n"/>
      <c r="CD23" s="238" t="n"/>
      <c r="CE23" s="238" t="n"/>
      <c r="CF23" s="238" t="n"/>
      <c r="CG23" s="238" t="n"/>
      <c r="CH23" s="238" t="n"/>
      <c r="CI23" s="238" t="n"/>
      <c r="CJ23" s="238" t="n"/>
      <c r="CK23" s="238" t="n"/>
      <c r="CL23" s="238" t="n"/>
      <c r="CM23" s="238" t="n"/>
      <c r="CN23" s="238" t="n"/>
      <c r="CO23" s="238" t="n"/>
      <c r="CP23" s="238" t="n"/>
      <c r="CQ23" s="238" t="n"/>
      <c r="CR23" s="238" t="n"/>
      <c r="CS23" s="238" t="n"/>
      <c r="CT23" s="238" t="n"/>
      <c r="CU23" s="238" t="n"/>
      <c r="CV23" s="238" t="n"/>
      <c r="CW23" s="238" t="n"/>
      <c r="CX23" s="238" t="n"/>
      <c r="CY23" s="238" t="n"/>
      <c r="CZ23" s="238" t="n"/>
      <c r="DA23" s="238" t="n"/>
      <c r="DB23" s="238" t="n"/>
      <c r="DC23" s="238" t="n"/>
      <c r="DD23" s="238" t="n"/>
      <c r="DE23" s="238" t="n"/>
      <c r="DF23" s="238" t="n"/>
      <c r="DG23" s="238" t="n"/>
      <c r="DH23" s="238" t="n"/>
      <c r="DI23" s="238" t="n"/>
      <c r="DJ23" s="238" t="n"/>
      <c r="DK23" s="238" t="n"/>
      <c r="DL23" s="238" t="n"/>
      <c r="DM23" s="238" t="n"/>
      <c r="DN23" s="238" t="n"/>
      <c r="DO23" s="238" t="n"/>
      <c r="DP23" s="238" t="n"/>
      <c r="DQ23" s="238" t="n"/>
      <c r="DR23" s="238" t="n"/>
      <c r="DS23" s="238" t="n"/>
      <c r="DT23" s="238" t="n"/>
      <c r="DU23" s="238" t="n"/>
      <c r="DV23" s="238" t="n"/>
      <c r="DW23" s="238" t="n"/>
      <c r="DX23" s="238" t="n"/>
      <c r="DY23" s="238" t="n"/>
      <c r="DZ23" s="23" t="n"/>
      <c r="FQ23" s="212" t="n"/>
      <c r="FR23" s="212" t="n"/>
      <c r="FS23" s="212" t="n"/>
      <c r="FT23" s="212" t="n"/>
      <c r="FU23" s="212" t="n"/>
      <c r="FV23" s="212" t="n"/>
      <c r="FW23" s="212" t="n"/>
      <c r="FX23" s="212" t="n"/>
      <c r="FY23" s="212" t="n"/>
      <c r="FZ23" s="212" t="n"/>
    </row>
    <row r="24" ht="39.95" customFormat="1" customHeight="1" s="5">
      <c r="A24" s="456" t="n"/>
      <c r="B24" s="8" t="inlineStr">
        <is>
          <t>OB PORTS</t>
        </is>
      </c>
      <c r="C24" s="456" t="n"/>
      <c r="D24" s="594" t="n"/>
      <c r="E24" s="595" t="n"/>
      <c r="F24" s="595" t="n"/>
      <c r="G24" s="595" t="n"/>
      <c r="H24" s="596" t="n"/>
      <c r="I24" s="597" t="n"/>
      <c r="J24" s="595" t="n"/>
      <c r="K24" s="595" t="n"/>
      <c r="L24" s="595" t="n"/>
      <c r="M24" s="596" t="n"/>
      <c r="N24" s="597" t="n"/>
      <c r="O24" s="595" t="n"/>
      <c r="P24" s="595" t="n"/>
      <c r="Q24" s="595" t="n"/>
      <c r="R24" s="596" t="n"/>
      <c r="S24" s="597" t="n"/>
      <c r="T24" s="595" t="n"/>
      <c r="U24" s="595" t="n"/>
      <c r="V24" s="595" t="n"/>
      <c r="W24" s="596" t="n"/>
      <c r="X24" s="597" t="n"/>
      <c r="Y24" s="595" t="n"/>
      <c r="Z24" s="595" t="n"/>
      <c r="AA24" s="595" t="n"/>
      <c r="AB24" s="596" t="n"/>
      <c r="AC24" s="597" t="n"/>
      <c r="AD24" s="595" t="n"/>
      <c r="AE24" s="595" t="n"/>
      <c r="AF24" s="595" t="n"/>
      <c r="AG24" s="596" t="n"/>
      <c r="AH24" s="597" t="n"/>
      <c r="AI24" s="595" t="n"/>
      <c r="AJ24" s="595" t="n"/>
      <c r="AK24" s="595" t="n"/>
      <c r="AL24" s="596" t="n"/>
      <c r="AM24" s="597" t="n"/>
      <c r="AN24" s="595" t="n"/>
      <c r="AO24" s="595" t="n"/>
      <c r="AP24" s="595" t="n"/>
      <c r="AQ24" s="596" t="n"/>
      <c r="AR24" s="597" t="n"/>
      <c r="AS24" s="595" t="n"/>
      <c r="AT24" s="595" t="n"/>
      <c r="AU24" s="595" t="n"/>
      <c r="AV24" s="596" t="n"/>
      <c r="AW24" s="597" t="n"/>
      <c r="AX24" s="595" t="n"/>
      <c r="AY24" s="595" t="n"/>
      <c r="AZ24" s="595" t="n"/>
      <c r="BA24" s="596" t="n"/>
      <c r="BB24" s="597" t="n"/>
      <c r="BC24" s="595" t="n"/>
      <c r="BD24" s="595" t="n"/>
      <c r="BE24" s="595" t="n"/>
      <c r="BF24" s="596" t="n"/>
      <c r="BG24" s="597" t="n"/>
      <c r="BH24" s="595" t="n"/>
      <c r="BI24" s="595" t="n"/>
      <c r="BJ24" s="595" t="n"/>
      <c r="BK24" s="596" t="n"/>
      <c r="BL24" s="597" t="n"/>
      <c r="BM24" s="595" t="n"/>
      <c r="BN24" s="595" t="n"/>
      <c r="BO24" s="595" t="n"/>
      <c r="BP24" s="596" t="n"/>
      <c r="BQ24" s="597" t="n"/>
      <c r="BR24" s="595" t="n"/>
      <c r="BS24" s="595" t="n"/>
      <c r="BT24" s="596" t="n"/>
      <c r="BU24" s="457" t="n"/>
      <c r="BV24" s="457" t="n"/>
      <c r="BW24" s="238" t="n"/>
      <c r="BX24" s="238" t="n"/>
      <c r="BY24" s="238" t="n"/>
      <c r="BZ24" s="238" t="n"/>
      <c r="CA24" s="238" t="n"/>
      <c r="CB24" s="238" t="n"/>
      <c r="CC24" s="238" t="n"/>
      <c r="CD24" s="238" t="n"/>
      <c r="CE24" s="238" t="n"/>
      <c r="CF24" s="238" t="n"/>
      <c r="CG24" s="238" t="n"/>
      <c r="CH24" s="238" t="n"/>
      <c r="CI24" s="238" t="n"/>
      <c r="CJ24" s="238" t="n"/>
      <c r="CK24" s="238" t="n"/>
      <c r="CL24" s="238" t="n"/>
      <c r="CM24" s="238" t="n"/>
      <c r="CN24" s="238" t="n"/>
      <c r="CO24" s="238" t="n"/>
      <c r="CP24" s="238" t="n"/>
      <c r="CQ24" s="238" t="n"/>
      <c r="CR24" s="238" t="n"/>
      <c r="CS24" s="238" t="n"/>
      <c r="CT24" s="238" t="n"/>
      <c r="CU24" s="238" t="n"/>
      <c r="CV24" s="238" t="n"/>
      <c r="CW24" s="238" t="n"/>
      <c r="CX24" s="238" t="n"/>
      <c r="CY24" s="238" t="n"/>
      <c r="CZ24" s="238" t="n"/>
      <c r="DA24" s="238" t="n"/>
      <c r="DB24" s="238" t="n"/>
      <c r="DC24" s="238" t="n"/>
      <c r="DD24" s="238" t="n"/>
      <c r="DE24" s="238" t="n"/>
      <c r="DF24" s="238" t="n"/>
      <c r="DG24" s="238" t="n"/>
      <c r="DH24" s="238" t="n"/>
      <c r="DI24" s="238" t="n"/>
      <c r="DJ24" s="238" t="n"/>
      <c r="DK24" s="238" t="n"/>
      <c r="DL24" s="238" t="n"/>
      <c r="DM24" s="238" t="n"/>
      <c r="DN24" s="238" t="n"/>
      <c r="DO24" s="238" t="n"/>
      <c r="DP24" s="238" t="n"/>
      <c r="DQ24" s="238" t="n"/>
      <c r="DR24" s="238" t="n"/>
      <c r="DS24" s="238" t="n"/>
      <c r="DT24" s="238" t="n"/>
      <c r="DU24" s="238" t="n"/>
      <c r="DV24" s="238" t="n"/>
      <c r="DW24" s="238" t="n"/>
      <c r="DX24" s="238" t="n"/>
      <c r="DY24" s="238" t="n"/>
      <c r="DZ24" s="23" t="n"/>
      <c r="FQ24" s="212" t="n"/>
      <c r="FR24" s="212" t="n"/>
      <c r="FS24" s="212" t="n"/>
      <c r="FT24" s="212" t="n"/>
      <c r="FU24" s="212" t="n"/>
      <c r="FV24" s="212" t="n"/>
      <c r="FW24" s="212" t="n"/>
      <c r="FX24" s="212" t="n"/>
      <c r="FY24" s="212" t="n"/>
      <c r="FZ24" s="212" t="n"/>
    </row>
    <row r="25" ht="39.95" customFormat="1" customHeight="1" s="5">
      <c r="A25" s="10" t="inlineStr">
        <is>
          <t>A</t>
        </is>
      </c>
      <c r="B25" s="6" t="n"/>
      <c r="C25" s="415" t="inlineStr">
        <is>
          <t>LOWEST</t>
        </is>
      </c>
      <c r="D25" s="613">
        <f>MIN(Thickness!D25:D27)</f>
        <v/>
      </c>
      <c r="E25" s="614">
        <f>MIN(Thickness!E25:E27)</f>
        <v/>
      </c>
      <c r="F25" s="614">
        <f>MIN(Thickness!F25:F27)</f>
        <v/>
      </c>
      <c r="G25" s="614">
        <f>MIN(Thickness!G25:G27)</f>
        <v/>
      </c>
      <c r="H25" s="615">
        <f>MIN(Thickness!H25:H27)</f>
        <v/>
      </c>
      <c r="I25" s="616" t="inlineStr">
        <is>
          <t>RF</t>
        </is>
      </c>
      <c r="J25" s="614">
        <f>MIN(Thickness!J25:J27)</f>
        <v/>
      </c>
      <c r="K25" s="614">
        <f>MIN(Thickness!K25:K27)</f>
        <v/>
      </c>
      <c r="L25" s="614">
        <f>MIN(Thickness!L25:L27)</f>
        <v/>
      </c>
      <c r="M25" s="615">
        <f>MIN(Thickness!M25:M27)</f>
        <v/>
      </c>
      <c r="N25" s="616">
        <f>MIN(Thickness!N25:N27)</f>
        <v/>
      </c>
      <c r="O25" s="614">
        <f>MIN(Thickness!O25:O27)</f>
        <v/>
      </c>
      <c r="P25" s="614">
        <f>MIN(Thickness!P25:P27)</f>
        <v/>
      </c>
      <c r="Q25" s="614">
        <f>MIN(Thickness!Q25:Q27)</f>
        <v/>
      </c>
      <c r="R25" s="615">
        <f>MIN(Thickness!R25:R27)</f>
        <v/>
      </c>
      <c r="S25" s="616">
        <f>MIN(Thickness!S25:S27)</f>
        <v/>
      </c>
      <c r="T25" s="614">
        <f>MIN(Thickness!T25:T27)</f>
        <v/>
      </c>
      <c r="U25" s="614">
        <f>MIN(Thickness!U25:U27)</f>
        <v/>
      </c>
      <c r="V25" s="614">
        <f>MIN(Thickness!V25:V27)</f>
        <v/>
      </c>
      <c r="W25" s="615">
        <f>MIN(Thickness!W25:W27)</f>
        <v/>
      </c>
      <c r="X25" s="616">
        <f>MIN(Thickness!X25:X27)</f>
        <v/>
      </c>
      <c r="Y25" s="614">
        <f>MIN(Thickness!Y25:Y27)</f>
        <v/>
      </c>
      <c r="Z25" s="614">
        <f>MIN(Thickness!Z25:Z27)</f>
        <v/>
      </c>
      <c r="AA25" s="614">
        <f>MIN(Thickness!AA25:AA27)</f>
        <v/>
      </c>
      <c r="AB25" s="615">
        <f>MIN(Thickness!AB25:AB27)</f>
        <v/>
      </c>
      <c r="AC25" s="616">
        <f>MIN(Thickness!AC25:AC27)</f>
        <v/>
      </c>
      <c r="AD25" s="614">
        <f>MIN(Thickness!AD25:AD27)</f>
        <v/>
      </c>
      <c r="AE25" s="614">
        <f>MIN(Thickness!AE25:AE27)</f>
        <v/>
      </c>
      <c r="AF25" s="614">
        <f>MIN(Thickness!AF25:AF27)</f>
        <v/>
      </c>
      <c r="AG25" s="615">
        <f>MIN(Thickness!AG25:AG27)</f>
        <v/>
      </c>
      <c r="AH25" s="616">
        <f>MIN(Thickness!AH25:AH27)</f>
        <v/>
      </c>
      <c r="AI25" s="614">
        <f>MIN(Thickness!AI25:AI27)</f>
        <v/>
      </c>
      <c r="AJ25" s="614">
        <f>MIN(Thickness!AJ25:AJ27)</f>
        <v/>
      </c>
      <c r="AK25" s="614">
        <f>MIN(Thickness!AK25:AK27)</f>
        <v/>
      </c>
      <c r="AL25" s="615">
        <f>MIN(Thickness!AL25:AL27)</f>
        <v/>
      </c>
      <c r="AM25" s="616">
        <f>MIN(Thickness!AM25:AM27)</f>
        <v/>
      </c>
      <c r="AN25" s="614">
        <f>MIN(Thickness!AN25:AN27)</f>
        <v/>
      </c>
      <c r="AO25" s="614">
        <f>MIN(Thickness!AO25:AO27)</f>
        <v/>
      </c>
      <c r="AP25" s="614">
        <f>MIN(Thickness!AP25:AP27)</f>
        <v/>
      </c>
      <c r="AQ25" s="615">
        <f>MIN(Thickness!AQ25:AQ27)</f>
        <v/>
      </c>
      <c r="AR25" s="616">
        <f>MIN(Thickness!AR25:AR27)</f>
        <v/>
      </c>
      <c r="AS25" s="614">
        <f>MIN(Thickness!AS25:AS27)</f>
        <v/>
      </c>
      <c r="AT25" s="614">
        <f>MIN(Thickness!AT25:AT27)</f>
        <v/>
      </c>
      <c r="AU25" s="614">
        <f>MIN(Thickness!AU25:AU27)</f>
        <v/>
      </c>
      <c r="AV25" s="615">
        <f>MIN(Thickness!AV25:AV27)</f>
        <v/>
      </c>
      <c r="AW25" s="616">
        <f>MIN(Thickness!AW25:AW27)</f>
        <v/>
      </c>
      <c r="AX25" s="614">
        <f>MIN(Thickness!AX25:AX27)</f>
        <v/>
      </c>
      <c r="AY25" s="614">
        <f>MIN(Thickness!AY25:AY27)</f>
        <v/>
      </c>
      <c r="AZ25" s="614">
        <f>MIN(Thickness!AZ25:AZ27)</f>
        <v/>
      </c>
      <c r="BA25" s="615">
        <f>MIN(Thickness!BA25:BA27)</f>
        <v/>
      </c>
      <c r="BB25" s="616">
        <f>MIN(Thickness!BB25:BB27)</f>
        <v/>
      </c>
      <c r="BC25" s="614">
        <f>MIN(Thickness!BC25:BC27)</f>
        <v/>
      </c>
      <c r="BD25" s="614">
        <f>MIN(Thickness!BD25:BD27)</f>
        <v/>
      </c>
      <c r="BE25" s="614">
        <f>MIN(Thickness!BE25:BE27)</f>
        <v/>
      </c>
      <c r="BF25" s="615">
        <f>MIN(Thickness!BF25:BF27)</f>
        <v/>
      </c>
      <c r="BG25" s="616">
        <f>MIN(Thickness!BG25:BG27)</f>
        <v/>
      </c>
      <c r="BH25" s="614">
        <f>MIN(Thickness!BH25:BH27)</f>
        <v/>
      </c>
      <c r="BI25" s="614">
        <f>MIN(Thickness!BI25:BI27)</f>
        <v/>
      </c>
      <c r="BJ25" s="614">
        <f>MIN(Thickness!BJ25:BJ27)</f>
        <v/>
      </c>
      <c r="BK25" s="615">
        <f>MIN(Thickness!BK25:BK27)</f>
        <v/>
      </c>
      <c r="BL25" s="616">
        <f>MIN(Thickness!BL25:BL27)</f>
        <v/>
      </c>
      <c r="BM25" s="614">
        <f>MIN(Thickness!BM25:BM27)</f>
        <v/>
      </c>
      <c r="BN25" s="614">
        <f>MIN(Thickness!BN25:BN27)</f>
        <v/>
      </c>
      <c r="BO25" s="614">
        <f>MIN(Thickness!BO25:BO27)</f>
        <v/>
      </c>
      <c r="BP25" s="615">
        <f>MIN(Thickness!BP25:BP27)</f>
        <v/>
      </c>
      <c r="BQ25" s="616">
        <f>MIN(Thickness!BQ25:BQ27)</f>
        <v/>
      </c>
      <c r="BR25" s="614">
        <f>MIN(Thickness!BR25:BR27)</f>
        <v/>
      </c>
      <c r="BS25" s="614">
        <f>MIN(Thickness!BS25:BS27)</f>
        <v/>
      </c>
      <c r="BT25" s="615" t="inlineStr">
        <is>
          <t>RF</t>
        </is>
      </c>
      <c r="BU25" s="454">
        <f>IFERROR(AVERAGE(D25:BT27),0)</f>
        <v/>
      </c>
      <c r="BV25" s="454">
        <f>MIN(D25:BT27)</f>
        <v/>
      </c>
      <c r="BW25" s="238" t="n"/>
      <c r="BX25" s="238" t="n"/>
      <c r="BY25" s="238" t="n"/>
      <c r="BZ25" s="238" t="n"/>
      <c r="CA25" s="238" t="n"/>
      <c r="CB25" s="238" t="n"/>
      <c r="CC25" s="238" t="n"/>
      <c r="CD25" s="238" t="n"/>
      <c r="CE25" s="238" t="n"/>
      <c r="CF25" s="238" t="n"/>
      <c r="CG25" s="238" t="n"/>
      <c r="CH25" s="238" t="n"/>
      <c r="CI25" s="238" t="n"/>
      <c r="CJ25" s="238" t="n"/>
      <c r="CK25" s="238" t="n"/>
      <c r="CL25" s="238" t="n"/>
      <c r="CM25" s="238" t="n"/>
      <c r="CN25" s="238" t="n"/>
      <c r="CO25" s="238" t="n"/>
      <c r="CP25" s="238" t="n"/>
      <c r="CQ25" s="238" t="n"/>
      <c r="CR25" s="238" t="n"/>
      <c r="CS25" s="238" t="n"/>
      <c r="CT25" s="238" t="n"/>
      <c r="CU25" s="238" t="n"/>
      <c r="CV25" s="238" t="n"/>
      <c r="CW25" s="238" t="n"/>
      <c r="CX25" s="238" t="n"/>
      <c r="CY25" s="238" t="n"/>
      <c r="CZ25" s="238" t="n"/>
      <c r="DA25" s="238" t="n"/>
      <c r="DB25" s="238" t="n"/>
      <c r="DC25" s="238" t="n"/>
      <c r="DD25" s="238" t="n"/>
      <c r="DE25" s="238" t="n"/>
      <c r="DF25" s="238" t="n"/>
      <c r="DG25" s="238" t="n"/>
      <c r="DH25" s="238" t="n"/>
      <c r="DI25" s="238" t="n"/>
      <c r="DJ25" s="238" t="n"/>
      <c r="DK25" s="238" t="n"/>
      <c r="DL25" s="238" t="n"/>
      <c r="DM25" s="238" t="n"/>
      <c r="DN25" s="238" t="n"/>
      <c r="DO25" s="238" t="n"/>
      <c r="DP25" s="238" t="n"/>
      <c r="DQ25" s="238" t="n"/>
      <c r="DR25" s="238" t="n"/>
      <c r="DS25" s="238" t="n"/>
      <c r="DT25" s="238" t="n"/>
      <c r="DU25" s="238" t="n"/>
      <c r="DV25" s="238" t="n"/>
      <c r="DW25" s="238" t="n"/>
      <c r="DX25" s="238" t="n"/>
      <c r="DY25" s="238" t="n"/>
      <c r="DZ25" s="23" t="n"/>
      <c r="FQ25" s="212" t="n"/>
      <c r="FR25" s="212" t="n"/>
      <c r="FS25" s="212" t="n"/>
      <c r="FT25" s="212" t="n"/>
      <c r="FU25" s="212" t="n"/>
      <c r="FV25" s="212" t="n"/>
      <c r="FW25" s="212" t="n"/>
      <c r="FX25" s="212" t="n"/>
      <c r="FY25" s="212" t="n"/>
      <c r="FZ25" s="212" t="n"/>
    </row>
    <row r="26" ht="39.95" customFormat="1" customHeight="1" s="5">
      <c r="A26" s="182" t="n">
        <v>0.083</v>
      </c>
      <c r="B26" s="7" t="inlineStr">
        <is>
          <t>+10 FT 6 IN</t>
        </is>
      </c>
      <c r="C26" s="456" t="n"/>
      <c r="D26" s="13" t="n"/>
      <c r="H26" s="592" t="n"/>
      <c r="I26" s="593" t="n"/>
      <c r="M26" s="592" t="n"/>
      <c r="N26" s="593" t="n"/>
      <c r="R26" s="592" t="n"/>
      <c r="S26" s="593" t="n"/>
      <c r="W26" s="592" t="n"/>
      <c r="X26" s="593" t="n"/>
      <c r="AB26" s="592" t="n"/>
      <c r="AC26" s="593" t="n"/>
      <c r="AG26" s="592" t="n"/>
      <c r="AH26" s="593" t="n"/>
      <c r="AL26" s="592" t="n"/>
      <c r="AM26" s="593" t="n"/>
      <c r="AQ26" s="592" t="n"/>
      <c r="AR26" s="593" t="n"/>
      <c r="AV26" s="592" t="n"/>
      <c r="AW26" s="593" t="n"/>
      <c r="BA26" s="592" t="n"/>
      <c r="BB26" s="593" t="n"/>
      <c r="BF26" s="592" t="n"/>
      <c r="BG26" s="593" t="n"/>
      <c r="BK26" s="592" t="n"/>
      <c r="BL26" s="593" t="n"/>
      <c r="BP26" s="592" t="n"/>
      <c r="BQ26" s="593" t="n"/>
      <c r="BT26" s="592" t="n"/>
      <c r="BU26" s="455" t="n"/>
      <c r="BV26" s="455" t="n"/>
      <c r="BW26" s="238" t="n"/>
      <c r="BX26" s="238" t="n"/>
      <c r="BY26" s="238" t="n"/>
      <c r="BZ26" s="238" t="n"/>
      <c r="CA26" s="238" t="n"/>
      <c r="CB26" s="238" t="n"/>
      <c r="CC26" s="238" t="n"/>
      <c r="CD26" s="238" t="n"/>
      <c r="CE26" s="238" t="n"/>
      <c r="CF26" s="238" t="n"/>
      <c r="CG26" s="238" t="n"/>
      <c r="CH26" s="238" t="n"/>
      <c r="CI26" s="238" t="n"/>
      <c r="CJ26" s="238" t="n"/>
      <c r="CK26" s="238" t="n"/>
      <c r="CL26" s="238" t="n"/>
      <c r="CM26" s="238" t="n"/>
      <c r="CN26" s="238" t="n"/>
      <c r="CO26" s="238" t="n"/>
      <c r="CP26" s="238" t="n"/>
      <c r="CQ26" s="238" t="n"/>
      <c r="CR26" s="238" t="n"/>
      <c r="CS26" s="238" t="n"/>
      <c r="CT26" s="238" t="n"/>
      <c r="CU26" s="238" t="n"/>
      <c r="CV26" s="238" t="n"/>
      <c r="CW26" s="238" t="n"/>
      <c r="CX26" s="238" t="n"/>
      <c r="CY26" s="238" t="n"/>
      <c r="CZ26" s="238" t="n"/>
      <c r="DA26" s="238" t="n"/>
      <c r="DB26" s="238" t="n"/>
      <c r="DC26" s="238" t="n"/>
      <c r="DD26" s="238" t="n"/>
      <c r="DE26" s="238" t="n"/>
      <c r="DF26" s="238" t="n"/>
      <c r="DG26" s="238" t="n"/>
      <c r="DH26" s="238" t="n"/>
      <c r="DI26" s="238" t="n"/>
      <c r="DJ26" s="238" t="n"/>
      <c r="DK26" s="238" t="n"/>
      <c r="DL26" s="238" t="n"/>
      <c r="DM26" s="238" t="n"/>
      <c r="DN26" s="238" t="n"/>
      <c r="DO26" s="238" t="n"/>
      <c r="DP26" s="238" t="n"/>
      <c r="DQ26" s="238" t="n"/>
      <c r="DR26" s="238" t="n"/>
      <c r="DS26" s="238" t="n"/>
      <c r="DT26" s="238" t="n"/>
      <c r="DU26" s="238" t="n"/>
      <c r="DV26" s="238" t="n"/>
      <c r="DW26" s="238" t="n"/>
      <c r="DX26" s="238" t="n"/>
      <c r="DY26" s="238" t="n"/>
      <c r="DZ26" s="23" t="n"/>
      <c r="FQ26" s="212" t="n"/>
      <c r="FR26" s="212" t="n"/>
      <c r="FS26" s="212" t="n"/>
      <c r="FT26" s="212" t="n"/>
      <c r="FU26" s="212" t="n"/>
      <c r="FV26" s="212" t="n"/>
      <c r="FW26" s="212" t="n"/>
      <c r="FX26" s="212" t="n"/>
      <c r="FY26" s="212" t="n"/>
      <c r="FZ26" s="212" t="n"/>
    </row>
    <row r="27" ht="39.95" customFormat="1" customHeight="1" s="5">
      <c r="A27" s="456" t="n"/>
      <c r="B27" s="8" t="n"/>
      <c r="C27" s="456" t="n"/>
      <c r="D27" s="594" t="n"/>
      <c r="E27" s="595" t="n"/>
      <c r="F27" s="595" t="n"/>
      <c r="G27" s="595" t="n"/>
      <c r="H27" s="596" t="n"/>
      <c r="I27" s="597" t="n"/>
      <c r="J27" s="595" t="n"/>
      <c r="K27" s="595" t="n"/>
      <c r="L27" s="595" t="n"/>
      <c r="M27" s="596" t="n"/>
      <c r="N27" s="597" t="n"/>
      <c r="O27" s="595" t="n"/>
      <c r="P27" s="595" t="n"/>
      <c r="Q27" s="595" t="n"/>
      <c r="R27" s="596" t="n"/>
      <c r="S27" s="597" t="n"/>
      <c r="T27" s="595" t="n"/>
      <c r="U27" s="595" t="n"/>
      <c r="V27" s="595" t="n"/>
      <c r="W27" s="596" t="n"/>
      <c r="X27" s="597" t="n"/>
      <c r="Y27" s="595" t="n"/>
      <c r="Z27" s="595" t="n"/>
      <c r="AA27" s="595" t="n"/>
      <c r="AB27" s="596" t="n"/>
      <c r="AC27" s="597" t="n"/>
      <c r="AD27" s="595" t="n"/>
      <c r="AE27" s="595" t="n"/>
      <c r="AF27" s="595" t="n"/>
      <c r="AG27" s="596" t="n"/>
      <c r="AH27" s="597" t="n"/>
      <c r="AI27" s="595" t="n"/>
      <c r="AJ27" s="595" t="n"/>
      <c r="AK27" s="595" t="n"/>
      <c r="AL27" s="596" t="n"/>
      <c r="AM27" s="597" t="n"/>
      <c r="AN27" s="595" t="n"/>
      <c r="AO27" s="595" t="n"/>
      <c r="AP27" s="595" t="n"/>
      <c r="AQ27" s="596" t="n"/>
      <c r="AR27" s="597" t="n"/>
      <c r="AS27" s="595" t="n"/>
      <c r="AT27" s="595" t="n"/>
      <c r="AU27" s="595" t="n"/>
      <c r="AV27" s="596" t="n"/>
      <c r="AW27" s="597" t="n"/>
      <c r="AX27" s="595" t="n"/>
      <c r="AY27" s="595" t="n"/>
      <c r="AZ27" s="595" t="n"/>
      <c r="BA27" s="596" t="n"/>
      <c r="BB27" s="597" t="n"/>
      <c r="BC27" s="595" t="n"/>
      <c r="BD27" s="595" t="n"/>
      <c r="BE27" s="595" t="n"/>
      <c r="BF27" s="596" t="n"/>
      <c r="BG27" s="597" t="n"/>
      <c r="BH27" s="595" t="n"/>
      <c r="BI27" s="595" t="n"/>
      <c r="BJ27" s="595" t="n"/>
      <c r="BK27" s="596" t="n"/>
      <c r="BL27" s="597" t="n"/>
      <c r="BM27" s="595" t="n"/>
      <c r="BN27" s="595" t="n"/>
      <c r="BO27" s="595" t="n"/>
      <c r="BP27" s="596" t="n"/>
      <c r="BQ27" s="597" t="n"/>
      <c r="BR27" s="595" t="n"/>
      <c r="BS27" s="595" t="n"/>
      <c r="BT27" s="596" t="n"/>
      <c r="BU27" s="457" t="n"/>
      <c r="BV27" s="457" t="n"/>
      <c r="BW27" s="238" t="n"/>
      <c r="BX27" s="238" t="n"/>
      <c r="BY27" s="238" t="n"/>
      <c r="BZ27" s="238" t="n"/>
      <c r="CA27" s="238" t="n"/>
      <c r="CB27" s="238" t="n"/>
      <c r="CC27" s="238" t="n"/>
      <c r="CD27" s="238" t="n"/>
      <c r="CE27" s="238" t="n"/>
      <c r="CF27" s="238" t="n"/>
      <c r="CG27" s="238" t="n"/>
      <c r="CH27" s="238" t="n"/>
      <c r="CI27" s="238" t="n"/>
      <c r="CJ27" s="238" t="n"/>
      <c r="CK27" s="238" t="n"/>
      <c r="CL27" s="238" t="n"/>
      <c r="CM27" s="238" t="n"/>
      <c r="CN27" s="238" t="n"/>
      <c r="CO27" s="238" t="n"/>
      <c r="CP27" s="238" t="n"/>
      <c r="CQ27" s="238" t="n"/>
      <c r="CR27" s="238" t="n"/>
      <c r="CS27" s="238" t="n"/>
      <c r="CT27" s="238" t="n"/>
      <c r="CU27" s="238" t="n"/>
      <c r="CV27" s="238" t="n"/>
      <c r="CW27" s="238" t="n"/>
      <c r="CX27" s="238" t="n"/>
      <c r="CY27" s="238" t="n"/>
      <c r="CZ27" s="238" t="n"/>
      <c r="DA27" s="238" t="n"/>
      <c r="DB27" s="238" t="n"/>
      <c r="DC27" s="238" t="n"/>
      <c r="DD27" s="238" t="n"/>
      <c r="DE27" s="238" t="n"/>
      <c r="DF27" s="238" t="n"/>
      <c r="DG27" s="238" t="n"/>
      <c r="DH27" s="238" t="n"/>
      <c r="DI27" s="238" t="n"/>
      <c r="DJ27" s="238" t="n"/>
      <c r="DK27" s="238" t="n"/>
      <c r="DL27" s="238" t="n"/>
      <c r="DM27" s="238" t="n"/>
      <c r="DN27" s="238" t="n"/>
      <c r="DO27" s="238" t="n"/>
      <c r="DP27" s="238" t="n"/>
      <c r="DQ27" s="238" t="n"/>
      <c r="DR27" s="238" t="n"/>
      <c r="DS27" s="238" t="n"/>
      <c r="DT27" s="238" t="n"/>
      <c r="DU27" s="238" t="n"/>
      <c r="DV27" s="238" t="n"/>
      <c r="DW27" s="238" t="n"/>
      <c r="DX27" s="238" t="n"/>
      <c r="DY27" s="238" t="n"/>
      <c r="DZ27" s="23" t="n"/>
      <c r="FQ27" s="212" t="n"/>
      <c r="FR27" s="212" t="n"/>
      <c r="FS27" s="212" t="n"/>
      <c r="FT27" s="212" t="n"/>
      <c r="FU27" s="212" t="n"/>
      <c r="FV27" s="212" t="n"/>
      <c r="FW27" s="212" t="n"/>
      <c r="FX27" s="212" t="n"/>
      <c r="FY27" s="212" t="n"/>
      <c r="FZ27" s="212" t="n"/>
    </row>
    <row r="28" ht="39.95" customFormat="1" customHeight="1" s="5">
      <c r="A28" s="10" t="inlineStr">
        <is>
          <t>A</t>
        </is>
      </c>
      <c r="B28" s="6" t="inlineStr">
        <is>
          <t>POSITION 'A'</t>
        </is>
      </c>
      <c r="C28" s="415" t="inlineStr">
        <is>
          <t>LOWEST</t>
        </is>
      </c>
      <c r="D28" s="613" t="inlineStr"/>
      <c r="E28" s="614" t="inlineStr"/>
      <c r="F28" s="614" t="inlineStr"/>
      <c r="G28" s="614">
        <f>MIN(Thickness!G28:G30)</f>
        <v/>
      </c>
      <c r="H28" s="615">
        <f>MIN(Thickness!H28:H30)</f>
        <v/>
      </c>
      <c r="I28" s="616">
        <f>MIN(Thickness!I28:I30)</f>
        <v/>
      </c>
      <c r="J28" s="614">
        <f>MIN(Thickness!J28:J30)</f>
        <v/>
      </c>
      <c r="K28" s="614">
        <f>MIN(Thickness!K28:K30)</f>
        <v/>
      </c>
      <c r="L28" s="614">
        <f>MIN(Thickness!L28:L30)</f>
        <v/>
      </c>
      <c r="M28" s="615">
        <f>MIN(Thickness!M28:M30)</f>
        <v/>
      </c>
      <c r="N28" s="616">
        <f>MIN(Thickness!N28:N30)</f>
        <v/>
      </c>
      <c r="O28" s="614">
        <f>MIN(Thickness!O28:O30)</f>
        <v/>
      </c>
      <c r="P28" s="614">
        <f>MIN(Thickness!P28:P30)</f>
        <v/>
      </c>
      <c r="Q28" s="614" t="inlineStr"/>
      <c r="R28" s="615" t="inlineStr"/>
      <c r="S28" s="616" t="inlineStr"/>
      <c r="T28" s="614" t="inlineStr"/>
      <c r="U28" s="614" t="inlineStr"/>
      <c r="V28" s="614" t="inlineStr"/>
      <c r="W28" s="615" t="inlineStr"/>
      <c r="X28" s="616" t="inlineStr"/>
      <c r="Y28" s="614" t="inlineStr"/>
      <c r="Z28" s="614" t="inlineStr"/>
      <c r="AA28" s="614" t="inlineStr"/>
      <c r="AB28" s="615" t="inlineStr"/>
      <c r="AC28" s="616" t="inlineStr"/>
      <c r="AD28" s="614" t="inlineStr"/>
      <c r="AE28" s="614" t="inlineStr"/>
      <c r="AF28" s="614" t="inlineStr"/>
      <c r="AG28" s="615" t="inlineStr"/>
      <c r="AH28" s="616" t="inlineStr"/>
      <c r="AI28" s="614">
        <f>MIN(Thickness!AI28:AI30)</f>
        <v/>
      </c>
      <c r="AJ28" s="614">
        <f>MIN(Thickness!AJ28:AJ30)</f>
        <v/>
      </c>
      <c r="AK28" s="614">
        <f>MIN(Thickness!AK28:AK30)</f>
        <v/>
      </c>
      <c r="AL28" s="615">
        <f>MIN(Thickness!AL28:AL30)</f>
        <v/>
      </c>
      <c r="AM28" s="616">
        <f>MIN(Thickness!AM28:AM30)</f>
        <v/>
      </c>
      <c r="AN28" s="614">
        <f>MIN(Thickness!AN28:AN30)</f>
        <v/>
      </c>
      <c r="AO28" s="614" t="inlineStr"/>
      <c r="AP28" s="614" t="inlineStr"/>
      <c r="AQ28" s="615" t="inlineStr"/>
      <c r="AR28" s="616" t="inlineStr"/>
      <c r="AS28" s="614" t="inlineStr"/>
      <c r="AT28" s="614" t="inlineStr"/>
      <c r="AU28" s="614" t="inlineStr"/>
      <c r="AV28" s="615" t="inlineStr"/>
      <c r="AW28" s="616" t="inlineStr"/>
      <c r="AX28" s="614" t="inlineStr"/>
      <c r="AY28" s="614" t="inlineStr"/>
      <c r="AZ28" s="614" t="inlineStr"/>
      <c r="BA28" s="615" t="inlineStr"/>
      <c r="BB28" s="616" t="inlineStr"/>
      <c r="BC28" s="614" t="inlineStr"/>
      <c r="BD28" s="614" t="inlineStr"/>
      <c r="BE28" s="614" t="inlineStr"/>
      <c r="BF28" s="615" t="inlineStr"/>
      <c r="BG28" s="616" t="inlineStr"/>
      <c r="BH28" s="614" t="inlineStr"/>
      <c r="BI28" s="614" t="inlineStr"/>
      <c r="BJ28" s="614" t="inlineStr"/>
      <c r="BK28" s="615" t="inlineStr"/>
      <c r="BL28" s="616" t="inlineStr"/>
      <c r="BM28" s="614" t="inlineStr"/>
      <c r="BN28" s="614" t="inlineStr"/>
      <c r="BO28" s="614" t="inlineStr"/>
      <c r="BP28" s="615" t="inlineStr"/>
      <c r="BQ28" s="616" t="inlineStr"/>
      <c r="BR28" s="614" t="inlineStr"/>
      <c r="BS28" s="614" t="inlineStr"/>
      <c r="BT28" s="615" t="inlineStr"/>
      <c r="BU28" s="454">
        <f>IFERROR(AVERAGE(D28:BT30),0)</f>
        <v/>
      </c>
      <c r="BV28" s="454">
        <f>MIN(D28:BT30)</f>
        <v/>
      </c>
      <c r="BW28" s="238" t="n"/>
      <c r="BX28" s="238" t="n"/>
      <c r="BY28" s="238" t="n"/>
      <c r="BZ28" s="238" t="n"/>
      <c r="CA28" s="238" t="n"/>
      <c r="CB28" s="238" t="n"/>
      <c r="CC28" s="238" t="n"/>
      <c r="CD28" s="238" t="n"/>
      <c r="CE28" s="238" t="n"/>
      <c r="CF28" s="238" t="n"/>
      <c r="CG28" s="238" t="n"/>
      <c r="CH28" s="238" t="n"/>
      <c r="CI28" s="238" t="n"/>
      <c r="CJ28" s="238" t="n"/>
      <c r="CK28" s="238" t="n"/>
      <c r="CL28" s="238" t="n"/>
      <c r="CM28" s="238" t="n"/>
      <c r="CN28" s="238" t="n"/>
      <c r="CO28" s="238" t="n"/>
      <c r="CP28" s="238" t="n"/>
      <c r="CQ28" s="238" t="n"/>
      <c r="CR28" s="238" t="n"/>
      <c r="CS28" s="238" t="n"/>
      <c r="CT28" s="238" t="n"/>
      <c r="CU28" s="238" t="n"/>
      <c r="CV28" s="238" t="n"/>
      <c r="CW28" s="238" t="n"/>
      <c r="CX28" s="238" t="n"/>
      <c r="CY28" s="238" t="n"/>
      <c r="CZ28" s="238" t="n"/>
      <c r="DA28" s="238" t="n"/>
      <c r="DB28" s="238" t="n"/>
      <c r="DC28" s="238" t="n"/>
      <c r="DD28" s="238" t="n"/>
      <c r="DE28" s="238" t="n"/>
      <c r="DF28" s="238" t="n"/>
      <c r="DG28" s="238" t="n"/>
      <c r="DH28" s="238" t="n"/>
      <c r="DI28" s="238" t="n"/>
      <c r="DJ28" s="238" t="n"/>
      <c r="DK28" s="238" t="n"/>
      <c r="DL28" s="238" t="n"/>
      <c r="DM28" s="238" t="n"/>
      <c r="DN28" s="238" t="n"/>
      <c r="DO28" s="238" t="n"/>
      <c r="DP28" s="238" t="n"/>
      <c r="DQ28" s="238" t="n"/>
      <c r="DR28" s="238" t="n"/>
      <c r="DS28" s="238" t="n"/>
      <c r="DT28" s="238" t="n"/>
      <c r="DU28" s="238" t="n"/>
      <c r="DV28" s="238" t="n"/>
      <c r="DW28" s="238" t="n"/>
      <c r="DX28" s="238" t="n"/>
      <c r="DY28" s="238" t="n"/>
      <c r="DZ28" s="23" t="n"/>
    </row>
    <row r="29" ht="39.95" customFormat="1" customHeight="1" s="5">
      <c r="A29" s="182" t="n">
        <v>0.083</v>
      </c>
      <c r="B29" s="7" t="inlineStr">
        <is>
          <t>OF THE MANWAY</t>
        </is>
      </c>
      <c r="C29" s="456" t="n"/>
      <c r="D29" s="13" t="n"/>
      <c r="H29" s="592" t="n"/>
      <c r="I29" s="593" t="n"/>
      <c r="M29" s="592" t="n"/>
      <c r="N29" s="593" t="n"/>
      <c r="R29" s="592" t="n"/>
      <c r="S29" s="593" t="n"/>
      <c r="W29" s="592" t="n"/>
      <c r="X29" s="593" t="n"/>
      <c r="AB29" s="592" t="n"/>
      <c r="AC29" s="593" t="n"/>
      <c r="AG29" s="592" t="n"/>
      <c r="AH29" s="593" t="n"/>
      <c r="AL29" s="592" t="n"/>
      <c r="AM29" s="593" t="n"/>
      <c r="AQ29" s="592" t="n"/>
      <c r="AR29" s="593" t="n"/>
      <c r="AV29" s="592" t="n"/>
      <c r="AW29" s="593" t="n"/>
      <c r="BA29" s="592" t="n"/>
      <c r="BB29" s="593" t="n"/>
      <c r="BF29" s="592" t="n"/>
      <c r="BG29" s="593" t="n"/>
      <c r="BK29" s="592" t="n"/>
      <c r="BL29" s="593" t="n"/>
      <c r="BP29" s="592" t="n"/>
      <c r="BQ29" s="593" t="n"/>
      <c r="BT29" s="592" t="n"/>
      <c r="BU29" s="455" t="n"/>
      <c r="BV29" s="455" t="n"/>
      <c r="BW29" s="238" t="n"/>
      <c r="BX29" s="238" t="n"/>
      <c r="BY29" s="238" t="n"/>
      <c r="BZ29" s="238" t="n"/>
      <c r="CA29" s="238" t="n"/>
      <c r="CB29" s="238" t="n"/>
      <c r="CC29" s="238" t="n"/>
      <c r="CD29" s="238" t="n"/>
      <c r="CE29" s="238" t="n"/>
      <c r="CF29" s="238" t="n"/>
      <c r="CG29" s="238" t="n"/>
      <c r="CH29" s="238" t="n"/>
      <c r="CI29" s="238" t="n"/>
      <c r="CJ29" s="238" t="n"/>
      <c r="CK29" s="238" t="n"/>
      <c r="CL29" s="238" t="n"/>
      <c r="CM29" s="238" t="n"/>
      <c r="CN29" s="238" t="n"/>
      <c r="CO29" s="238" t="n"/>
      <c r="CP29" s="238" t="n"/>
      <c r="CQ29" s="238" t="n"/>
      <c r="CR29" s="238" t="n"/>
      <c r="CS29" s="238" t="n"/>
      <c r="CT29" s="238" t="n"/>
      <c r="CU29" s="238" t="n"/>
      <c r="CV29" s="238" t="n"/>
      <c r="CW29" s="238" t="n"/>
      <c r="CX29" s="238" t="n"/>
      <c r="CY29" s="238" t="n"/>
      <c r="CZ29" s="238" t="n"/>
      <c r="DA29" s="238" t="n"/>
      <c r="DB29" s="238" t="n"/>
      <c r="DC29" s="238" t="n"/>
      <c r="DD29" s="238" t="n"/>
      <c r="DE29" s="238" t="n"/>
      <c r="DF29" s="238" t="n"/>
      <c r="DG29" s="238" t="n"/>
      <c r="DH29" s="238" t="n"/>
      <c r="DI29" s="238" t="n"/>
      <c r="DJ29" s="238" t="n"/>
      <c r="DK29" s="238" t="n"/>
      <c r="DL29" s="238" t="n"/>
      <c r="DM29" s="238" t="n"/>
      <c r="DN29" s="238" t="n"/>
      <c r="DO29" s="238" t="n"/>
      <c r="DP29" s="238" t="n"/>
      <c r="DQ29" s="238" t="n"/>
      <c r="DR29" s="238" t="n"/>
      <c r="DS29" s="238" t="n"/>
      <c r="DT29" s="238" t="n"/>
      <c r="DU29" s="238" t="n"/>
      <c r="DV29" s="238" t="n"/>
      <c r="DW29" s="238" t="n"/>
      <c r="DX29" s="238" t="n"/>
      <c r="DY29" s="238" t="n"/>
      <c r="DZ29" s="23" t="n"/>
      <c r="FQ29" s="212" t="n"/>
      <c r="FR29" s="212" t="n"/>
      <c r="FS29" s="212" t="n"/>
      <c r="FT29" s="212" t="n"/>
      <c r="FU29" s="212" t="n"/>
      <c r="FV29" s="212" t="n"/>
      <c r="FW29" s="212" t="n"/>
      <c r="FX29" s="212" t="n"/>
      <c r="FY29" s="212" t="n"/>
      <c r="FZ29" s="212" t="n"/>
    </row>
    <row r="30" ht="39.95" customFormat="1" customHeight="1" s="5">
      <c r="A30" s="456" t="n"/>
      <c r="B30" s="8" t="inlineStr">
        <is>
          <t>&amp; OSCILLATOR</t>
        </is>
      </c>
      <c r="C30" s="456" t="n"/>
      <c r="D30" s="594" t="n"/>
      <c r="E30" s="595" t="n"/>
      <c r="F30" s="595" t="n"/>
      <c r="G30" s="595" t="n"/>
      <c r="H30" s="596" t="n"/>
      <c r="I30" s="597" t="n"/>
      <c r="J30" s="595" t="n"/>
      <c r="K30" s="595" t="n"/>
      <c r="L30" s="595" t="n"/>
      <c r="M30" s="596" t="n"/>
      <c r="N30" s="597" t="n"/>
      <c r="O30" s="595" t="n"/>
      <c r="P30" s="595" t="n"/>
      <c r="Q30" s="595" t="n"/>
      <c r="R30" s="596" t="n"/>
      <c r="S30" s="597" t="n"/>
      <c r="T30" s="595" t="n"/>
      <c r="U30" s="595" t="n"/>
      <c r="V30" s="595" t="n"/>
      <c r="W30" s="596" t="n"/>
      <c r="X30" s="597" t="n"/>
      <c r="Y30" s="595" t="n"/>
      <c r="Z30" s="595" t="n"/>
      <c r="AA30" s="595" t="n"/>
      <c r="AB30" s="596" t="n"/>
      <c r="AC30" s="597" t="n"/>
      <c r="AD30" s="595" t="n"/>
      <c r="AE30" s="595" t="n"/>
      <c r="AF30" s="595" t="n"/>
      <c r="AG30" s="596" t="n"/>
      <c r="AH30" s="597" t="n"/>
      <c r="AI30" s="595" t="n"/>
      <c r="AJ30" s="595" t="n"/>
      <c r="AK30" s="595" t="n"/>
      <c r="AL30" s="596" t="n"/>
      <c r="AM30" s="597" t="n"/>
      <c r="AN30" s="595" t="n"/>
      <c r="AO30" s="595" t="n"/>
      <c r="AP30" s="595" t="n"/>
      <c r="AQ30" s="596" t="n"/>
      <c r="AR30" s="597" t="n"/>
      <c r="AS30" s="595" t="n"/>
      <c r="AT30" s="595" t="n"/>
      <c r="AU30" s="595" t="n"/>
      <c r="AV30" s="596" t="n"/>
      <c r="AW30" s="597" t="n"/>
      <c r="AX30" s="595" t="n"/>
      <c r="AY30" s="595" t="n"/>
      <c r="AZ30" s="595" t="n"/>
      <c r="BA30" s="596" t="n"/>
      <c r="BB30" s="597" t="n"/>
      <c r="BC30" s="595" t="n"/>
      <c r="BD30" s="595" t="n"/>
      <c r="BE30" s="595" t="n"/>
      <c r="BF30" s="596" t="n"/>
      <c r="BG30" s="597" t="n"/>
      <c r="BH30" s="595" t="n"/>
      <c r="BI30" s="595" t="n"/>
      <c r="BJ30" s="595" t="n"/>
      <c r="BK30" s="596" t="n"/>
      <c r="BL30" s="597" t="n"/>
      <c r="BM30" s="595" t="n"/>
      <c r="BN30" s="595" t="n"/>
      <c r="BO30" s="595" t="n"/>
      <c r="BP30" s="596" t="n"/>
      <c r="BQ30" s="597" t="n"/>
      <c r="BR30" s="595" t="n"/>
      <c r="BS30" s="595" t="n"/>
      <c r="BT30" s="596" t="n"/>
      <c r="BU30" s="457" t="n"/>
      <c r="BV30" s="457" t="n"/>
      <c r="BW30" s="238" t="n"/>
      <c r="BX30" s="238" t="n"/>
      <c r="BY30" s="238" t="n"/>
      <c r="BZ30" s="238" t="n"/>
      <c r="CA30" s="238" t="n"/>
      <c r="CB30" s="238" t="n"/>
      <c r="CC30" s="238" t="n"/>
      <c r="CD30" s="238" t="n"/>
      <c r="CE30" s="238" t="n"/>
      <c r="CF30" s="238" t="n"/>
      <c r="CG30" s="238" t="n"/>
      <c r="CH30" s="238" t="n"/>
      <c r="CI30" s="238" t="n"/>
      <c r="CJ30" s="238" t="n"/>
      <c r="CK30" s="238" t="n"/>
      <c r="CL30" s="238" t="n"/>
      <c r="CM30" s="238" t="n"/>
      <c r="CN30" s="238" t="n"/>
      <c r="CO30" s="238" t="n"/>
      <c r="CP30" s="238" t="n"/>
      <c r="CQ30" s="238" t="n"/>
      <c r="CR30" s="238" t="n"/>
      <c r="CS30" s="238" t="n"/>
      <c r="CT30" s="238" t="n"/>
      <c r="CU30" s="238" t="n"/>
      <c r="CV30" s="238" t="n"/>
      <c r="CW30" s="238" t="n"/>
      <c r="CX30" s="238" t="n"/>
      <c r="CY30" s="238" t="n"/>
      <c r="CZ30" s="238" t="n"/>
      <c r="DA30" s="238" t="n"/>
      <c r="DB30" s="238" t="n"/>
      <c r="DC30" s="238" t="n"/>
      <c r="DD30" s="238" t="n"/>
      <c r="DE30" s="238" t="n"/>
      <c r="DF30" s="238" t="n"/>
      <c r="DG30" s="238" t="n"/>
      <c r="DH30" s="238" t="n"/>
      <c r="DI30" s="238" t="n"/>
      <c r="DJ30" s="238" t="n"/>
      <c r="DK30" s="238" t="n"/>
      <c r="DL30" s="238" t="n"/>
      <c r="DM30" s="238" t="n"/>
      <c r="DN30" s="238" t="n"/>
      <c r="DO30" s="238" t="n"/>
      <c r="DP30" s="238" t="n"/>
      <c r="DQ30" s="238" t="n"/>
      <c r="DR30" s="238" t="n"/>
      <c r="DS30" s="238" t="n"/>
      <c r="DT30" s="238" t="n"/>
      <c r="DU30" s="238" t="n"/>
      <c r="DV30" s="238" t="n"/>
      <c r="DW30" s="238" t="n"/>
      <c r="DX30" s="238" t="n"/>
      <c r="DY30" s="238" t="n"/>
      <c r="DZ30" s="23" t="n"/>
      <c r="FQ30" s="212" t="n"/>
      <c r="FR30" s="212" t="n"/>
      <c r="FS30" s="212" t="n"/>
      <c r="FT30" s="212" t="n"/>
      <c r="FU30" s="212" t="n"/>
      <c r="FV30" s="212" t="n"/>
      <c r="FW30" s="212" t="n"/>
      <c r="FX30" s="212" t="n"/>
      <c r="FY30" s="212" t="n"/>
      <c r="FZ30" s="212" t="n"/>
    </row>
    <row r="31" ht="39.95" customFormat="1" customHeight="1" s="5">
      <c r="A31" s="10" t="inlineStr">
        <is>
          <t>A</t>
        </is>
      </c>
      <c r="B31" s="6" t="inlineStr">
        <is>
          <t>POSITION 'B'</t>
        </is>
      </c>
      <c r="C31" s="415" t="inlineStr">
        <is>
          <t>LOWEST</t>
        </is>
      </c>
      <c r="D31" s="613" t="inlineStr"/>
      <c r="E31" s="614" t="inlineStr"/>
      <c r="F31" s="614" t="inlineStr"/>
      <c r="G31" s="614">
        <f>MIN(Thickness!G31:G33)</f>
        <v/>
      </c>
      <c r="H31" s="615">
        <f>MIN(Thickness!H31:H33)</f>
        <v/>
      </c>
      <c r="I31" s="616" t="inlineStr">
        <is>
          <t>RT</t>
        </is>
      </c>
      <c r="J31" s="614">
        <f>MIN(Thickness!J31:J33)</f>
        <v/>
      </c>
      <c r="K31" s="614">
        <f>MIN(Thickness!K31:K33)</f>
        <v/>
      </c>
      <c r="L31" s="614">
        <f>MIN(Thickness!L31:L33)</f>
        <v/>
      </c>
      <c r="M31" s="615">
        <f>MIN(Thickness!M31:M33)</f>
        <v/>
      </c>
      <c r="N31" s="616" t="inlineStr">
        <is>
          <t>RT</t>
        </is>
      </c>
      <c r="O31" s="614">
        <f>MIN(Thickness!O31:O33)</f>
        <v/>
      </c>
      <c r="P31" s="614">
        <f>MIN(Thickness!P31:P33)</f>
        <v/>
      </c>
      <c r="Q31" s="614" t="inlineStr"/>
      <c r="R31" s="615" t="inlineStr"/>
      <c r="S31" s="616" t="inlineStr"/>
      <c r="T31" s="614" t="inlineStr"/>
      <c r="U31" s="614" t="inlineStr"/>
      <c r="V31" s="614" t="inlineStr"/>
      <c r="W31" s="615" t="inlineStr"/>
      <c r="X31" s="616" t="inlineStr"/>
      <c r="Y31" s="614" t="inlineStr"/>
      <c r="Z31" s="614" t="inlineStr"/>
      <c r="AA31" s="614" t="inlineStr"/>
      <c r="AB31" s="615" t="inlineStr"/>
      <c r="AC31" s="616" t="inlineStr"/>
      <c r="AD31" s="614" t="inlineStr"/>
      <c r="AE31" s="614" t="inlineStr"/>
      <c r="AF31" s="614" t="inlineStr"/>
      <c r="AG31" s="615" t="inlineStr"/>
      <c r="AH31" s="616" t="inlineStr"/>
      <c r="AI31" s="614">
        <f>MIN(Thickness!AI31:AI33)</f>
        <v/>
      </c>
      <c r="AJ31" s="614">
        <f>MIN(Thickness!AJ31:AJ33)</f>
        <v/>
      </c>
      <c r="AK31" s="614">
        <f>MIN(Thickness!AK31:AK33)</f>
        <v/>
      </c>
      <c r="AL31" s="615">
        <f>MIN(Thickness!AL31:AL33)</f>
        <v/>
      </c>
      <c r="AM31" s="616">
        <f>MIN(Thickness!AM31:AM33)</f>
        <v/>
      </c>
      <c r="AN31" s="614">
        <f>MIN(Thickness!AN31:AN33)</f>
        <v/>
      </c>
      <c r="AO31" s="614" t="inlineStr"/>
      <c r="AP31" s="614" t="inlineStr"/>
      <c r="AQ31" s="615" t="inlineStr"/>
      <c r="AR31" s="616" t="inlineStr"/>
      <c r="AS31" s="614" t="inlineStr"/>
      <c r="AT31" s="614" t="inlineStr"/>
      <c r="AU31" s="614" t="inlineStr"/>
      <c r="AV31" s="615" t="inlineStr"/>
      <c r="AW31" s="616" t="inlineStr"/>
      <c r="AX31" s="614" t="inlineStr"/>
      <c r="AY31" s="614" t="inlineStr"/>
      <c r="AZ31" s="614" t="inlineStr"/>
      <c r="BA31" s="615" t="inlineStr"/>
      <c r="BB31" s="616" t="inlineStr"/>
      <c r="BC31" s="614" t="inlineStr"/>
      <c r="BD31" s="614" t="inlineStr"/>
      <c r="BE31" s="614" t="inlineStr"/>
      <c r="BF31" s="615" t="inlineStr"/>
      <c r="BG31" s="616" t="inlineStr"/>
      <c r="BH31" s="614" t="inlineStr"/>
      <c r="BI31" s="614" t="inlineStr"/>
      <c r="BJ31" s="614" t="inlineStr"/>
      <c r="BK31" s="615" t="inlineStr"/>
      <c r="BL31" s="616" t="inlineStr"/>
      <c r="BM31" s="614" t="inlineStr"/>
      <c r="BN31" s="614" t="inlineStr"/>
      <c r="BO31" s="614" t="inlineStr"/>
      <c r="BP31" s="615" t="inlineStr"/>
      <c r="BQ31" s="616" t="inlineStr"/>
      <c r="BR31" s="614" t="inlineStr"/>
      <c r="BS31" s="614" t="inlineStr"/>
      <c r="BT31" s="615" t="inlineStr"/>
      <c r="BU31" s="454">
        <f>IFERROR(AVERAGE(D31:BT33),0)</f>
        <v/>
      </c>
      <c r="BV31" s="454">
        <f>MIN(D31:BT33)</f>
        <v/>
      </c>
      <c r="BW31" s="238" t="n"/>
      <c r="BX31" s="238" t="n"/>
      <c r="BY31" s="238" t="n"/>
      <c r="BZ31" s="238" t="n"/>
      <c r="CA31" s="238" t="n"/>
      <c r="CB31" s="238" t="n"/>
      <c r="CC31" s="238" t="n"/>
      <c r="CD31" s="238" t="n"/>
      <c r="CE31" s="238" t="n"/>
      <c r="CF31" s="238" t="n"/>
      <c r="CG31" s="238" t="n"/>
      <c r="CH31" s="238" t="n"/>
      <c r="CI31" s="238" t="n"/>
      <c r="CJ31" s="238" t="n"/>
      <c r="CK31" s="238" t="n"/>
      <c r="CL31" s="238" t="n"/>
      <c r="CM31" s="238" t="n"/>
      <c r="CN31" s="238" t="n"/>
      <c r="CO31" s="238" t="n"/>
      <c r="CP31" s="238" t="n"/>
      <c r="CQ31" s="238" t="n"/>
      <c r="CR31" s="238" t="n"/>
      <c r="CS31" s="238" t="n"/>
      <c r="CT31" s="238" t="n"/>
      <c r="CU31" s="238" t="n"/>
      <c r="CV31" s="238" t="n"/>
      <c r="CW31" s="238" t="n"/>
      <c r="CX31" s="238" t="n"/>
      <c r="CY31" s="238" t="n"/>
      <c r="CZ31" s="238" t="n"/>
      <c r="DA31" s="238" t="n"/>
      <c r="DB31" s="238" t="n"/>
      <c r="DC31" s="238" t="n"/>
      <c r="DD31" s="238" t="n"/>
      <c r="DE31" s="238" t="n"/>
      <c r="DF31" s="238" t="n"/>
      <c r="DG31" s="238" t="n"/>
      <c r="DH31" s="238" t="n"/>
      <c r="DI31" s="238" t="n"/>
      <c r="DJ31" s="238" t="n"/>
      <c r="DK31" s="238" t="n"/>
      <c r="DL31" s="238" t="n"/>
      <c r="DM31" s="238" t="n"/>
      <c r="DN31" s="238" t="n"/>
      <c r="DO31" s="238" t="n"/>
      <c r="DP31" s="238" t="n"/>
      <c r="DQ31" s="238" t="n"/>
      <c r="DR31" s="238" t="n"/>
      <c r="DS31" s="238" t="n"/>
      <c r="DT31" s="238" t="n"/>
      <c r="DU31" s="238" t="n"/>
      <c r="DV31" s="238" t="n"/>
      <c r="DW31" s="238" t="n"/>
      <c r="DX31" s="238" t="n"/>
      <c r="DY31" s="238" t="n"/>
      <c r="DZ31" s="23" t="n"/>
      <c r="FQ31" s="212" t="n"/>
      <c r="FR31" s="212" t="n"/>
      <c r="FS31" s="212" t="n"/>
      <c r="FT31" s="212" t="n"/>
      <c r="FU31" s="212" t="n"/>
      <c r="FV31" s="212" t="n"/>
      <c r="FW31" s="212" t="n"/>
      <c r="FX31" s="212" t="n"/>
      <c r="FY31" s="212" t="n"/>
      <c r="FZ31" s="212" t="n"/>
    </row>
    <row r="32" ht="39.95" customFormat="1" customHeight="1" s="5">
      <c r="A32" s="182" t="n">
        <v>0.083</v>
      </c>
      <c r="B32" s="7" t="inlineStr">
        <is>
          <t>OF THE MANWAY</t>
        </is>
      </c>
      <c r="C32" s="456" t="n"/>
      <c r="D32" s="13" t="n"/>
      <c r="H32" s="592" t="n"/>
      <c r="I32" s="593" t="n"/>
      <c r="M32" s="592" t="n"/>
      <c r="N32" s="593" t="n"/>
      <c r="R32" s="592" t="n"/>
      <c r="S32" s="593" t="n"/>
      <c r="W32" s="592" t="n"/>
      <c r="X32" s="593" t="n"/>
      <c r="AB32" s="592" t="n"/>
      <c r="AC32" s="593" t="n"/>
      <c r="AG32" s="592" t="n"/>
      <c r="AH32" s="593" t="n"/>
      <c r="AL32" s="592" t="n"/>
      <c r="AM32" s="593" t="n"/>
      <c r="AQ32" s="592" t="n"/>
      <c r="AR32" s="593" t="n"/>
      <c r="AV32" s="592" t="n"/>
      <c r="AW32" s="593" t="n"/>
      <c r="BA32" s="592" t="n"/>
      <c r="BB32" s="593" t="n"/>
      <c r="BF32" s="592" t="n"/>
      <c r="BG32" s="593" t="n"/>
      <c r="BK32" s="592" t="n"/>
      <c r="BL32" s="593" t="n"/>
      <c r="BP32" s="592" t="n"/>
      <c r="BQ32" s="593" t="n"/>
      <c r="BT32" s="592" t="n"/>
      <c r="BU32" s="455" t="n"/>
      <c r="BV32" s="455" t="n"/>
      <c r="BW32" s="238" t="n"/>
      <c r="BX32" s="238" t="n"/>
      <c r="BY32" s="238" t="n"/>
      <c r="BZ32" s="238" t="n"/>
      <c r="CA32" s="238" t="n"/>
      <c r="CB32" s="238" t="n"/>
      <c r="CC32" s="238" t="n"/>
      <c r="CD32" s="238" t="n"/>
      <c r="CE32" s="238" t="n"/>
      <c r="CF32" s="238" t="n"/>
      <c r="CG32" s="238" t="n"/>
      <c r="CH32" s="238" t="n"/>
      <c r="CI32" s="238" t="n"/>
      <c r="CJ32" s="238" t="n"/>
      <c r="CK32" s="238" t="n"/>
      <c r="CL32" s="238" t="n"/>
      <c r="CM32" s="238" t="n"/>
      <c r="CN32" s="238" t="n"/>
      <c r="CO32" s="238" t="n"/>
      <c r="CP32" s="238" t="n"/>
      <c r="CQ32" s="238" t="n"/>
      <c r="CR32" s="238" t="n"/>
      <c r="CS32" s="238" t="n"/>
      <c r="CT32" s="238" t="n"/>
      <c r="CU32" s="238" t="n"/>
      <c r="CV32" s="238" t="n"/>
      <c r="CW32" s="238" t="n"/>
      <c r="CX32" s="238" t="n"/>
      <c r="CY32" s="238" t="n"/>
      <c r="CZ32" s="238" t="n"/>
      <c r="DA32" s="238" t="n"/>
      <c r="DB32" s="238" t="n"/>
      <c r="DC32" s="238" t="n"/>
      <c r="DD32" s="238" t="n"/>
      <c r="DE32" s="238" t="n"/>
      <c r="DF32" s="238" t="n"/>
      <c r="DG32" s="238" t="n"/>
      <c r="DH32" s="238" t="n"/>
      <c r="DI32" s="238" t="n"/>
      <c r="DJ32" s="238" t="n"/>
      <c r="DK32" s="238" t="n"/>
      <c r="DL32" s="238" t="n"/>
      <c r="DM32" s="238" t="n"/>
      <c r="DN32" s="238" t="n"/>
      <c r="DO32" s="238" t="n"/>
      <c r="DP32" s="238" t="n"/>
      <c r="DQ32" s="238" t="n"/>
      <c r="DR32" s="238" t="n"/>
      <c r="DS32" s="238" t="n"/>
      <c r="DT32" s="238" t="n"/>
      <c r="DU32" s="238" t="n"/>
      <c r="DV32" s="238" t="n"/>
      <c r="DW32" s="238" t="n"/>
      <c r="DX32" s="238" t="n"/>
      <c r="DY32" s="238" t="n"/>
      <c r="DZ32" s="23" t="n"/>
      <c r="FQ32" s="212" t="n"/>
      <c r="FR32" s="212" t="n"/>
      <c r="FS32" s="212" t="n"/>
      <c r="FT32" s="212" t="n"/>
      <c r="FU32" s="212" t="n"/>
      <c r="FV32" s="212" t="n"/>
      <c r="FW32" s="212" t="n"/>
      <c r="FX32" s="212" t="n"/>
      <c r="FY32" s="212" t="n"/>
      <c r="FZ32" s="212" t="n"/>
    </row>
    <row r="33" ht="39.95" customFormat="1" customHeight="1" s="5">
      <c r="A33" s="456" t="n"/>
      <c r="B33" s="8" t="inlineStr">
        <is>
          <t>&amp; OSCILLATOR</t>
        </is>
      </c>
      <c r="C33" s="456" t="n"/>
      <c r="D33" s="594" t="n"/>
      <c r="E33" s="595" t="n"/>
      <c r="F33" s="595" t="n"/>
      <c r="G33" s="595" t="n"/>
      <c r="H33" s="596" t="n"/>
      <c r="I33" s="597" t="n"/>
      <c r="J33" s="595" t="n"/>
      <c r="K33" s="595" t="n"/>
      <c r="L33" s="595" t="n"/>
      <c r="M33" s="596" t="n"/>
      <c r="N33" s="597" t="n"/>
      <c r="O33" s="595" t="n"/>
      <c r="P33" s="595" t="n"/>
      <c r="Q33" s="595" t="n"/>
      <c r="R33" s="596" t="n"/>
      <c r="S33" s="597" t="n"/>
      <c r="T33" s="595" t="n"/>
      <c r="U33" s="595" t="n"/>
      <c r="V33" s="595" t="n"/>
      <c r="W33" s="596" t="n"/>
      <c r="X33" s="597" t="n"/>
      <c r="Y33" s="595" t="n"/>
      <c r="Z33" s="595" t="n"/>
      <c r="AA33" s="595" t="n"/>
      <c r="AB33" s="596" t="n"/>
      <c r="AC33" s="597" t="n"/>
      <c r="AD33" s="595" t="n"/>
      <c r="AE33" s="595" t="n"/>
      <c r="AF33" s="595" t="n"/>
      <c r="AG33" s="596" t="n"/>
      <c r="AH33" s="597" t="n"/>
      <c r="AI33" s="595" t="n"/>
      <c r="AJ33" s="595" t="n"/>
      <c r="AK33" s="595" t="n"/>
      <c r="AL33" s="596" t="n"/>
      <c r="AM33" s="597" t="n"/>
      <c r="AN33" s="595" t="n"/>
      <c r="AO33" s="595" t="n"/>
      <c r="AP33" s="595" t="n"/>
      <c r="AQ33" s="596" t="n"/>
      <c r="AR33" s="597" t="n"/>
      <c r="AS33" s="595" t="n"/>
      <c r="AT33" s="595" t="n"/>
      <c r="AU33" s="595" t="n"/>
      <c r="AV33" s="596" t="n"/>
      <c r="AW33" s="597" t="n"/>
      <c r="AX33" s="595" t="n"/>
      <c r="AY33" s="595" t="n"/>
      <c r="AZ33" s="595" t="n"/>
      <c r="BA33" s="596" t="n"/>
      <c r="BB33" s="597" t="n"/>
      <c r="BC33" s="595" t="n"/>
      <c r="BD33" s="595" t="n"/>
      <c r="BE33" s="595" t="n"/>
      <c r="BF33" s="596" t="n"/>
      <c r="BG33" s="597" t="n"/>
      <c r="BH33" s="595" t="n"/>
      <c r="BI33" s="595" t="n"/>
      <c r="BJ33" s="595" t="n"/>
      <c r="BK33" s="596" t="n"/>
      <c r="BL33" s="597" t="n"/>
      <c r="BM33" s="595" t="n"/>
      <c r="BN33" s="595" t="n"/>
      <c r="BO33" s="595" t="n"/>
      <c r="BP33" s="596" t="n"/>
      <c r="BQ33" s="597" t="n"/>
      <c r="BR33" s="595" t="n"/>
      <c r="BS33" s="595" t="n"/>
      <c r="BT33" s="596" t="n"/>
      <c r="BU33" s="457" t="n"/>
      <c r="BV33" s="457" t="n"/>
      <c r="BW33" s="238" t="n"/>
      <c r="BX33" s="238" t="n"/>
      <c r="BY33" s="238" t="n"/>
      <c r="BZ33" s="238" t="n"/>
      <c r="CA33" s="238" t="n"/>
      <c r="CB33" s="238" t="n"/>
      <c r="CC33" s="238" t="n"/>
      <c r="CD33" s="238" t="n"/>
      <c r="CE33" s="238" t="n"/>
      <c r="CF33" s="238" t="n"/>
      <c r="CG33" s="238" t="n"/>
      <c r="CH33" s="238" t="n"/>
      <c r="CI33" s="238" t="n"/>
      <c r="CJ33" s="238" t="n"/>
      <c r="CK33" s="238" t="n"/>
      <c r="CL33" s="238" t="n"/>
      <c r="CM33" s="238" t="n"/>
      <c r="CN33" s="238" t="n"/>
      <c r="CO33" s="238" t="n"/>
      <c r="CP33" s="238" t="n"/>
      <c r="CQ33" s="238" t="n"/>
      <c r="CR33" s="238" t="n"/>
      <c r="CS33" s="238" t="n"/>
      <c r="CT33" s="238" t="n"/>
      <c r="CU33" s="238" t="n"/>
      <c r="CV33" s="238" t="n"/>
      <c r="CW33" s="238" t="n"/>
      <c r="CX33" s="238" t="n"/>
      <c r="CY33" s="238" t="n"/>
      <c r="CZ33" s="238" t="n"/>
      <c r="DA33" s="238" t="n"/>
      <c r="DB33" s="238" t="n"/>
      <c r="DC33" s="238" t="n"/>
      <c r="DD33" s="238" t="n"/>
      <c r="DE33" s="238" t="n"/>
      <c r="DF33" s="238" t="n"/>
      <c r="DG33" s="238" t="n"/>
      <c r="DH33" s="238" t="n"/>
      <c r="DI33" s="238" t="n"/>
      <c r="DJ33" s="238" t="n"/>
      <c r="DK33" s="238" t="n"/>
      <c r="DL33" s="238" t="n"/>
      <c r="DM33" s="238" t="n"/>
      <c r="DN33" s="238" t="n"/>
      <c r="DO33" s="238" t="n"/>
      <c r="DP33" s="238" t="n"/>
      <c r="DQ33" s="238" t="n"/>
      <c r="DR33" s="238" t="n"/>
      <c r="DS33" s="238" t="n"/>
      <c r="DT33" s="238" t="n"/>
      <c r="DU33" s="238" t="n"/>
      <c r="DV33" s="238" t="n"/>
      <c r="DW33" s="238" t="n"/>
      <c r="DX33" s="238" t="n"/>
      <c r="DY33" s="238" t="n"/>
      <c r="DZ33" s="23" t="n"/>
      <c r="FQ33" s="212" t="n"/>
      <c r="FR33" s="212" t="n"/>
      <c r="FS33" s="212" t="n"/>
      <c r="FT33" s="212" t="n"/>
      <c r="FU33" s="212" t="n"/>
      <c r="FV33" s="212" t="n"/>
      <c r="FW33" s="212" t="n"/>
      <c r="FX33" s="212" t="n"/>
      <c r="FY33" s="212" t="n"/>
      <c r="FZ33" s="212" t="n"/>
    </row>
    <row r="34" ht="39.95" customFormat="1" customHeight="1" s="5">
      <c r="A34" s="10" t="inlineStr">
        <is>
          <t>A</t>
        </is>
      </c>
      <c r="B34" s="6" t="inlineStr">
        <is>
          <t>POSITION 'C'</t>
        </is>
      </c>
      <c r="C34" s="415" t="inlineStr">
        <is>
          <t>LOWEST</t>
        </is>
      </c>
      <c r="D34" s="613" t="inlineStr"/>
      <c r="E34" s="614" t="inlineStr"/>
      <c r="F34" s="614" t="inlineStr"/>
      <c r="G34" s="614">
        <f>MIN(Thickness!G34:G36)</f>
        <v/>
      </c>
      <c r="H34" s="615">
        <f>MIN(Thickness!H34:H36)</f>
        <v/>
      </c>
      <c r="I34" s="616" t="inlineStr">
        <is>
          <t>RT</t>
        </is>
      </c>
      <c r="J34" s="614" t="inlineStr">
        <is>
          <t>RT</t>
        </is>
      </c>
      <c r="K34" s="614">
        <f>MIN(Thickness!K34:K36)</f>
        <v/>
      </c>
      <c r="L34" s="614">
        <f>MIN(Thickness!L34:L36)</f>
        <v/>
      </c>
      <c r="M34" s="615" t="inlineStr">
        <is>
          <t>RT</t>
        </is>
      </c>
      <c r="N34" s="616" t="inlineStr">
        <is>
          <t>RT</t>
        </is>
      </c>
      <c r="O34" s="614">
        <f>MIN(Thickness!O34:O36)</f>
        <v/>
      </c>
      <c r="P34" s="614">
        <f>MIN(Thickness!P34:P36)</f>
        <v/>
      </c>
      <c r="Q34" s="614" t="inlineStr"/>
      <c r="R34" s="615" t="inlineStr"/>
      <c r="S34" s="616" t="inlineStr"/>
      <c r="T34" s="614" t="inlineStr"/>
      <c r="U34" s="614" t="inlineStr"/>
      <c r="V34" s="614" t="inlineStr"/>
      <c r="W34" s="615" t="inlineStr"/>
      <c r="X34" s="616" t="inlineStr"/>
      <c r="Y34" s="614" t="inlineStr"/>
      <c r="Z34" s="614" t="inlineStr"/>
      <c r="AA34" s="614" t="inlineStr"/>
      <c r="AB34" s="615" t="inlineStr"/>
      <c r="AC34" s="616" t="inlineStr"/>
      <c r="AD34" s="614" t="inlineStr"/>
      <c r="AE34" s="614" t="inlineStr"/>
      <c r="AF34" s="614" t="inlineStr"/>
      <c r="AG34" s="615" t="inlineStr"/>
      <c r="AH34" s="616" t="inlineStr"/>
      <c r="AI34" s="614">
        <f>MIN(Thickness!AI34:AI36)</f>
        <v/>
      </c>
      <c r="AJ34" s="614">
        <f>MIN(Thickness!AJ34:AJ36)</f>
        <v/>
      </c>
      <c r="AK34" s="614">
        <f>MIN(Thickness!AK34:AK36)</f>
        <v/>
      </c>
      <c r="AL34" s="615">
        <f>MIN(Thickness!AL34:AL36)</f>
        <v/>
      </c>
      <c r="AM34" s="616">
        <f>MIN(Thickness!AM34:AM36)</f>
        <v/>
      </c>
      <c r="AN34" s="614">
        <f>MIN(Thickness!AN34:AN36)</f>
        <v/>
      </c>
      <c r="AO34" s="614" t="inlineStr"/>
      <c r="AP34" s="614" t="inlineStr"/>
      <c r="AQ34" s="615" t="inlineStr"/>
      <c r="AR34" s="616" t="inlineStr"/>
      <c r="AS34" s="614" t="inlineStr"/>
      <c r="AT34" s="614" t="inlineStr"/>
      <c r="AU34" s="614" t="inlineStr"/>
      <c r="AV34" s="615" t="inlineStr"/>
      <c r="AW34" s="616" t="inlineStr"/>
      <c r="AX34" s="614" t="inlineStr"/>
      <c r="AY34" s="614" t="inlineStr"/>
      <c r="AZ34" s="614" t="inlineStr"/>
      <c r="BA34" s="615" t="inlineStr"/>
      <c r="BB34" s="616" t="inlineStr"/>
      <c r="BC34" s="614" t="inlineStr"/>
      <c r="BD34" s="614" t="inlineStr"/>
      <c r="BE34" s="614" t="inlineStr"/>
      <c r="BF34" s="615" t="inlineStr"/>
      <c r="BG34" s="616" t="inlineStr"/>
      <c r="BH34" s="614" t="inlineStr"/>
      <c r="BI34" s="614" t="inlineStr"/>
      <c r="BJ34" s="614" t="inlineStr"/>
      <c r="BK34" s="615" t="inlineStr"/>
      <c r="BL34" s="616" t="inlineStr"/>
      <c r="BM34" s="614" t="inlineStr"/>
      <c r="BN34" s="614" t="inlineStr"/>
      <c r="BO34" s="614" t="inlineStr"/>
      <c r="BP34" s="615" t="inlineStr"/>
      <c r="BQ34" s="616" t="inlineStr"/>
      <c r="BR34" s="614" t="inlineStr"/>
      <c r="BS34" s="614" t="inlineStr"/>
      <c r="BT34" s="615" t="inlineStr"/>
      <c r="BU34" s="454">
        <f>IFERROR(AVERAGE(D34:BT36),0)</f>
        <v/>
      </c>
      <c r="BV34" s="454">
        <f>MIN(D34:BT36)</f>
        <v/>
      </c>
      <c r="BW34" s="238" t="n"/>
      <c r="BX34" s="238" t="n"/>
      <c r="BY34" s="238" t="n"/>
      <c r="BZ34" s="238" t="n"/>
      <c r="CA34" s="238" t="n"/>
      <c r="CB34" s="238" t="n"/>
      <c r="CC34" s="238" t="n"/>
      <c r="CD34" s="238" t="n"/>
      <c r="CE34" s="238" t="n"/>
      <c r="CF34" s="238" t="n"/>
      <c r="CG34" s="238" t="n"/>
      <c r="CH34" s="238" t="n"/>
      <c r="CI34" s="238" t="n"/>
      <c r="CJ34" s="238" t="n"/>
      <c r="CK34" s="238" t="n"/>
      <c r="CL34" s="238" t="n"/>
      <c r="CM34" s="238" t="n"/>
      <c r="CN34" s="238" t="n"/>
      <c r="CO34" s="238" t="n"/>
      <c r="CP34" s="238" t="n"/>
      <c r="CQ34" s="238" t="n"/>
      <c r="CR34" s="238" t="n"/>
      <c r="CS34" s="238" t="n"/>
      <c r="CT34" s="238" t="n"/>
      <c r="CU34" s="238" t="n"/>
      <c r="CV34" s="238" t="n"/>
      <c r="CW34" s="238" t="n"/>
      <c r="CX34" s="238" t="n"/>
      <c r="CY34" s="238" t="n"/>
      <c r="CZ34" s="238" t="n"/>
      <c r="DA34" s="238" t="n"/>
      <c r="DB34" s="238" t="n"/>
      <c r="DC34" s="238" t="n"/>
      <c r="DD34" s="238" t="n"/>
      <c r="DE34" s="238" t="n"/>
      <c r="DF34" s="238" t="n"/>
      <c r="DG34" s="238" t="n"/>
      <c r="DH34" s="238" t="n"/>
      <c r="DI34" s="238" t="n"/>
      <c r="DJ34" s="238" t="n"/>
      <c r="DK34" s="238" t="n"/>
      <c r="DL34" s="238" t="n"/>
      <c r="DM34" s="238" t="n"/>
      <c r="DN34" s="238" t="n"/>
      <c r="DO34" s="238" t="n"/>
      <c r="DP34" s="238" t="n"/>
      <c r="DQ34" s="238" t="n"/>
      <c r="DR34" s="238" t="n"/>
      <c r="DS34" s="238" t="n"/>
      <c r="DT34" s="238" t="n"/>
      <c r="DU34" s="238" t="n"/>
      <c r="DV34" s="238" t="n"/>
      <c r="DW34" s="238" t="n"/>
      <c r="DX34" s="238" t="n"/>
      <c r="DY34" s="238" t="n"/>
      <c r="DZ34" s="23" t="n"/>
      <c r="FQ34" s="212" t="n"/>
      <c r="FR34" s="212" t="n"/>
      <c r="FS34" s="212" t="n"/>
      <c r="FT34" s="212" t="n"/>
      <c r="FU34" s="212" t="n"/>
      <c r="FV34" s="212" t="n"/>
      <c r="FW34" s="212" t="n"/>
      <c r="FX34" s="212" t="n"/>
      <c r="FY34" s="212" t="n"/>
      <c r="FZ34" s="212" t="n"/>
    </row>
    <row r="35" ht="39.95" customFormat="1" customHeight="1" s="5">
      <c r="A35" s="182" t="n">
        <v>0.083</v>
      </c>
      <c r="B35" s="7" t="inlineStr">
        <is>
          <t>OF THE MANWAY</t>
        </is>
      </c>
      <c r="C35" s="456" t="n"/>
      <c r="D35" s="13" t="n"/>
      <c r="H35" s="592" t="n"/>
      <c r="I35" s="593" t="n"/>
      <c r="M35" s="592" t="n"/>
      <c r="N35" s="593" t="n"/>
      <c r="R35" s="592" t="n"/>
      <c r="S35" s="593" t="n"/>
      <c r="W35" s="592" t="n"/>
      <c r="X35" s="593" t="n"/>
      <c r="AB35" s="592" t="n"/>
      <c r="AC35" s="593" t="n"/>
      <c r="AG35" s="592" t="n"/>
      <c r="AH35" s="593" t="n"/>
      <c r="AL35" s="592" t="n"/>
      <c r="AM35" s="593" t="n"/>
      <c r="AQ35" s="592" t="n"/>
      <c r="AR35" s="593" t="n"/>
      <c r="AV35" s="592" t="n"/>
      <c r="AW35" s="593" t="n"/>
      <c r="BA35" s="592" t="n"/>
      <c r="BB35" s="593" t="n"/>
      <c r="BF35" s="592" t="n"/>
      <c r="BG35" s="593" t="n"/>
      <c r="BK35" s="592" t="n"/>
      <c r="BL35" s="593" t="n"/>
      <c r="BP35" s="592" t="n"/>
      <c r="BQ35" s="593" t="n"/>
      <c r="BT35" s="592" t="n"/>
      <c r="BU35" s="455" t="n"/>
      <c r="BV35" s="455" t="n"/>
      <c r="BW35" s="238" t="n"/>
      <c r="BX35" s="238" t="n"/>
      <c r="BY35" s="238" t="n"/>
      <c r="BZ35" s="238" t="n"/>
      <c r="CA35" s="238" t="n"/>
      <c r="CB35" s="238" t="n"/>
      <c r="CC35" s="238" t="n"/>
      <c r="CD35" s="238" t="n"/>
      <c r="CE35" s="238" t="n"/>
      <c r="CF35" s="238" t="n"/>
      <c r="CG35" s="238" t="n"/>
      <c r="CH35" s="238" t="n"/>
      <c r="CI35" s="238" t="n"/>
      <c r="CJ35" s="238" t="n"/>
      <c r="CK35" s="238" t="n"/>
      <c r="CL35" s="238" t="n"/>
      <c r="CM35" s="238" t="n"/>
      <c r="CN35" s="238" t="n"/>
      <c r="CO35" s="238" t="n"/>
      <c r="CP35" s="238" t="n"/>
      <c r="CQ35" s="238" t="n"/>
      <c r="CR35" s="238" t="n"/>
      <c r="CS35" s="238" t="n"/>
      <c r="CT35" s="238" t="n"/>
      <c r="CU35" s="238" t="n"/>
      <c r="CV35" s="238" t="n"/>
      <c r="CW35" s="238" t="n"/>
      <c r="CX35" s="238" t="n"/>
      <c r="CY35" s="238" t="n"/>
      <c r="CZ35" s="238" t="n"/>
      <c r="DA35" s="238" t="n"/>
      <c r="DB35" s="238" t="n"/>
      <c r="DC35" s="238" t="n"/>
      <c r="DD35" s="238" t="n"/>
      <c r="DE35" s="238" t="n"/>
      <c r="DF35" s="238" t="n"/>
      <c r="DG35" s="238" t="n"/>
      <c r="DH35" s="238" t="n"/>
      <c r="DI35" s="238" t="n"/>
      <c r="DJ35" s="238" t="n"/>
      <c r="DK35" s="238" t="n"/>
      <c r="DL35" s="238" t="n"/>
      <c r="DM35" s="238" t="n"/>
      <c r="DN35" s="238" t="n"/>
      <c r="DO35" s="238" t="n"/>
      <c r="DP35" s="238" t="n"/>
      <c r="DQ35" s="238" t="n"/>
      <c r="DR35" s="238" t="n"/>
      <c r="DS35" s="238" t="n"/>
      <c r="DT35" s="238" t="n"/>
      <c r="DU35" s="238" t="n"/>
      <c r="DV35" s="238" t="n"/>
      <c r="DW35" s="238" t="n"/>
      <c r="DX35" s="238" t="n"/>
      <c r="DY35" s="238" t="n"/>
      <c r="DZ35" s="23" t="n"/>
      <c r="FQ35" s="212" t="n"/>
      <c r="FR35" s="212" t="n"/>
      <c r="FS35" s="212" t="n"/>
      <c r="FT35" s="212" t="n"/>
      <c r="FU35" s="212" t="n"/>
      <c r="FV35" s="212" t="n"/>
      <c r="FW35" s="212" t="n"/>
      <c r="FX35" s="212" t="n"/>
      <c r="FY35" s="212" t="n"/>
      <c r="FZ35" s="212" t="n"/>
    </row>
    <row r="36" ht="39.95" customFormat="1" customHeight="1" s="5">
      <c r="A36" s="456" t="n"/>
      <c r="B36" s="8" t="inlineStr">
        <is>
          <t>&amp; OSCILLATOR</t>
        </is>
      </c>
      <c r="C36" s="456" t="n"/>
      <c r="D36" s="594" t="n"/>
      <c r="E36" s="595" t="n"/>
      <c r="F36" s="595" t="n"/>
      <c r="G36" s="595" t="n"/>
      <c r="H36" s="596" t="n"/>
      <c r="I36" s="597" t="n"/>
      <c r="J36" s="595" t="n"/>
      <c r="K36" s="595" t="n"/>
      <c r="L36" s="595" t="n"/>
      <c r="M36" s="596" t="n"/>
      <c r="N36" s="597" t="n"/>
      <c r="O36" s="595" t="n"/>
      <c r="P36" s="595" t="n"/>
      <c r="Q36" s="595" t="n"/>
      <c r="R36" s="596" t="n"/>
      <c r="S36" s="597" t="n"/>
      <c r="T36" s="595" t="n"/>
      <c r="U36" s="595" t="n"/>
      <c r="V36" s="595" t="n"/>
      <c r="W36" s="596" t="n"/>
      <c r="X36" s="597" t="n"/>
      <c r="Y36" s="595" t="n"/>
      <c r="Z36" s="595" t="n"/>
      <c r="AA36" s="595" t="n"/>
      <c r="AB36" s="596" t="n"/>
      <c r="AC36" s="597" t="n"/>
      <c r="AD36" s="595" t="n"/>
      <c r="AE36" s="595" t="n"/>
      <c r="AF36" s="595" t="n"/>
      <c r="AG36" s="596" t="n"/>
      <c r="AH36" s="597" t="n"/>
      <c r="AI36" s="595" t="n"/>
      <c r="AJ36" s="595" t="n"/>
      <c r="AK36" s="595" t="n"/>
      <c r="AL36" s="596" t="n"/>
      <c r="AM36" s="597" t="n"/>
      <c r="AN36" s="595" t="n"/>
      <c r="AO36" s="595" t="n"/>
      <c r="AP36" s="595" t="n"/>
      <c r="AQ36" s="596" t="n"/>
      <c r="AR36" s="597" t="n"/>
      <c r="AS36" s="595" t="n"/>
      <c r="AT36" s="595" t="n"/>
      <c r="AU36" s="595" t="n"/>
      <c r="AV36" s="596" t="n"/>
      <c r="AW36" s="597" t="n"/>
      <c r="AX36" s="595" t="n"/>
      <c r="AY36" s="595" t="n"/>
      <c r="AZ36" s="595" t="n"/>
      <c r="BA36" s="596" t="n"/>
      <c r="BB36" s="597" t="n"/>
      <c r="BC36" s="595" t="n"/>
      <c r="BD36" s="595" t="n"/>
      <c r="BE36" s="595" t="n"/>
      <c r="BF36" s="596" t="n"/>
      <c r="BG36" s="597" t="n"/>
      <c r="BH36" s="595" t="n"/>
      <c r="BI36" s="595" t="n"/>
      <c r="BJ36" s="595" t="n"/>
      <c r="BK36" s="596" t="n"/>
      <c r="BL36" s="597" t="n"/>
      <c r="BM36" s="595" t="n"/>
      <c r="BN36" s="595" t="n"/>
      <c r="BO36" s="595" t="n"/>
      <c r="BP36" s="596" t="n"/>
      <c r="BQ36" s="597" t="n"/>
      <c r="BR36" s="595" t="n"/>
      <c r="BS36" s="595" t="n"/>
      <c r="BT36" s="596" t="n"/>
      <c r="BU36" s="457" t="n"/>
      <c r="BV36" s="457" t="n"/>
      <c r="BW36" s="238" t="n"/>
      <c r="BX36" s="238" t="n"/>
      <c r="BY36" s="238" t="n"/>
      <c r="BZ36" s="238" t="n"/>
      <c r="CA36" s="238" t="n"/>
      <c r="CB36" s="238" t="n"/>
      <c r="CC36" s="238" t="n"/>
      <c r="CD36" s="238" t="n"/>
      <c r="CE36" s="238" t="n"/>
      <c r="CF36" s="238" t="n"/>
      <c r="CG36" s="238" t="n"/>
      <c r="CH36" s="238" t="n"/>
      <c r="CI36" s="238" t="n"/>
      <c r="CJ36" s="238" t="n"/>
      <c r="CK36" s="238" t="n"/>
      <c r="CL36" s="238" t="n"/>
      <c r="CM36" s="238" t="n"/>
      <c r="CN36" s="238" t="n"/>
      <c r="CO36" s="238" t="n"/>
      <c r="CP36" s="238" t="n"/>
      <c r="CQ36" s="238" t="n"/>
      <c r="CR36" s="238" t="n"/>
      <c r="CS36" s="238" t="n"/>
      <c r="CT36" s="238" t="n"/>
      <c r="CU36" s="238" t="n"/>
      <c r="CV36" s="238" t="n"/>
      <c r="CW36" s="238" t="n"/>
      <c r="CX36" s="238" t="n"/>
      <c r="CY36" s="238" t="n"/>
      <c r="CZ36" s="238" t="n"/>
      <c r="DA36" s="238" t="n"/>
      <c r="DB36" s="238" t="n"/>
      <c r="DC36" s="238" t="n"/>
      <c r="DD36" s="238" t="n"/>
      <c r="DE36" s="238" t="n"/>
      <c r="DF36" s="238" t="n"/>
      <c r="DG36" s="238" t="n"/>
      <c r="DH36" s="238" t="n"/>
      <c r="DI36" s="238" t="n"/>
      <c r="DJ36" s="238" t="n"/>
      <c r="DK36" s="238" t="n"/>
      <c r="DL36" s="238" t="n"/>
      <c r="DM36" s="238" t="n"/>
      <c r="DN36" s="238" t="n"/>
      <c r="DO36" s="238" t="n"/>
      <c r="DP36" s="238" t="n"/>
      <c r="DQ36" s="238" t="n"/>
      <c r="DR36" s="238" t="n"/>
      <c r="DS36" s="238" t="n"/>
      <c r="DT36" s="238" t="n"/>
      <c r="DU36" s="238" t="n"/>
      <c r="DV36" s="238" t="n"/>
      <c r="DW36" s="238" t="n"/>
      <c r="DX36" s="238" t="n"/>
      <c r="DY36" s="238" t="n"/>
      <c r="DZ36" s="23" t="n"/>
      <c r="FQ36" s="212" t="n"/>
      <c r="FR36" s="212" t="n"/>
      <c r="FS36" s="212" t="n"/>
      <c r="FT36" s="212" t="n"/>
      <c r="FU36" s="212" t="n"/>
      <c r="FV36" s="212" t="n"/>
      <c r="FW36" s="212" t="n"/>
      <c r="FX36" s="212" t="n"/>
      <c r="FY36" s="212" t="n"/>
      <c r="FZ36" s="212" t="n"/>
    </row>
    <row r="37" ht="39.95" customFormat="1" customHeight="1" s="5">
      <c r="A37" s="10" t="inlineStr">
        <is>
          <t>A</t>
        </is>
      </c>
      <c r="B37" s="6" t="inlineStr">
        <is>
          <t>POSITION 'D'</t>
        </is>
      </c>
      <c r="C37" s="415" t="inlineStr">
        <is>
          <t>LOWEST</t>
        </is>
      </c>
      <c r="D37" s="613" t="inlineStr"/>
      <c r="E37" s="614" t="inlineStr"/>
      <c r="F37" s="614" t="inlineStr"/>
      <c r="G37" s="614">
        <f>MIN(Thickness!G37:G39)</f>
        <v/>
      </c>
      <c r="H37" s="615">
        <f>MIN(Thickness!H37:H39)</f>
        <v/>
      </c>
      <c r="I37" s="616" t="inlineStr">
        <is>
          <t>RT</t>
        </is>
      </c>
      <c r="J37" s="614">
        <f>MIN(Thickness!J37:J39)</f>
        <v/>
      </c>
      <c r="K37" s="614">
        <f>MIN(Thickness!K37:K39)</f>
        <v/>
      </c>
      <c r="L37" s="614">
        <f>MIN(Thickness!L37:L39)</f>
        <v/>
      </c>
      <c r="M37" s="615" t="inlineStr">
        <is>
          <t>RT</t>
        </is>
      </c>
      <c r="N37" s="616" t="inlineStr">
        <is>
          <t>RT</t>
        </is>
      </c>
      <c r="O37" s="614">
        <f>MIN(Thickness!O37:O39)</f>
        <v/>
      </c>
      <c r="P37" s="614">
        <f>MIN(Thickness!P37:P39)</f>
        <v/>
      </c>
      <c r="Q37" s="614" t="inlineStr"/>
      <c r="R37" s="615" t="inlineStr"/>
      <c r="S37" s="616" t="inlineStr"/>
      <c r="T37" s="614" t="inlineStr"/>
      <c r="U37" s="614" t="inlineStr"/>
      <c r="V37" s="614" t="inlineStr"/>
      <c r="W37" s="615" t="inlineStr"/>
      <c r="X37" s="616" t="inlineStr"/>
      <c r="Y37" s="614" t="inlineStr"/>
      <c r="Z37" s="614" t="inlineStr"/>
      <c r="AA37" s="614" t="inlineStr"/>
      <c r="AB37" s="615" t="inlineStr"/>
      <c r="AC37" s="616" t="inlineStr"/>
      <c r="AD37" s="614" t="inlineStr"/>
      <c r="AE37" s="614" t="inlineStr"/>
      <c r="AF37" s="614" t="inlineStr"/>
      <c r="AG37" s="615" t="inlineStr"/>
      <c r="AH37" s="616" t="inlineStr"/>
      <c r="AI37" s="614">
        <f>MIN(Thickness!AI37:AI39)</f>
        <v/>
      </c>
      <c r="AJ37" s="614">
        <f>MIN(Thickness!AJ37:AJ39)</f>
        <v/>
      </c>
      <c r="AK37" s="614">
        <f>MIN(Thickness!AK37:AK39)</f>
        <v/>
      </c>
      <c r="AL37" s="615">
        <f>MIN(Thickness!AL37:AL39)</f>
        <v/>
      </c>
      <c r="AM37" s="616">
        <f>MIN(Thickness!AM37:AM39)</f>
        <v/>
      </c>
      <c r="AN37" s="614">
        <f>MIN(Thickness!AN37:AN39)</f>
        <v/>
      </c>
      <c r="AO37" s="614" t="inlineStr"/>
      <c r="AP37" s="614" t="inlineStr"/>
      <c r="AQ37" s="615" t="inlineStr"/>
      <c r="AR37" s="616" t="inlineStr"/>
      <c r="AS37" s="614" t="inlineStr"/>
      <c r="AT37" s="614" t="inlineStr"/>
      <c r="AU37" s="614" t="inlineStr"/>
      <c r="AV37" s="615" t="inlineStr"/>
      <c r="AW37" s="616" t="inlineStr"/>
      <c r="AX37" s="614" t="inlineStr"/>
      <c r="AY37" s="614" t="inlineStr"/>
      <c r="AZ37" s="614" t="inlineStr"/>
      <c r="BA37" s="615" t="inlineStr"/>
      <c r="BB37" s="616" t="inlineStr"/>
      <c r="BC37" s="614" t="inlineStr"/>
      <c r="BD37" s="614" t="inlineStr"/>
      <c r="BE37" s="614" t="inlineStr"/>
      <c r="BF37" s="615" t="inlineStr"/>
      <c r="BG37" s="616" t="inlineStr"/>
      <c r="BH37" s="614" t="inlineStr"/>
      <c r="BI37" s="614" t="inlineStr"/>
      <c r="BJ37" s="614" t="inlineStr"/>
      <c r="BK37" s="615" t="inlineStr"/>
      <c r="BL37" s="616" t="inlineStr"/>
      <c r="BM37" s="614" t="inlineStr"/>
      <c r="BN37" s="614" t="inlineStr"/>
      <c r="BO37" s="614" t="inlineStr"/>
      <c r="BP37" s="615" t="inlineStr"/>
      <c r="BQ37" s="616" t="inlineStr"/>
      <c r="BR37" s="614" t="inlineStr"/>
      <c r="BS37" s="614" t="inlineStr"/>
      <c r="BT37" s="615" t="inlineStr"/>
      <c r="BU37" s="454">
        <f>IFERROR(AVERAGE(D37:BT39),0)</f>
        <v/>
      </c>
      <c r="BV37" s="454">
        <f>MIN(D37:BT39)</f>
        <v/>
      </c>
      <c r="BW37" s="238" t="n"/>
      <c r="BX37" s="238" t="n"/>
      <c r="BY37" s="238" t="n"/>
      <c r="BZ37" s="238" t="n"/>
      <c r="CA37" s="238" t="n"/>
      <c r="CB37" s="238" t="n"/>
      <c r="CC37" s="238" t="n"/>
      <c r="CD37" s="238" t="n"/>
      <c r="CE37" s="238" t="n"/>
      <c r="CF37" s="238" t="n"/>
      <c r="CG37" s="238" t="n"/>
      <c r="CH37" s="238" t="n"/>
      <c r="CI37" s="238" t="n"/>
      <c r="CJ37" s="238" t="n"/>
      <c r="CK37" s="238" t="n"/>
      <c r="CL37" s="238" t="n"/>
      <c r="CM37" s="238" t="n"/>
      <c r="CN37" s="238" t="n"/>
      <c r="CO37" s="238" t="n"/>
      <c r="CP37" s="238" t="n"/>
      <c r="CQ37" s="238" t="n"/>
      <c r="CR37" s="238" t="n"/>
      <c r="CS37" s="238" t="n"/>
      <c r="CT37" s="238" t="n"/>
      <c r="CU37" s="238" t="n"/>
      <c r="CV37" s="238" t="n"/>
      <c r="CW37" s="238" t="n"/>
      <c r="CX37" s="238" t="n"/>
      <c r="CY37" s="238" t="n"/>
      <c r="CZ37" s="238" t="n"/>
      <c r="DA37" s="238" t="n"/>
      <c r="DB37" s="238" t="n"/>
      <c r="DC37" s="238" t="n"/>
      <c r="DD37" s="238" t="n"/>
      <c r="DE37" s="238" t="n"/>
      <c r="DF37" s="238" t="n"/>
      <c r="DG37" s="238" t="n"/>
      <c r="DH37" s="238" t="n"/>
      <c r="DI37" s="238" t="n"/>
      <c r="DJ37" s="238" t="n"/>
      <c r="DK37" s="238" t="n"/>
      <c r="DL37" s="238" t="n"/>
      <c r="DM37" s="238" t="n"/>
      <c r="DN37" s="238" t="n"/>
      <c r="DO37" s="238" t="n"/>
      <c r="DP37" s="238" t="n"/>
      <c r="DQ37" s="238" t="n"/>
      <c r="DR37" s="238" t="n"/>
      <c r="DS37" s="238" t="n"/>
      <c r="DT37" s="238" t="n"/>
      <c r="DU37" s="238" t="n"/>
      <c r="DV37" s="238" t="n"/>
      <c r="DW37" s="238" t="n"/>
      <c r="DX37" s="238" t="n"/>
      <c r="DY37" s="238" t="n"/>
      <c r="DZ37" s="23" t="n"/>
      <c r="FQ37" s="212" t="n"/>
      <c r="FR37" s="212" t="n"/>
      <c r="FS37" s="212" t="n"/>
      <c r="FT37" s="212" t="n"/>
      <c r="FU37" s="212" t="n"/>
      <c r="FV37" s="212" t="n"/>
      <c r="FW37" s="212" t="n"/>
      <c r="FX37" s="212" t="n"/>
      <c r="FY37" s="212" t="n"/>
      <c r="FZ37" s="212" t="n"/>
    </row>
    <row r="38" ht="39.95" customFormat="1" customHeight="1" s="5">
      <c r="A38" s="182" t="n">
        <v>0.083</v>
      </c>
      <c r="B38" s="7" t="inlineStr">
        <is>
          <t>OF THE MANWAY</t>
        </is>
      </c>
      <c r="C38" s="456" t="n"/>
      <c r="D38" s="13" t="n"/>
      <c r="H38" s="592" t="n"/>
      <c r="I38" s="593" t="n"/>
      <c r="M38" s="592" t="n"/>
      <c r="N38" s="593" t="n"/>
      <c r="R38" s="592" t="n"/>
      <c r="S38" s="593" t="n"/>
      <c r="W38" s="592" t="n"/>
      <c r="X38" s="593" t="n"/>
      <c r="AB38" s="592" t="n"/>
      <c r="AC38" s="593" t="n"/>
      <c r="AG38" s="592" t="n"/>
      <c r="AH38" s="593" t="n"/>
      <c r="AL38" s="592" t="n"/>
      <c r="AM38" s="593" t="n"/>
      <c r="AQ38" s="592" t="n"/>
      <c r="AR38" s="593" t="n"/>
      <c r="AV38" s="592" t="n"/>
      <c r="AW38" s="593" t="n"/>
      <c r="BA38" s="592" t="n"/>
      <c r="BB38" s="593" t="n"/>
      <c r="BF38" s="592" t="n"/>
      <c r="BG38" s="593" t="n"/>
      <c r="BK38" s="592" t="n"/>
      <c r="BL38" s="593" t="n"/>
      <c r="BP38" s="592" t="n"/>
      <c r="BQ38" s="593" t="n"/>
      <c r="BT38" s="592" t="n"/>
      <c r="BU38" s="455" t="n"/>
      <c r="BV38" s="455" t="n"/>
      <c r="BW38" s="238" t="n"/>
      <c r="BX38" s="238" t="n"/>
      <c r="BY38" s="238" t="n"/>
      <c r="BZ38" s="238" t="n"/>
      <c r="CA38" s="238" t="n"/>
      <c r="CB38" s="238" t="n"/>
      <c r="CC38" s="238" t="n"/>
      <c r="CD38" s="238" t="n"/>
      <c r="CE38" s="238" t="n"/>
      <c r="CF38" s="238" t="n"/>
      <c r="CG38" s="238" t="n"/>
      <c r="CH38" s="238" t="n"/>
      <c r="CI38" s="238" t="n"/>
      <c r="CJ38" s="238" t="n"/>
      <c r="CK38" s="238" t="n"/>
      <c r="CL38" s="238" t="n"/>
      <c r="CM38" s="238" t="n"/>
      <c r="CN38" s="238" t="n"/>
      <c r="CO38" s="238" t="n"/>
      <c r="CP38" s="238" t="n"/>
      <c r="CQ38" s="238" t="n"/>
      <c r="CR38" s="238" t="n"/>
      <c r="CS38" s="238" t="n"/>
      <c r="CT38" s="238" t="n"/>
      <c r="CU38" s="238" t="n"/>
      <c r="CV38" s="238" t="n"/>
      <c r="CW38" s="238" t="n"/>
      <c r="CX38" s="238" t="n"/>
      <c r="CY38" s="238" t="n"/>
      <c r="CZ38" s="238" t="n"/>
      <c r="DA38" s="238" t="n"/>
      <c r="DB38" s="238" t="n"/>
      <c r="DC38" s="238" t="n"/>
      <c r="DD38" s="238" t="n"/>
      <c r="DE38" s="238" t="n"/>
      <c r="DF38" s="238" t="n"/>
      <c r="DG38" s="238" t="n"/>
      <c r="DH38" s="238" t="n"/>
      <c r="DI38" s="238" t="n"/>
      <c r="DJ38" s="238" t="n"/>
      <c r="DK38" s="238" t="n"/>
      <c r="DL38" s="238" t="n"/>
      <c r="DM38" s="238" t="n"/>
      <c r="DN38" s="238" t="n"/>
      <c r="DO38" s="238" t="n"/>
      <c r="DP38" s="238" t="n"/>
      <c r="DQ38" s="238" t="n"/>
      <c r="DR38" s="238" t="n"/>
      <c r="DS38" s="238" t="n"/>
      <c r="DT38" s="238" t="n"/>
      <c r="DU38" s="238" t="n"/>
      <c r="DV38" s="238" t="n"/>
      <c r="DW38" s="238" t="n"/>
      <c r="DX38" s="238" t="n"/>
      <c r="DY38" s="238" t="n"/>
      <c r="DZ38" s="23" t="n"/>
      <c r="FQ38" s="212" t="n"/>
      <c r="FR38" s="212" t="n"/>
      <c r="FS38" s="212" t="n"/>
      <c r="FT38" s="212" t="n"/>
      <c r="FU38" s="212" t="n"/>
      <c r="FV38" s="212" t="n"/>
      <c r="FW38" s="212" t="n"/>
      <c r="FX38" s="212" t="n"/>
      <c r="FY38" s="212" t="n"/>
      <c r="FZ38" s="212" t="n"/>
    </row>
    <row r="39" ht="39.95" customFormat="1" customHeight="1" s="5">
      <c r="A39" s="456" t="n"/>
      <c r="B39" s="8" t="inlineStr">
        <is>
          <t>&amp; OSCILLATOR</t>
        </is>
      </c>
      <c r="C39" s="456" t="n"/>
      <c r="D39" s="594" t="n"/>
      <c r="E39" s="595" t="n"/>
      <c r="F39" s="595" t="n"/>
      <c r="G39" s="595" t="n"/>
      <c r="H39" s="596" t="n"/>
      <c r="I39" s="597" t="n"/>
      <c r="J39" s="595" t="n"/>
      <c r="K39" s="595" t="n"/>
      <c r="L39" s="595" t="n"/>
      <c r="M39" s="596" t="n"/>
      <c r="N39" s="597" t="n"/>
      <c r="O39" s="595" t="n"/>
      <c r="P39" s="595" t="n"/>
      <c r="Q39" s="595" t="n"/>
      <c r="R39" s="596" t="n"/>
      <c r="S39" s="597" t="n"/>
      <c r="T39" s="595" t="n"/>
      <c r="U39" s="595" t="n"/>
      <c r="V39" s="595" t="n"/>
      <c r="W39" s="596" t="n"/>
      <c r="X39" s="597" t="n"/>
      <c r="Y39" s="595" t="n"/>
      <c r="Z39" s="595" t="n"/>
      <c r="AA39" s="595" t="n"/>
      <c r="AB39" s="596" t="n"/>
      <c r="AC39" s="597" t="n"/>
      <c r="AD39" s="595" t="n"/>
      <c r="AE39" s="595" t="n"/>
      <c r="AF39" s="595" t="n"/>
      <c r="AG39" s="596" t="n"/>
      <c r="AH39" s="597" t="n"/>
      <c r="AI39" s="595" t="n"/>
      <c r="AJ39" s="595" t="n"/>
      <c r="AK39" s="595" t="n"/>
      <c r="AL39" s="596" t="n"/>
      <c r="AM39" s="597" t="n"/>
      <c r="AN39" s="595" t="n"/>
      <c r="AO39" s="595" t="n"/>
      <c r="AP39" s="595" t="n"/>
      <c r="AQ39" s="596" t="n"/>
      <c r="AR39" s="597" t="n"/>
      <c r="AS39" s="595" t="n"/>
      <c r="AT39" s="595" t="n"/>
      <c r="AU39" s="595" t="n"/>
      <c r="AV39" s="596" t="n"/>
      <c r="AW39" s="597" t="n"/>
      <c r="AX39" s="595" t="n"/>
      <c r="AY39" s="595" t="n"/>
      <c r="AZ39" s="595" t="n"/>
      <c r="BA39" s="596" t="n"/>
      <c r="BB39" s="597" t="n"/>
      <c r="BC39" s="595" t="n"/>
      <c r="BD39" s="595" t="n"/>
      <c r="BE39" s="595" t="n"/>
      <c r="BF39" s="596" t="n"/>
      <c r="BG39" s="597" t="n"/>
      <c r="BH39" s="595" t="n"/>
      <c r="BI39" s="595" t="n"/>
      <c r="BJ39" s="595" t="n"/>
      <c r="BK39" s="596" t="n"/>
      <c r="BL39" s="597" t="n"/>
      <c r="BM39" s="595" t="n"/>
      <c r="BN39" s="595" t="n"/>
      <c r="BO39" s="595" t="n"/>
      <c r="BP39" s="596" t="n"/>
      <c r="BQ39" s="597" t="n"/>
      <c r="BR39" s="595" t="n"/>
      <c r="BS39" s="595" t="n"/>
      <c r="BT39" s="596" t="n"/>
      <c r="BU39" s="457" t="n"/>
      <c r="BV39" s="457" t="n"/>
      <c r="BW39" s="238" t="n"/>
      <c r="BX39" s="238" t="n"/>
      <c r="BY39" s="238" t="n"/>
      <c r="BZ39" s="238" t="n"/>
      <c r="CA39" s="238" t="n"/>
      <c r="CB39" s="238" t="n"/>
      <c r="CC39" s="238" t="n"/>
      <c r="CD39" s="238" t="n"/>
      <c r="CE39" s="238" t="n"/>
      <c r="CF39" s="238" t="n"/>
      <c r="CG39" s="238" t="n"/>
      <c r="CH39" s="238" t="n"/>
      <c r="CI39" s="238" t="n"/>
      <c r="CJ39" s="238" t="n"/>
      <c r="CK39" s="238" t="n"/>
      <c r="CL39" s="238" t="n"/>
      <c r="CM39" s="238" t="n"/>
      <c r="CN39" s="238" t="n"/>
      <c r="CO39" s="238" t="n"/>
      <c r="CP39" s="238" t="n"/>
      <c r="CQ39" s="238" t="n"/>
      <c r="CR39" s="238" t="n"/>
      <c r="CS39" s="238" t="n"/>
      <c r="CT39" s="238" t="n"/>
      <c r="CU39" s="238" t="n"/>
      <c r="CV39" s="238" t="n"/>
      <c r="CW39" s="238" t="n"/>
      <c r="CX39" s="238" t="n"/>
      <c r="CY39" s="238" t="n"/>
      <c r="CZ39" s="238" t="n"/>
      <c r="DA39" s="238" t="n"/>
      <c r="DB39" s="238" t="n"/>
      <c r="DC39" s="238" t="n"/>
      <c r="DD39" s="238" t="n"/>
      <c r="DE39" s="238" t="n"/>
      <c r="DF39" s="238" t="n"/>
      <c r="DG39" s="238" t="n"/>
      <c r="DH39" s="238" t="n"/>
      <c r="DI39" s="238" t="n"/>
      <c r="DJ39" s="238" t="n"/>
      <c r="DK39" s="238" t="n"/>
      <c r="DL39" s="238" t="n"/>
      <c r="DM39" s="238" t="n"/>
      <c r="DN39" s="238" t="n"/>
      <c r="DO39" s="238" t="n"/>
      <c r="DP39" s="238" t="n"/>
      <c r="DQ39" s="238" t="n"/>
      <c r="DR39" s="238" t="n"/>
      <c r="DS39" s="238" t="n"/>
      <c r="DT39" s="238" t="n"/>
      <c r="DU39" s="238" t="n"/>
      <c r="DV39" s="238" t="n"/>
      <c r="DW39" s="238" t="n"/>
      <c r="DX39" s="238" t="n"/>
      <c r="DY39" s="238" t="n"/>
      <c r="DZ39" s="23" t="n"/>
      <c r="FQ39" s="212" t="n"/>
      <c r="FR39" s="212" t="n"/>
      <c r="FS39" s="212" t="n"/>
      <c r="FT39" s="212" t="n"/>
      <c r="FU39" s="212" t="n"/>
      <c r="FV39" s="212" t="n"/>
      <c r="FW39" s="212" t="n"/>
      <c r="FX39" s="212" t="n"/>
      <c r="FY39" s="212" t="n"/>
      <c r="FZ39" s="212" t="n"/>
    </row>
    <row r="40" ht="39.95" customFormat="1" customHeight="1" s="5">
      <c r="A40" s="10" t="inlineStr">
        <is>
          <t>A</t>
        </is>
      </c>
      <c r="B40" s="6" t="inlineStr">
        <is>
          <t>POSITION 'E'</t>
        </is>
      </c>
      <c r="C40" s="415" t="inlineStr">
        <is>
          <t>LOWEST</t>
        </is>
      </c>
      <c r="D40" s="613" t="inlineStr"/>
      <c r="E40" s="614" t="inlineStr"/>
      <c r="F40" s="614" t="inlineStr"/>
      <c r="G40" s="614">
        <f>MIN(Thickness!G40:G42)</f>
        <v/>
      </c>
      <c r="H40" s="615">
        <f>MIN(Thickness!H40:H42)</f>
        <v/>
      </c>
      <c r="I40" s="616">
        <f>MIN(Thickness!I40:I42)</f>
        <v/>
      </c>
      <c r="J40" s="614">
        <f>MIN(Thickness!J40:J42)</f>
        <v/>
      </c>
      <c r="K40" s="614">
        <f>MIN(Thickness!K40:K42)</f>
        <v/>
      </c>
      <c r="L40" s="614">
        <f>MIN(Thickness!L40:L42)</f>
        <v/>
      </c>
      <c r="M40" s="615">
        <f>MIN(Thickness!M40:M42)</f>
        <v/>
      </c>
      <c r="N40" s="616">
        <f>MIN(Thickness!N40:N42)</f>
        <v/>
      </c>
      <c r="O40" s="614">
        <f>MIN(Thickness!O40:O42)</f>
        <v/>
      </c>
      <c r="P40" s="614">
        <f>MIN(Thickness!P40:P42)</f>
        <v/>
      </c>
      <c r="Q40" s="614" t="inlineStr"/>
      <c r="R40" s="615" t="inlineStr"/>
      <c r="S40" s="616" t="inlineStr"/>
      <c r="T40" s="614" t="inlineStr"/>
      <c r="U40" s="614" t="inlineStr"/>
      <c r="V40" s="614" t="inlineStr"/>
      <c r="W40" s="615" t="inlineStr"/>
      <c r="X40" s="616" t="inlineStr"/>
      <c r="Y40" s="614" t="inlineStr"/>
      <c r="Z40" s="614" t="inlineStr"/>
      <c r="AA40" s="614" t="inlineStr"/>
      <c r="AB40" s="615" t="inlineStr"/>
      <c r="AC40" s="616" t="inlineStr"/>
      <c r="AD40" s="614" t="inlineStr"/>
      <c r="AE40" s="614" t="inlineStr"/>
      <c r="AF40" s="614" t="inlineStr"/>
      <c r="AG40" s="615" t="inlineStr"/>
      <c r="AH40" s="616" t="inlineStr"/>
      <c r="AI40" s="614">
        <f>MIN(Thickness!AI40:AI42)</f>
        <v/>
      </c>
      <c r="AJ40" s="614">
        <f>MIN(Thickness!AJ40:AJ42)</f>
        <v/>
      </c>
      <c r="AK40" s="614">
        <f>MIN(Thickness!AK40:AK42)</f>
        <v/>
      </c>
      <c r="AL40" s="615">
        <f>MIN(Thickness!AL40:AL42)</f>
        <v/>
      </c>
      <c r="AM40" s="616">
        <f>MIN(Thickness!AM40:AM42)</f>
        <v/>
      </c>
      <c r="AN40" s="614">
        <f>MIN(Thickness!AN40:AN42)</f>
        <v/>
      </c>
      <c r="AO40" s="614" t="inlineStr"/>
      <c r="AP40" s="614" t="inlineStr"/>
      <c r="AQ40" s="615" t="inlineStr"/>
      <c r="AR40" s="616" t="inlineStr"/>
      <c r="AS40" s="614" t="inlineStr"/>
      <c r="AT40" s="614" t="inlineStr"/>
      <c r="AU40" s="614" t="inlineStr"/>
      <c r="AV40" s="615" t="inlineStr"/>
      <c r="AW40" s="616" t="inlineStr"/>
      <c r="AX40" s="614" t="inlineStr"/>
      <c r="AY40" s="614" t="inlineStr"/>
      <c r="AZ40" s="614" t="inlineStr"/>
      <c r="BA40" s="615" t="inlineStr"/>
      <c r="BB40" s="616" t="inlineStr"/>
      <c r="BC40" s="614" t="inlineStr"/>
      <c r="BD40" s="614" t="inlineStr"/>
      <c r="BE40" s="614" t="inlineStr"/>
      <c r="BF40" s="615" t="inlineStr"/>
      <c r="BG40" s="616" t="inlineStr"/>
      <c r="BH40" s="614" t="inlineStr"/>
      <c r="BI40" s="614" t="inlineStr"/>
      <c r="BJ40" s="614" t="inlineStr"/>
      <c r="BK40" s="615" t="inlineStr"/>
      <c r="BL40" s="616" t="inlineStr"/>
      <c r="BM40" s="614" t="inlineStr"/>
      <c r="BN40" s="614" t="inlineStr"/>
      <c r="BO40" s="614" t="inlineStr"/>
      <c r="BP40" s="615" t="inlineStr"/>
      <c r="BQ40" s="616" t="inlineStr"/>
      <c r="BR40" s="614" t="inlineStr"/>
      <c r="BS40" s="614" t="inlineStr"/>
      <c r="BT40" s="615" t="inlineStr"/>
      <c r="BU40" s="454">
        <f>IFERROR(AVERAGE(D40:BT42),0)</f>
        <v/>
      </c>
      <c r="BV40" s="454">
        <f>MIN(D40:BT42)</f>
        <v/>
      </c>
      <c r="BW40" s="238" t="n"/>
      <c r="BX40" s="238" t="n"/>
      <c r="BY40" s="238" t="n"/>
      <c r="BZ40" s="238" t="n"/>
      <c r="CA40" s="238" t="n"/>
      <c r="CB40" s="238" t="n"/>
      <c r="CC40" s="238" t="n"/>
      <c r="CD40" s="238" t="n"/>
      <c r="CE40" s="238" t="n"/>
      <c r="CF40" s="238" t="n"/>
      <c r="CG40" s="238" t="n"/>
      <c r="CH40" s="238" t="n"/>
      <c r="CI40" s="238" t="n"/>
      <c r="CJ40" s="238" t="n"/>
      <c r="CK40" s="238" t="n"/>
      <c r="CL40" s="238" t="n"/>
      <c r="CM40" s="238" t="n"/>
      <c r="CN40" s="238" t="n"/>
      <c r="CO40" s="238" t="n"/>
      <c r="CP40" s="238" t="n"/>
      <c r="CQ40" s="238" t="n"/>
      <c r="CR40" s="238" t="n"/>
      <c r="CS40" s="238" t="n"/>
      <c r="CT40" s="238" t="n"/>
      <c r="CU40" s="238" t="n"/>
      <c r="CV40" s="238" t="n"/>
      <c r="CW40" s="238" t="n"/>
      <c r="CX40" s="238" t="n"/>
      <c r="CY40" s="238" t="n"/>
      <c r="CZ40" s="238" t="n"/>
      <c r="DA40" s="238" t="n"/>
      <c r="DB40" s="238" t="n"/>
      <c r="DC40" s="238" t="n"/>
      <c r="DD40" s="238" t="n"/>
      <c r="DE40" s="238" t="n"/>
      <c r="DF40" s="238" t="n"/>
      <c r="DG40" s="238" t="n"/>
      <c r="DH40" s="238" t="n"/>
      <c r="DI40" s="238" t="n"/>
      <c r="DJ40" s="238" t="n"/>
      <c r="DK40" s="238" t="n"/>
      <c r="DL40" s="238" t="n"/>
      <c r="DM40" s="238" t="n"/>
      <c r="DN40" s="238" t="n"/>
      <c r="DO40" s="238" t="n"/>
      <c r="DP40" s="238" t="n"/>
      <c r="DQ40" s="238" t="n"/>
      <c r="DR40" s="238" t="n"/>
      <c r="DS40" s="238" t="n"/>
      <c r="DT40" s="238" t="n"/>
      <c r="DU40" s="238" t="n"/>
      <c r="DV40" s="238" t="n"/>
      <c r="DW40" s="238" t="n"/>
      <c r="DX40" s="238" t="n"/>
      <c r="DY40" s="238" t="n"/>
      <c r="DZ40" s="23" t="n"/>
      <c r="FQ40" s="212" t="n"/>
      <c r="FR40" s="212" t="n"/>
      <c r="FS40" s="212" t="n"/>
      <c r="FT40" s="212" t="n"/>
      <c r="FU40" s="212" t="n"/>
      <c r="FV40" s="212" t="n"/>
      <c r="FW40" s="212" t="n"/>
      <c r="FX40" s="212" t="n"/>
      <c r="FY40" s="212" t="n"/>
      <c r="FZ40" s="212" t="n"/>
    </row>
    <row r="41" ht="39.95" customFormat="1" customHeight="1" s="5">
      <c r="A41" s="182" t="n">
        <v>0.083</v>
      </c>
      <c r="B41" s="7" t="inlineStr">
        <is>
          <t>OF THE MANWAY</t>
        </is>
      </c>
      <c r="C41" s="456" t="n"/>
      <c r="D41" s="13" t="n"/>
      <c r="H41" s="592" t="n"/>
      <c r="I41" s="593" t="n"/>
      <c r="M41" s="592" t="n"/>
      <c r="N41" s="593" t="n"/>
      <c r="R41" s="592" t="n"/>
      <c r="S41" s="593" t="n"/>
      <c r="W41" s="592" t="n"/>
      <c r="X41" s="593" t="n"/>
      <c r="AB41" s="592" t="n"/>
      <c r="AC41" s="593" t="n"/>
      <c r="AG41" s="592" t="n"/>
      <c r="AH41" s="593" t="n"/>
      <c r="AL41" s="592" t="n"/>
      <c r="AM41" s="593" t="n"/>
      <c r="AQ41" s="592" t="n"/>
      <c r="AR41" s="593" t="n"/>
      <c r="AV41" s="592" t="n"/>
      <c r="AW41" s="593" t="n"/>
      <c r="BA41" s="592" t="n"/>
      <c r="BB41" s="593" t="n"/>
      <c r="BF41" s="592" t="n"/>
      <c r="BG41" s="593" t="n"/>
      <c r="BK41" s="592" t="n"/>
      <c r="BL41" s="593" t="n"/>
      <c r="BP41" s="592" t="n"/>
      <c r="BQ41" s="593" t="n"/>
      <c r="BT41" s="592" t="n"/>
      <c r="BU41" s="455" t="n"/>
      <c r="BV41" s="455" t="n"/>
      <c r="BW41" s="238" t="n"/>
      <c r="BX41" s="238" t="n"/>
      <c r="BY41" s="238" t="n"/>
      <c r="BZ41" s="238" t="n"/>
      <c r="CA41" s="238" t="n"/>
      <c r="CB41" s="238" t="n"/>
      <c r="CC41" s="238" t="n"/>
      <c r="CD41" s="238" t="n"/>
      <c r="CE41" s="238" t="n"/>
      <c r="CF41" s="238" t="n"/>
      <c r="CG41" s="238" t="n"/>
      <c r="CH41" s="238" t="n"/>
      <c r="CI41" s="238" t="n"/>
      <c r="CJ41" s="238" t="n"/>
      <c r="CK41" s="238" t="n"/>
      <c r="CL41" s="238" t="n"/>
      <c r="CM41" s="238" t="n"/>
      <c r="CN41" s="238" t="n"/>
      <c r="CO41" s="238" t="n"/>
      <c r="CP41" s="238" t="n"/>
      <c r="CQ41" s="238" t="n"/>
      <c r="CR41" s="238" t="n"/>
      <c r="CS41" s="238" t="n"/>
      <c r="CT41" s="238" t="n"/>
      <c r="CU41" s="238" t="n"/>
      <c r="CV41" s="238" t="n"/>
      <c r="CW41" s="238" t="n"/>
      <c r="CX41" s="238" t="n"/>
      <c r="CY41" s="238" t="n"/>
      <c r="CZ41" s="238" t="n"/>
      <c r="DA41" s="238" t="n"/>
      <c r="DB41" s="238" t="n"/>
      <c r="DC41" s="238" t="n"/>
      <c r="DD41" s="238" t="n"/>
      <c r="DE41" s="238" t="n"/>
      <c r="DF41" s="238" t="n"/>
      <c r="DG41" s="238" t="n"/>
      <c r="DH41" s="238" t="n"/>
      <c r="DI41" s="238" t="n"/>
      <c r="DJ41" s="238" t="n"/>
      <c r="DK41" s="238" t="n"/>
      <c r="DL41" s="238" t="n"/>
      <c r="DM41" s="238" t="n"/>
      <c r="DN41" s="238" t="n"/>
      <c r="DO41" s="238" t="n"/>
      <c r="DP41" s="238" t="n"/>
      <c r="DQ41" s="238" t="n"/>
      <c r="DR41" s="238" t="n"/>
      <c r="DS41" s="238" t="n"/>
      <c r="DT41" s="238" t="n"/>
      <c r="DU41" s="238" t="n"/>
      <c r="DV41" s="238" t="n"/>
      <c r="DW41" s="238" t="n"/>
      <c r="DX41" s="238" t="n"/>
      <c r="DY41" s="238" t="n"/>
      <c r="DZ41" s="23" t="n"/>
      <c r="FQ41" s="212" t="n"/>
      <c r="FR41" s="212" t="n"/>
      <c r="FS41" s="212" t="n"/>
      <c r="FT41" s="212" t="n"/>
      <c r="FU41" s="212" t="n"/>
      <c r="FV41" s="212" t="n"/>
      <c r="FW41" s="212" t="n"/>
      <c r="FX41" s="212" t="n"/>
      <c r="FY41" s="212" t="n"/>
      <c r="FZ41" s="212" t="n"/>
    </row>
    <row r="42" ht="39.95" customFormat="1" customHeight="1" s="5">
      <c r="A42" s="456" t="n"/>
      <c r="B42" s="8" t="inlineStr">
        <is>
          <t>&amp; OSCILLATOR</t>
        </is>
      </c>
      <c r="C42" s="456" t="n"/>
      <c r="D42" s="594" t="n"/>
      <c r="E42" s="595" t="n"/>
      <c r="F42" s="595" t="n"/>
      <c r="G42" s="595" t="n"/>
      <c r="H42" s="596" t="n"/>
      <c r="I42" s="597" t="n"/>
      <c r="J42" s="595" t="n"/>
      <c r="K42" s="595" t="n"/>
      <c r="L42" s="595" t="n"/>
      <c r="M42" s="596" t="n"/>
      <c r="N42" s="597" t="n"/>
      <c r="O42" s="595" t="n"/>
      <c r="P42" s="595" t="n"/>
      <c r="Q42" s="595" t="n"/>
      <c r="R42" s="596" t="n"/>
      <c r="S42" s="597" t="n"/>
      <c r="T42" s="595" t="n"/>
      <c r="U42" s="595" t="n"/>
      <c r="V42" s="595" t="n"/>
      <c r="W42" s="596" t="n"/>
      <c r="X42" s="597" t="n"/>
      <c r="Y42" s="595" t="n"/>
      <c r="Z42" s="595" t="n"/>
      <c r="AA42" s="595" t="n"/>
      <c r="AB42" s="596" t="n"/>
      <c r="AC42" s="597" t="n"/>
      <c r="AD42" s="595" t="n"/>
      <c r="AE42" s="595" t="n"/>
      <c r="AF42" s="595" t="n"/>
      <c r="AG42" s="596" t="n"/>
      <c r="AH42" s="597" t="n"/>
      <c r="AI42" s="595" t="n"/>
      <c r="AJ42" s="595" t="n"/>
      <c r="AK42" s="595" t="n"/>
      <c r="AL42" s="596" t="n"/>
      <c r="AM42" s="597" t="n"/>
      <c r="AN42" s="595" t="n"/>
      <c r="AO42" s="595" t="n"/>
      <c r="AP42" s="595" t="n"/>
      <c r="AQ42" s="596" t="n"/>
      <c r="AR42" s="597" t="n"/>
      <c r="AS42" s="595" t="n"/>
      <c r="AT42" s="595" t="n"/>
      <c r="AU42" s="595" t="n"/>
      <c r="AV42" s="596" t="n"/>
      <c r="AW42" s="597" t="n"/>
      <c r="AX42" s="595" t="n"/>
      <c r="AY42" s="595" t="n"/>
      <c r="AZ42" s="595" t="n"/>
      <c r="BA42" s="596" t="n"/>
      <c r="BB42" s="597" t="n"/>
      <c r="BC42" s="595" t="n"/>
      <c r="BD42" s="595" t="n"/>
      <c r="BE42" s="595" t="n"/>
      <c r="BF42" s="596" t="n"/>
      <c r="BG42" s="597" t="n"/>
      <c r="BH42" s="595" t="n"/>
      <c r="BI42" s="595" t="n"/>
      <c r="BJ42" s="595" t="n"/>
      <c r="BK42" s="596" t="n"/>
      <c r="BL42" s="597" t="n"/>
      <c r="BM42" s="595" t="n"/>
      <c r="BN42" s="595" t="n"/>
      <c r="BO42" s="595" t="n"/>
      <c r="BP42" s="596" t="n"/>
      <c r="BQ42" s="597" t="n"/>
      <c r="BR42" s="595" t="n"/>
      <c r="BS42" s="595" t="n"/>
      <c r="BT42" s="596" t="n"/>
      <c r="BU42" s="457" t="n"/>
      <c r="BV42" s="457" t="n"/>
      <c r="BW42" s="238" t="n"/>
      <c r="BX42" s="238" t="n"/>
      <c r="BY42" s="238" t="n"/>
      <c r="BZ42" s="238" t="n"/>
      <c r="CA42" s="238" t="n"/>
      <c r="CB42" s="238" t="n"/>
      <c r="CC42" s="238" t="n"/>
      <c r="CD42" s="238" t="n"/>
      <c r="CE42" s="238" t="n"/>
      <c r="CF42" s="238" t="n"/>
      <c r="CG42" s="238" t="n"/>
      <c r="CH42" s="238" t="n"/>
      <c r="CI42" s="238" t="n"/>
      <c r="CJ42" s="238" t="n"/>
      <c r="CK42" s="238" t="n"/>
      <c r="CL42" s="238" t="n"/>
      <c r="CM42" s="238" t="n"/>
      <c r="CN42" s="238" t="n"/>
      <c r="CO42" s="238" t="n"/>
      <c r="CP42" s="238" t="n"/>
      <c r="CQ42" s="238" t="n"/>
      <c r="CR42" s="238" t="n"/>
      <c r="CS42" s="238" t="n"/>
      <c r="CT42" s="238" t="n"/>
      <c r="CU42" s="238" t="n"/>
      <c r="CV42" s="238" t="n"/>
      <c r="CW42" s="238" t="n"/>
      <c r="CX42" s="238" t="n"/>
      <c r="CY42" s="238" t="n"/>
      <c r="CZ42" s="238" t="n"/>
      <c r="DA42" s="238" t="n"/>
      <c r="DB42" s="238" t="n"/>
      <c r="DC42" s="238" t="n"/>
      <c r="DD42" s="238" t="n"/>
      <c r="DE42" s="238" t="n"/>
      <c r="DF42" s="238" t="n"/>
      <c r="DG42" s="238" t="n"/>
      <c r="DH42" s="238" t="n"/>
      <c r="DI42" s="238" t="n"/>
      <c r="DJ42" s="238" t="n"/>
      <c r="DK42" s="238" t="n"/>
      <c r="DL42" s="238" t="n"/>
      <c r="DM42" s="238" t="n"/>
      <c r="DN42" s="238" t="n"/>
      <c r="DO42" s="238" t="n"/>
      <c r="DP42" s="238" t="n"/>
      <c r="DQ42" s="238" t="n"/>
      <c r="DR42" s="238" t="n"/>
      <c r="DS42" s="238" t="n"/>
      <c r="DT42" s="238" t="n"/>
      <c r="DU42" s="238" t="n"/>
      <c r="DV42" s="238" t="n"/>
      <c r="DW42" s="238" t="n"/>
      <c r="DX42" s="238" t="n"/>
      <c r="DY42" s="238" t="n"/>
      <c r="DZ42" s="23" t="n"/>
      <c r="FQ42" s="212" t="n"/>
      <c r="FR42" s="212" t="n"/>
      <c r="FS42" s="212" t="n"/>
      <c r="FT42" s="212" t="n"/>
      <c r="FU42" s="212" t="n"/>
      <c r="FV42" s="212" t="n"/>
      <c r="FW42" s="212" t="n"/>
      <c r="FX42" s="212" t="n"/>
      <c r="FY42" s="212" t="n"/>
      <c r="FZ42" s="212" t="n"/>
    </row>
    <row r="43" ht="39.95" customFormat="1" customHeight="1" s="5">
      <c r="A43" s="10" t="inlineStr">
        <is>
          <t>A</t>
        </is>
      </c>
      <c r="B43" s="6" t="n"/>
      <c r="C43" s="415" t="inlineStr">
        <is>
          <t>LOWEST</t>
        </is>
      </c>
      <c r="D43" s="613">
        <f>MIN(Thickness!D43:D45)</f>
        <v/>
      </c>
      <c r="E43" s="614">
        <f>MIN(Thickness!E43:E45)</f>
        <v/>
      </c>
      <c r="F43" s="614">
        <f>MIN(Thickness!F43:F45)</f>
        <v/>
      </c>
      <c r="G43" s="614">
        <f>MIN(Thickness!G43:G45)</f>
        <v/>
      </c>
      <c r="H43" s="615">
        <f>MIN(Thickness!H43:H45)</f>
        <v/>
      </c>
      <c r="I43" s="616" t="inlineStr">
        <is>
          <t>RT</t>
        </is>
      </c>
      <c r="J43" s="614" t="inlineStr">
        <is>
          <t>RT</t>
        </is>
      </c>
      <c r="K43" s="614">
        <f>MIN(Thickness!K43:K45)</f>
        <v/>
      </c>
      <c r="L43" s="614">
        <f>MIN(Thickness!L43:L45)</f>
        <v/>
      </c>
      <c r="M43" s="615" t="inlineStr">
        <is>
          <t>RT</t>
        </is>
      </c>
      <c r="N43" s="616" t="inlineStr">
        <is>
          <t>RT</t>
        </is>
      </c>
      <c r="O43" s="614">
        <f>MIN(Thickness!O43:O45)</f>
        <v/>
      </c>
      <c r="P43" s="614">
        <f>MIN(Thickness!P43:P45)</f>
        <v/>
      </c>
      <c r="Q43" s="614">
        <f>MIN(Thickness!Q43:Q45)</f>
        <v/>
      </c>
      <c r="R43" s="615">
        <f>MIN(Thickness!R43:R45)</f>
        <v/>
      </c>
      <c r="S43" s="616">
        <f>MIN(Thickness!S43:S45)</f>
        <v/>
      </c>
      <c r="T43" s="614">
        <f>MIN(Thickness!T43:T45)</f>
        <v/>
      </c>
      <c r="U43" s="614">
        <f>MIN(Thickness!U43:U45)</f>
        <v/>
      </c>
      <c r="V43" s="614">
        <f>MIN(Thickness!V43:V45)</f>
        <v/>
      </c>
      <c r="W43" s="615">
        <f>MIN(Thickness!W43:W45)</f>
        <v/>
      </c>
      <c r="X43" s="616">
        <f>MIN(Thickness!X43:X45)</f>
        <v/>
      </c>
      <c r="Y43" s="614">
        <f>MIN(Thickness!Y43:Y45)</f>
        <v/>
      </c>
      <c r="Z43" s="614">
        <f>MIN(Thickness!Z43:Z45)</f>
        <v/>
      </c>
      <c r="AA43" s="614">
        <f>MIN(Thickness!AA43:AA45)</f>
        <v/>
      </c>
      <c r="AB43" s="615">
        <f>MIN(Thickness!AB43:AB45)</f>
        <v/>
      </c>
      <c r="AC43" s="616">
        <f>MIN(Thickness!AC43:AC45)</f>
        <v/>
      </c>
      <c r="AD43" s="614">
        <f>MIN(Thickness!AD43:AD45)</f>
        <v/>
      </c>
      <c r="AE43" s="614">
        <f>MIN(Thickness!AE43:AE45)</f>
        <v/>
      </c>
      <c r="AF43" s="614">
        <f>MIN(Thickness!AF43:AF45)</f>
        <v/>
      </c>
      <c r="AG43" s="615">
        <f>MIN(Thickness!AG43:AG45)</f>
        <v/>
      </c>
      <c r="AH43" s="616">
        <f>MIN(Thickness!AH43:AH45)</f>
        <v/>
      </c>
      <c r="AI43" s="614">
        <f>MIN(Thickness!AI43:AI45)</f>
        <v/>
      </c>
      <c r="AJ43" s="614">
        <f>MIN(Thickness!AJ43:AJ45)</f>
        <v/>
      </c>
      <c r="AK43" s="614">
        <f>MIN(Thickness!AK43:AK45)</f>
        <v/>
      </c>
      <c r="AL43" s="615">
        <f>MIN(Thickness!AL43:AL45)</f>
        <v/>
      </c>
      <c r="AM43" s="616">
        <f>MIN(Thickness!AM43:AM45)</f>
        <v/>
      </c>
      <c r="AN43" s="614">
        <f>MIN(Thickness!AN43:AN45)</f>
        <v/>
      </c>
      <c r="AO43" s="614">
        <f>MIN(Thickness!AO43:AO45)</f>
        <v/>
      </c>
      <c r="AP43" s="614">
        <f>MIN(Thickness!AP43:AP45)</f>
        <v/>
      </c>
      <c r="AQ43" s="615">
        <f>MIN(Thickness!AQ43:AQ45)</f>
        <v/>
      </c>
      <c r="AR43" s="616">
        <f>MIN(Thickness!AR43:AR45)</f>
        <v/>
      </c>
      <c r="AS43" s="614">
        <f>MIN(Thickness!AS43:AS45)</f>
        <v/>
      </c>
      <c r="AT43" s="614">
        <f>MIN(Thickness!AT43:AT45)</f>
        <v/>
      </c>
      <c r="AU43" s="614">
        <f>MIN(Thickness!AU43:AU45)</f>
        <v/>
      </c>
      <c r="AV43" s="615">
        <f>MIN(Thickness!AV43:AV45)</f>
        <v/>
      </c>
      <c r="AW43" s="616">
        <f>MIN(Thickness!AW43:AW45)</f>
        <v/>
      </c>
      <c r="AX43" s="614">
        <f>MIN(Thickness!AX43:AX45)</f>
        <v/>
      </c>
      <c r="AY43" s="614">
        <f>MIN(Thickness!AY43:AY45)</f>
        <v/>
      </c>
      <c r="AZ43" s="614">
        <f>MIN(Thickness!AZ43:AZ45)</f>
        <v/>
      </c>
      <c r="BA43" s="615">
        <f>MIN(Thickness!BA43:BA45)</f>
        <v/>
      </c>
      <c r="BB43" s="616">
        <f>MIN(Thickness!BB43:BB45)</f>
        <v/>
      </c>
      <c r="BC43" s="614">
        <f>MIN(Thickness!BC43:BC45)</f>
        <v/>
      </c>
      <c r="BD43" s="614">
        <f>MIN(Thickness!BD43:BD45)</f>
        <v/>
      </c>
      <c r="BE43" s="614">
        <f>MIN(Thickness!BE43:BE45)</f>
        <v/>
      </c>
      <c r="BF43" s="615">
        <f>MIN(Thickness!BF43:BF45)</f>
        <v/>
      </c>
      <c r="BG43" s="616">
        <f>MIN(Thickness!BG43:BG45)</f>
        <v/>
      </c>
      <c r="BH43" s="614">
        <f>MIN(Thickness!BH43:BH45)</f>
        <v/>
      </c>
      <c r="BI43" s="614">
        <f>MIN(Thickness!BI43:BI45)</f>
        <v/>
      </c>
      <c r="BJ43" s="614">
        <f>MIN(Thickness!BJ43:BJ45)</f>
        <v/>
      </c>
      <c r="BK43" s="615">
        <f>MIN(Thickness!BK43:BK45)</f>
        <v/>
      </c>
      <c r="BL43" s="616">
        <f>MIN(Thickness!BL43:BL45)</f>
        <v/>
      </c>
      <c r="BM43" s="614">
        <f>MIN(Thickness!BM43:BM45)</f>
        <v/>
      </c>
      <c r="BN43" s="614">
        <f>MIN(Thickness!BN43:BN45)</f>
        <v/>
      </c>
      <c r="BO43" s="614">
        <f>MIN(Thickness!BO43:BO45)</f>
        <v/>
      </c>
      <c r="BP43" s="615">
        <f>MIN(Thickness!BP43:BP45)</f>
        <v/>
      </c>
      <c r="BQ43" s="616">
        <f>MIN(Thickness!BQ43:BQ45)</f>
        <v/>
      </c>
      <c r="BR43" s="614">
        <f>MIN(Thickness!BR43:BR45)</f>
        <v/>
      </c>
      <c r="BS43" s="614">
        <f>MIN(Thickness!BS43:BS45)</f>
        <v/>
      </c>
      <c r="BT43" s="615" t="inlineStr">
        <is>
          <t>RF</t>
        </is>
      </c>
      <c r="BU43" s="454">
        <f>IFERROR(AVERAGE(D43:BT45),0)</f>
        <v/>
      </c>
      <c r="BV43" s="454">
        <f>MIN(D43:BT45)</f>
        <v/>
      </c>
      <c r="BW43" s="238" t="n"/>
      <c r="BX43" s="238" t="n"/>
      <c r="BY43" s="238" t="n"/>
      <c r="BZ43" s="238" t="n"/>
      <c r="CA43" s="238" t="n"/>
      <c r="CB43" s="238" t="n"/>
      <c r="CC43" s="238" t="n"/>
      <c r="CD43" s="238" t="n"/>
      <c r="CE43" s="238" t="n"/>
      <c r="CF43" s="238" t="n"/>
      <c r="CG43" s="238" t="n"/>
      <c r="CH43" s="238" t="n"/>
      <c r="CI43" s="238" t="n"/>
      <c r="CJ43" s="238" t="n"/>
      <c r="CK43" s="238" t="n"/>
      <c r="CL43" s="238" t="n"/>
      <c r="CM43" s="238" t="n"/>
      <c r="CN43" s="238" t="n"/>
      <c r="CO43" s="238" t="n"/>
      <c r="CP43" s="238" t="n"/>
      <c r="CQ43" s="238" t="n"/>
      <c r="CR43" s="238" t="n"/>
      <c r="CS43" s="238" t="n"/>
      <c r="CT43" s="238" t="n"/>
      <c r="CU43" s="238" t="n"/>
      <c r="CV43" s="238" t="n"/>
      <c r="CW43" s="238" t="n"/>
      <c r="CX43" s="238" t="n"/>
      <c r="CY43" s="238" t="n"/>
      <c r="CZ43" s="238" t="n"/>
      <c r="DA43" s="238" t="n"/>
      <c r="DB43" s="238" t="n"/>
      <c r="DC43" s="238" t="n"/>
      <c r="DD43" s="238" t="n"/>
      <c r="DE43" s="238" t="n"/>
      <c r="DF43" s="238" t="n"/>
      <c r="DG43" s="238" t="n"/>
      <c r="DH43" s="238" t="n"/>
      <c r="DI43" s="238" t="n"/>
      <c r="DJ43" s="238" t="n"/>
      <c r="DK43" s="238" t="n"/>
      <c r="DL43" s="238" t="n"/>
      <c r="DM43" s="238" t="n"/>
      <c r="DN43" s="238" t="n"/>
      <c r="DO43" s="238" t="n"/>
      <c r="DP43" s="238" t="n"/>
      <c r="DQ43" s="238" t="n"/>
      <c r="DR43" s="238" t="n"/>
      <c r="DS43" s="238" t="n"/>
      <c r="DT43" s="238" t="n"/>
      <c r="DU43" s="238" t="n"/>
      <c r="DV43" s="238" t="n"/>
      <c r="DW43" s="238" t="n"/>
      <c r="DX43" s="238" t="n"/>
      <c r="DY43" s="238" t="n"/>
      <c r="DZ43" s="23" t="n"/>
      <c r="FQ43" s="212" t="n"/>
      <c r="FR43" s="212" t="n"/>
      <c r="FS43" s="212" t="n"/>
      <c r="FT43" s="212" t="n"/>
      <c r="FU43" s="212" t="n"/>
      <c r="FV43" s="212" t="n"/>
      <c r="FW43" s="212" t="n"/>
      <c r="FX43" s="212" t="n"/>
      <c r="FY43" s="212" t="n"/>
      <c r="FZ43" s="212" t="n"/>
    </row>
    <row r="44" ht="39.95" customFormat="1" customHeight="1" s="5">
      <c r="A44" s="182" t="n">
        <v>0.083</v>
      </c>
      <c r="B44" s="7" t="inlineStr">
        <is>
          <t>+9 FT</t>
        </is>
      </c>
      <c r="C44" s="456" t="n"/>
      <c r="D44" s="13" t="n"/>
      <c r="H44" s="592" t="n"/>
      <c r="I44" s="593" t="n"/>
      <c r="M44" s="592" t="n"/>
      <c r="N44" s="593" t="n"/>
      <c r="R44" s="592" t="n"/>
      <c r="S44" s="593" t="n"/>
      <c r="W44" s="592" t="n"/>
      <c r="X44" s="593" t="n"/>
      <c r="AB44" s="592" t="n"/>
      <c r="AC44" s="593" t="n"/>
      <c r="AG44" s="592" t="n"/>
      <c r="AH44" s="593" t="n"/>
      <c r="AL44" s="592" t="n"/>
      <c r="AM44" s="593" t="n"/>
      <c r="AQ44" s="592" t="n"/>
      <c r="AR44" s="593" t="n"/>
      <c r="AV44" s="592" t="n"/>
      <c r="AW44" s="593" t="n"/>
      <c r="BA44" s="592" t="n"/>
      <c r="BB44" s="593" t="n"/>
      <c r="BF44" s="592" t="n"/>
      <c r="BG44" s="593" t="n"/>
      <c r="BK44" s="592" t="n"/>
      <c r="BL44" s="593" t="n"/>
      <c r="BP44" s="592" t="n"/>
      <c r="BQ44" s="593" t="n"/>
      <c r="BT44" s="592" t="n"/>
      <c r="BU44" s="455" t="n"/>
      <c r="BV44" s="455" t="n"/>
      <c r="BW44" s="238" t="n"/>
      <c r="BX44" s="238" t="n"/>
      <c r="BY44" s="238" t="n"/>
      <c r="BZ44" s="238" t="n"/>
      <c r="CA44" s="238" t="n"/>
      <c r="CB44" s="238" t="n"/>
      <c r="CC44" s="238" t="n"/>
      <c r="CD44" s="238" t="n"/>
      <c r="CE44" s="238" t="n"/>
      <c r="CF44" s="238" t="n"/>
      <c r="CG44" s="238" t="n"/>
      <c r="CH44" s="238" t="n"/>
      <c r="CI44" s="238" t="n"/>
      <c r="CJ44" s="238" t="n"/>
      <c r="CK44" s="238" t="n"/>
      <c r="CL44" s="238" t="n"/>
      <c r="CM44" s="238" t="n"/>
      <c r="CN44" s="238" t="n"/>
      <c r="CO44" s="238" t="n"/>
      <c r="CP44" s="238" t="n"/>
      <c r="CQ44" s="238" t="n"/>
      <c r="CR44" s="238" t="n"/>
      <c r="CS44" s="238" t="n"/>
      <c r="CT44" s="238" t="n"/>
      <c r="CU44" s="238" t="n"/>
      <c r="CV44" s="238" t="n"/>
      <c r="CW44" s="238" t="n"/>
      <c r="CX44" s="238" t="n"/>
      <c r="CY44" s="238" t="n"/>
      <c r="CZ44" s="238" t="n"/>
      <c r="DA44" s="238" t="n"/>
      <c r="DB44" s="238" t="n"/>
      <c r="DC44" s="238" t="n"/>
      <c r="DD44" s="238" t="n"/>
      <c r="DE44" s="238" t="n"/>
      <c r="DF44" s="238" t="n"/>
      <c r="DG44" s="238" t="n"/>
      <c r="DH44" s="238" t="n"/>
      <c r="DI44" s="238" t="n"/>
      <c r="DJ44" s="238" t="n"/>
      <c r="DK44" s="238" t="n"/>
      <c r="DL44" s="238" t="n"/>
      <c r="DM44" s="238" t="n"/>
      <c r="DN44" s="238" t="n"/>
      <c r="DO44" s="238" t="n"/>
      <c r="DP44" s="238" t="n"/>
      <c r="DQ44" s="238" t="n"/>
      <c r="DR44" s="238" t="n"/>
      <c r="DS44" s="238" t="n"/>
      <c r="DT44" s="238" t="n"/>
      <c r="DU44" s="238" t="n"/>
      <c r="DV44" s="238" t="n"/>
      <c r="DW44" s="238" t="n"/>
      <c r="DX44" s="238" t="n"/>
      <c r="DY44" s="238" t="n"/>
      <c r="DZ44" s="23" t="n"/>
      <c r="FQ44" s="212" t="n"/>
      <c r="FR44" s="212" t="n"/>
      <c r="FS44" s="212" t="n"/>
      <c r="FT44" s="212" t="n"/>
      <c r="FU44" s="212" t="n"/>
      <c r="FV44" s="212" t="n"/>
      <c r="FW44" s="212" t="n"/>
      <c r="FX44" s="212" t="n"/>
      <c r="FY44" s="212" t="n"/>
      <c r="FZ44" s="212" t="n"/>
    </row>
    <row r="45" ht="39.95" customFormat="1" customHeight="1" s="5">
      <c r="A45" s="456" t="n"/>
      <c r="B45" s="8" t="n"/>
      <c r="C45" s="456" t="n"/>
      <c r="D45" s="594" t="n"/>
      <c r="E45" s="595" t="n"/>
      <c r="F45" s="595" t="n"/>
      <c r="G45" s="595" t="n"/>
      <c r="H45" s="596" t="n"/>
      <c r="I45" s="597" t="n"/>
      <c r="J45" s="595" t="n"/>
      <c r="K45" s="595" t="n"/>
      <c r="L45" s="595" t="n"/>
      <c r="M45" s="596" t="n"/>
      <c r="N45" s="597" t="n"/>
      <c r="O45" s="595" t="n"/>
      <c r="P45" s="595" t="n"/>
      <c r="Q45" s="595" t="n"/>
      <c r="R45" s="596" t="n"/>
      <c r="S45" s="597" t="n"/>
      <c r="T45" s="595" t="n"/>
      <c r="U45" s="595" t="n"/>
      <c r="V45" s="595" t="n"/>
      <c r="W45" s="596" t="n"/>
      <c r="X45" s="597" t="n"/>
      <c r="Y45" s="595" t="n"/>
      <c r="Z45" s="595" t="n"/>
      <c r="AA45" s="595" t="n"/>
      <c r="AB45" s="596" t="n"/>
      <c r="AC45" s="597" t="n"/>
      <c r="AD45" s="595" t="n"/>
      <c r="AE45" s="595" t="n"/>
      <c r="AF45" s="595" t="n"/>
      <c r="AG45" s="596" t="n"/>
      <c r="AH45" s="597" t="n"/>
      <c r="AI45" s="595" t="n"/>
      <c r="AJ45" s="595" t="n"/>
      <c r="AK45" s="595" t="n"/>
      <c r="AL45" s="596" t="n"/>
      <c r="AM45" s="597" t="n"/>
      <c r="AN45" s="595" t="n"/>
      <c r="AO45" s="595" t="n"/>
      <c r="AP45" s="595" t="n"/>
      <c r="AQ45" s="596" t="n"/>
      <c r="AR45" s="597" t="n"/>
      <c r="AS45" s="595" t="n"/>
      <c r="AT45" s="595" t="n"/>
      <c r="AU45" s="595" t="n"/>
      <c r="AV45" s="596" t="n"/>
      <c r="AW45" s="597" t="n"/>
      <c r="AX45" s="595" t="n"/>
      <c r="AY45" s="595" t="n"/>
      <c r="AZ45" s="595" t="n"/>
      <c r="BA45" s="596" t="n"/>
      <c r="BB45" s="597" t="n"/>
      <c r="BC45" s="595" t="n"/>
      <c r="BD45" s="595" t="n"/>
      <c r="BE45" s="595" t="n"/>
      <c r="BF45" s="596" t="n"/>
      <c r="BG45" s="597" t="n"/>
      <c r="BH45" s="595" t="n"/>
      <c r="BI45" s="595" t="n"/>
      <c r="BJ45" s="595" t="n"/>
      <c r="BK45" s="596" t="n"/>
      <c r="BL45" s="597" t="n"/>
      <c r="BM45" s="595" t="n"/>
      <c r="BN45" s="595" t="n"/>
      <c r="BO45" s="595" t="n"/>
      <c r="BP45" s="596" t="n"/>
      <c r="BQ45" s="597" t="n"/>
      <c r="BR45" s="595" t="n"/>
      <c r="BS45" s="595" t="n"/>
      <c r="BT45" s="596" t="n"/>
      <c r="BU45" s="457" t="n"/>
      <c r="BV45" s="457" t="n"/>
      <c r="BW45" s="238" t="n"/>
      <c r="BX45" s="238" t="n"/>
      <c r="BY45" s="238" t="n"/>
      <c r="BZ45" s="238" t="n"/>
      <c r="CA45" s="238" t="n"/>
      <c r="CB45" s="238" t="n"/>
      <c r="CC45" s="238" t="n"/>
      <c r="CD45" s="238" t="n"/>
      <c r="CE45" s="238" t="n"/>
      <c r="CF45" s="238" t="n"/>
      <c r="CG45" s="238" t="n"/>
      <c r="CH45" s="238" t="n"/>
      <c r="CI45" s="238" t="n"/>
      <c r="CJ45" s="238" t="n"/>
      <c r="CK45" s="238" t="n"/>
      <c r="CL45" s="238" t="n"/>
      <c r="CM45" s="238" t="n"/>
      <c r="CN45" s="238" t="n"/>
      <c r="CO45" s="238" t="n"/>
      <c r="CP45" s="238" t="n"/>
      <c r="CQ45" s="238" t="n"/>
      <c r="CR45" s="238" t="n"/>
      <c r="CS45" s="238" t="n"/>
      <c r="CT45" s="238" t="n"/>
      <c r="CU45" s="238" t="n"/>
      <c r="CV45" s="238" t="n"/>
      <c r="CW45" s="238" t="n"/>
      <c r="CX45" s="238" t="n"/>
      <c r="CY45" s="238" t="n"/>
      <c r="CZ45" s="238" t="n"/>
      <c r="DA45" s="238" t="n"/>
      <c r="DB45" s="238" t="n"/>
      <c r="DC45" s="238" t="n"/>
      <c r="DD45" s="238" t="n"/>
      <c r="DE45" s="238" t="n"/>
      <c r="DF45" s="238" t="n"/>
      <c r="DG45" s="238" t="n"/>
      <c r="DH45" s="238" t="n"/>
      <c r="DI45" s="238" t="n"/>
      <c r="DJ45" s="238" t="n"/>
      <c r="DK45" s="238" t="n"/>
      <c r="DL45" s="238" t="n"/>
      <c r="DM45" s="238" t="n"/>
      <c r="DN45" s="238" t="n"/>
      <c r="DO45" s="238" t="n"/>
      <c r="DP45" s="238" t="n"/>
      <c r="DQ45" s="238" t="n"/>
      <c r="DR45" s="238" t="n"/>
      <c r="DS45" s="238" t="n"/>
      <c r="DT45" s="238" t="n"/>
      <c r="DU45" s="238" t="n"/>
      <c r="DV45" s="238" t="n"/>
      <c r="DW45" s="238" t="n"/>
      <c r="DX45" s="238" t="n"/>
      <c r="DY45" s="238" t="n"/>
      <c r="DZ45" s="23" t="n"/>
      <c r="FQ45" s="212" t="n"/>
      <c r="FR45" s="212" t="n"/>
      <c r="FS45" s="212" t="n"/>
      <c r="FT45" s="212" t="n"/>
      <c r="FU45" s="212" t="n"/>
      <c r="FV45" s="212" t="n"/>
      <c r="FW45" s="212" t="n"/>
      <c r="FX45" s="212" t="n"/>
      <c r="FY45" s="212" t="n"/>
      <c r="FZ45" s="212" t="n"/>
    </row>
    <row r="46" ht="39.95" customFormat="1" customHeight="1" s="5">
      <c r="A46" s="10" t="inlineStr">
        <is>
          <t>A</t>
        </is>
      </c>
      <c r="B46" s="6" t="n"/>
      <c r="C46" s="415" t="inlineStr">
        <is>
          <t>LOWEST</t>
        </is>
      </c>
      <c r="D46" s="613">
        <f>MIN(Thickness!D46:D48)</f>
        <v/>
      </c>
      <c r="E46" s="614">
        <f>MIN(Thickness!E46:E48)</f>
        <v/>
      </c>
      <c r="F46" s="614">
        <f>MIN(Thickness!F46:F48)</f>
        <v/>
      </c>
      <c r="G46" s="614">
        <f>MIN(Thickness!G46:G48)</f>
        <v/>
      </c>
      <c r="H46" s="615">
        <f>MIN(Thickness!H46:H48)</f>
        <v/>
      </c>
      <c r="I46" s="616">
        <f>MIN(Thickness!I46:I48)</f>
        <v/>
      </c>
      <c r="J46" s="614">
        <f>MIN(Thickness!J46:J48)</f>
        <v/>
      </c>
      <c r="K46" s="614">
        <f>MIN(Thickness!K46:K48)</f>
        <v/>
      </c>
      <c r="L46" s="614">
        <f>MIN(Thickness!L46:L48)</f>
        <v/>
      </c>
      <c r="M46" s="615">
        <f>MIN(Thickness!M46:M48)</f>
        <v/>
      </c>
      <c r="N46" s="616">
        <f>MIN(Thickness!N46:N48)</f>
        <v/>
      </c>
      <c r="O46" s="614">
        <f>MIN(Thickness!O46:O48)</f>
        <v/>
      </c>
      <c r="P46" s="614">
        <f>MIN(Thickness!P46:P48)</f>
        <v/>
      </c>
      <c r="Q46" s="614">
        <f>MIN(Thickness!Q46:Q48)</f>
        <v/>
      </c>
      <c r="R46" s="615">
        <f>MIN(Thickness!R46:R48)</f>
        <v/>
      </c>
      <c r="S46" s="616">
        <f>MIN(Thickness!S46:S48)</f>
        <v/>
      </c>
      <c r="T46" s="614">
        <f>MIN(Thickness!T46:T48)</f>
        <v/>
      </c>
      <c r="U46" s="614">
        <f>MIN(Thickness!U46:U48)</f>
        <v/>
      </c>
      <c r="V46" s="614">
        <f>MIN(Thickness!V46:V48)</f>
        <v/>
      </c>
      <c r="W46" s="615">
        <f>MIN(Thickness!W46:W48)</f>
        <v/>
      </c>
      <c r="X46" s="616">
        <f>MIN(Thickness!X46:X48)</f>
        <v/>
      </c>
      <c r="Y46" s="614">
        <f>MIN(Thickness!Y46:Y48)</f>
        <v/>
      </c>
      <c r="Z46" s="614">
        <f>MIN(Thickness!Z46:Z48)</f>
        <v/>
      </c>
      <c r="AA46" s="614">
        <f>MIN(Thickness!AA46:AA48)</f>
        <v/>
      </c>
      <c r="AB46" s="615">
        <f>MIN(Thickness!AB46:AB48)</f>
        <v/>
      </c>
      <c r="AC46" s="616">
        <f>MIN(Thickness!AC46:AC48)</f>
        <v/>
      </c>
      <c r="AD46" s="614">
        <f>MIN(Thickness!AD46:AD48)</f>
        <v/>
      </c>
      <c r="AE46" s="614">
        <f>MIN(Thickness!AE46:AE48)</f>
        <v/>
      </c>
      <c r="AF46" s="614">
        <f>MIN(Thickness!AF46:AF48)</f>
        <v/>
      </c>
      <c r="AG46" s="615">
        <f>MIN(Thickness!AG46:AG48)</f>
        <v/>
      </c>
      <c r="AH46" s="616">
        <f>MIN(Thickness!AH46:AH48)</f>
        <v/>
      </c>
      <c r="AI46" s="614">
        <f>MIN(Thickness!AI46:AI48)</f>
        <v/>
      </c>
      <c r="AJ46" s="614">
        <f>MIN(Thickness!AJ46:AJ48)</f>
        <v/>
      </c>
      <c r="AK46" s="614">
        <f>MIN(Thickness!AK46:AK48)</f>
        <v/>
      </c>
      <c r="AL46" s="615">
        <f>MIN(Thickness!AL46:AL48)</f>
        <v/>
      </c>
      <c r="AM46" s="616">
        <f>MIN(Thickness!AM46:AM48)</f>
        <v/>
      </c>
      <c r="AN46" s="614">
        <f>MIN(Thickness!AN46:AN48)</f>
        <v/>
      </c>
      <c r="AO46" s="614">
        <f>MIN(Thickness!AO46:AO48)</f>
        <v/>
      </c>
      <c r="AP46" s="614">
        <f>MIN(Thickness!AP46:AP48)</f>
        <v/>
      </c>
      <c r="AQ46" s="615">
        <f>MIN(Thickness!AQ46:AQ48)</f>
        <v/>
      </c>
      <c r="AR46" s="616">
        <f>MIN(Thickness!AR46:AR48)</f>
        <v/>
      </c>
      <c r="AS46" s="614">
        <f>MIN(Thickness!AS46:AS48)</f>
        <v/>
      </c>
      <c r="AT46" s="614">
        <f>MIN(Thickness!AT46:AT48)</f>
        <v/>
      </c>
      <c r="AU46" s="614">
        <f>MIN(Thickness!AU46:AU48)</f>
        <v/>
      </c>
      <c r="AV46" s="615">
        <f>MIN(Thickness!AV46:AV48)</f>
        <v/>
      </c>
      <c r="AW46" s="616">
        <f>MIN(Thickness!AW46:AW48)</f>
        <v/>
      </c>
      <c r="AX46" s="614">
        <f>MIN(Thickness!AX46:AX48)</f>
        <v/>
      </c>
      <c r="AY46" s="614">
        <f>MIN(Thickness!AY46:AY48)</f>
        <v/>
      </c>
      <c r="AZ46" s="614">
        <f>MIN(Thickness!AZ46:AZ48)</f>
        <v/>
      </c>
      <c r="BA46" s="615">
        <f>MIN(Thickness!BA46:BA48)</f>
        <v/>
      </c>
      <c r="BB46" s="616">
        <f>MIN(Thickness!BB46:BB48)</f>
        <v/>
      </c>
      <c r="BC46" s="614">
        <f>MIN(Thickness!BC46:BC48)</f>
        <v/>
      </c>
      <c r="BD46" s="614">
        <f>MIN(Thickness!BD46:BD48)</f>
        <v/>
      </c>
      <c r="BE46" s="614">
        <f>MIN(Thickness!BE46:BE48)</f>
        <v/>
      </c>
      <c r="BF46" s="615">
        <f>MIN(Thickness!BF46:BF48)</f>
        <v/>
      </c>
      <c r="BG46" s="616">
        <f>MIN(Thickness!BG46:BG48)</f>
        <v/>
      </c>
      <c r="BH46" s="614">
        <f>MIN(Thickness!BH46:BH48)</f>
        <v/>
      </c>
      <c r="BI46" s="614">
        <f>MIN(Thickness!BI46:BI48)</f>
        <v/>
      </c>
      <c r="BJ46" s="614">
        <f>MIN(Thickness!BJ46:BJ48)</f>
        <v/>
      </c>
      <c r="BK46" s="615">
        <f>MIN(Thickness!BK46:BK48)</f>
        <v/>
      </c>
      <c r="BL46" s="616">
        <f>MIN(Thickness!BL46:BL48)</f>
        <v/>
      </c>
      <c r="BM46" s="614">
        <f>MIN(Thickness!BM46:BM48)</f>
        <v/>
      </c>
      <c r="BN46" s="614">
        <f>MIN(Thickness!BN46:BN48)</f>
        <v/>
      </c>
      <c r="BO46" s="614">
        <f>MIN(Thickness!BO46:BO48)</f>
        <v/>
      </c>
      <c r="BP46" s="615">
        <f>MIN(Thickness!BP46:BP48)</f>
        <v/>
      </c>
      <c r="BQ46" s="616">
        <f>MIN(Thickness!BQ46:BQ48)</f>
        <v/>
      </c>
      <c r="BR46" s="614">
        <f>MIN(Thickness!BR46:BR48)</f>
        <v/>
      </c>
      <c r="BS46" s="614">
        <f>MIN(Thickness!BS46:BS48)</f>
        <v/>
      </c>
      <c r="BT46" s="615" t="inlineStr">
        <is>
          <t>RF</t>
        </is>
      </c>
      <c r="BU46" s="454">
        <f>IFERROR(AVERAGE(D46:BT48),0)</f>
        <v/>
      </c>
      <c r="BV46" s="454">
        <f>MIN(D46:BT48)</f>
        <v/>
      </c>
      <c r="BW46" s="238" t="n"/>
      <c r="BX46" s="238" t="n"/>
      <c r="BY46" s="238" t="n"/>
      <c r="BZ46" s="238" t="n"/>
      <c r="CA46" s="238" t="n"/>
      <c r="CB46" s="238" t="n"/>
      <c r="CC46" s="238" t="n"/>
      <c r="CD46" s="238" t="n"/>
      <c r="CE46" s="238" t="n"/>
      <c r="CF46" s="238" t="n"/>
      <c r="CG46" s="238" t="n"/>
      <c r="CH46" s="238" t="n"/>
      <c r="CI46" s="238" t="n"/>
      <c r="CJ46" s="238" t="n"/>
      <c r="CK46" s="238" t="n"/>
      <c r="CL46" s="238" t="n"/>
      <c r="CM46" s="238" t="n"/>
      <c r="CN46" s="238" t="n"/>
      <c r="CO46" s="238" t="n"/>
      <c r="CP46" s="238" t="n"/>
      <c r="CQ46" s="238" t="n"/>
      <c r="CR46" s="238" t="n"/>
      <c r="CS46" s="238" t="n"/>
      <c r="CT46" s="238" t="n"/>
      <c r="CU46" s="238" t="n"/>
      <c r="CV46" s="238" t="n"/>
      <c r="CW46" s="238" t="n"/>
      <c r="CX46" s="238" t="n"/>
      <c r="CY46" s="238" t="n"/>
      <c r="CZ46" s="238" t="n"/>
      <c r="DA46" s="238" t="n"/>
      <c r="DB46" s="238" t="n"/>
      <c r="DC46" s="238" t="n"/>
      <c r="DD46" s="238" t="n"/>
      <c r="DE46" s="238" t="n"/>
      <c r="DF46" s="238" t="n"/>
      <c r="DG46" s="238" t="n"/>
      <c r="DH46" s="238" t="n"/>
      <c r="DI46" s="238" t="n"/>
      <c r="DJ46" s="238" t="n"/>
      <c r="DK46" s="238" t="n"/>
      <c r="DL46" s="238" t="n"/>
      <c r="DM46" s="238" t="n"/>
      <c r="DN46" s="238" t="n"/>
      <c r="DO46" s="238" t="n"/>
      <c r="DP46" s="238" t="n"/>
      <c r="DQ46" s="238" t="n"/>
      <c r="DR46" s="238" t="n"/>
      <c r="DS46" s="238" t="n"/>
      <c r="DT46" s="238" t="n"/>
      <c r="DU46" s="238" t="n"/>
      <c r="DV46" s="238" t="n"/>
      <c r="DW46" s="238" t="n"/>
      <c r="DX46" s="238" t="n"/>
      <c r="DY46" s="238" t="n"/>
      <c r="DZ46" s="23" t="n"/>
      <c r="FQ46" s="212" t="n"/>
      <c r="FR46" s="212" t="n"/>
      <c r="FS46" s="212" t="n"/>
      <c r="FT46" s="212" t="n"/>
      <c r="FU46" s="212" t="n"/>
      <c r="FV46" s="212" t="n"/>
      <c r="FW46" s="212" t="n"/>
      <c r="FX46" s="212" t="n"/>
      <c r="FY46" s="212" t="n"/>
      <c r="FZ46" s="212" t="n"/>
    </row>
    <row r="47" ht="39.95" customFormat="1" customHeight="1" s="5">
      <c r="A47" s="182" t="n">
        <v>0.083</v>
      </c>
      <c r="B47" s="7" t="inlineStr">
        <is>
          <t>+7 FT 6 IN</t>
        </is>
      </c>
      <c r="C47" s="456" t="n"/>
      <c r="D47" s="13" t="n"/>
      <c r="H47" s="592" t="n"/>
      <c r="I47" s="593" t="n"/>
      <c r="M47" s="592" t="n"/>
      <c r="N47" s="593" t="n"/>
      <c r="R47" s="592" t="n"/>
      <c r="S47" s="593" t="n"/>
      <c r="W47" s="592" t="n"/>
      <c r="X47" s="593" t="n"/>
      <c r="AB47" s="592" t="n"/>
      <c r="AC47" s="593" t="n"/>
      <c r="AG47" s="592" t="n"/>
      <c r="AH47" s="593" t="n"/>
      <c r="AL47" s="592" t="n"/>
      <c r="AM47" s="593" t="n"/>
      <c r="AQ47" s="592" t="n"/>
      <c r="AR47" s="593" t="n"/>
      <c r="AV47" s="592" t="n"/>
      <c r="AW47" s="593" t="n"/>
      <c r="BA47" s="592" t="n"/>
      <c r="BB47" s="593" t="n"/>
      <c r="BF47" s="592" t="n"/>
      <c r="BG47" s="593" t="n"/>
      <c r="BK47" s="592" t="n"/>
      <c r="BL47" s="593" t="n"/>
      <c r="BP47" s="592" t="n"/>
      <c r="BQ47" s="593" t="n"/>
      <c r="BT47" s="592" t="n"/>
      <c r="BU47" s="455" t="n"/>
      <c r="BV47" s="455" t="n"/>
      <c r="BW47" s="238" t="n"/>
      <c r="BX47" s="238" t="n"/>
      <c r="BY47" s="238" t="n"/>
      <c r="BZ47" s="238" t="n"/>
      <c r="CA47" s="238" t="n"/>
      <c r="CB47" s="238" t="n"/>
      <c r="CC47" s="238" t="n"/>
      <c r="CD47" s="238" t="n"/>
      <c r="CE47" s="238" t="n"/>
      <c r="CF47" s="238" t="n"/>
      <c r="CG47" s="238" t="n"/>
      <c r="CH47" s="238" t="n"/>
      <c r="CI47" s="238" t="n"/>
      <c r="CJ47" s="238" t="n"/>
      <c r="CK47" s="238" t="n"/>
      <c r="CL47" s="238" t="n"/>
      <c r="CM47" s="238" t="n"/>
      <c r="CN47" s="238" t="n"/>
      <c r="CO47" s="238" t="n"/>
      <c r="CP47" s="238" t="n"/>
      <c r="CQ47" s="238" t="n"/>
      <c r="CR47" s="238" t="n"/>
      <c r="CS47" s="238" t="n"/>
      <c r="CT47" s="238" t="n"/>
      <c r="CU47" s="238" t="n"/>
      <c r="CV47" s="238" t="n"/>
      <c r="CW47" s="238" t="n"/>
      <c r="CX47" s="238" t="n"/>
      <c r="CY47" s="238" t="n"/>
      <c r="CZ47" s="238" t="n"/>
      <c r="DA47" s="238" t="n"/>
      <c r="DB47" s="238" t="n"/>
      <c r="DC47" s="238" t="n"/>
      <c r="DD47" s="238" t="n"/>
      <c r="DE47" s="238" t="n"/>
      <c r="DF47" s="238" t="n"/>
      <c r="DG47" s="238" t="n"/>
      <c r="DH47" s="238" t="n"/>
      <c r="DI47" s="238" t="n"/>
      <c r="DJ47" s="238" t="n"/>
      <c r="DK47" s="238" t="n"/>
      <c r="DL47" s="238" t="n"/>
      <c r="DM47" s="238" t="n"/>
      <c r="DN47" s="238" t="n"/>
      <c r="DO47" s="238" t="n"/>
      <c r="DP47" s="238" t="n"/>
      <c r="DQ47" s="238" t="n"/>
      <c r="DR47" s="238" t="n"/>
      <c r="DS47" s="238" t="n"/>
      <c r="DT47" s="238" t="n"/>
      <c r="DU47" s="238" t="n"/>
      <c r="DV47" s="238" t="n"/>
      <c r="DW47" s="238" t="n"/>
      <c r="DX47" s="238" t="n"/>
      <c r="DY47" s="238" t="n"/>
      <c r="DZ47" s="23" t="n"/>
      <c r="FQ47" s="212" t="n"/>
      <c r="FR47" s="212" t="n"/>
      <c r="FS47" s="212" t="n"/>
      <c r="FT47" s="212" t="n"/>
      <c r="FU47" s="212" t="n"/>
      <c r="FV47" s="212" t="n"/>
      <c r="FW47" s="212" t="n"/>
      <c r="FX47" s="212" t="n"/>
      <c r="FY47" s="212" t="n"/>
      <c r="FZ47" s="212" t="n"/>
    </row>
    <row r="48" ht="39.95" customFormat="1" customHeight="1" s="5">
      <c r="A48" s="456" t="n"/>
      <c r="B48" s="8" t="n"/>
      <c r="C48" s="456" t="n"/>
      <c r="D48" s="594" t="n"/>
      <c r="E48" s="595" t="n"/>
      <c r="F48" s="595" t="n"/>
      <c r="G48" s="595" t="n"/>
      <c r="H48" s="596" t="n"/>
      <c r="I48" s="597" t="n"/>
      <c r="J48" s="595" t="n"/>
      <c r="K48" s="595" t="n"/>
      <c r="L48" s="595" t="n"/>
      <c r="M48" s="596" t="n"/>
      <c r="N48" s="597" t="n"/>
      <c r="O48" s="595" t="n"/>
      <c r="P48" s="595" t="n"/>
      <c r="Q48" s="595" t="n"/>
      <c r="R48" s="596" t="n"/>
      <c r="S48" s="597" t="n"/>
      <c r="T48" s="595" t="n"/>
      <c r="U48" s="595" t="n"/>
      <c r="V48" s="595" t="n"/>
      <c r="W48" s="596" t="n"/>
      <c r="X48" s="597" t="n"/>
      <c r="Y48" s="595" t="n"/>
      <c r="Z48" s="595" t="n"/>
      <c r="AA48" s="595" t="n"/>
      <c r="AB48" s="596" t="n"/>
      <c r="AC48" s="597" t="n"/>
      <c r="AD48" s="595" t="n"/>
      <c r="AE48" s="595" t="n"/>
      <c r="AF48" s="595" t="n"/>
      <c r="AG48" s="596" t="n"/>
      <c r="AH48" s="597" t="n"/>
      <c r="AI48" s="595" t="n"/>
      <c r="AJ48" s="595" t="n"/>
      <c r="AK48" s="595" t="n"/>
      <c r="AL48" s="596" t="n"/>
      <c r="AM48" s="597" t="n"/>
      <c r="AN48" s="595" t="n"/>
      <c r="AO48" s="595" t="n"/>
      <c r="AP48" s="595" t="n"/>
      <c r="AQ48" s="596" t="n"/>
      <c r="AR48" s="597" t="n"/>
      <c r="AS48" s="595" t="n"/>
      <c r="AT48" s="595" t="n"/>
      <c r="AU48" s="595" t="n"/>
      <c r="AV48" s="596" t="n"/>
      <c r="AW48" s="597" t="n"/>
      <c r="AX48" s="595" t="n"/>
      <c r="AY48" s="595" t="n"/>
      <c r="AZ48" s="595" t="n"/>
      <c r="BA48" s="596" t="n"/>
      <c r="BB48" s="597" t="n"/>
      <c r="BC48" s="595" t="n"/>
      <c r="BD48" s="595" t="n"/>
      <c r="BE48" s="595" t="n"/>
      <c r="BF48" s="596" t="n"/>
      <c r="BG48" s="597" t="n"/>
      <c r="BH48" s="595" t="n"/>
      <c r="BI48" s="595" t="n"/>
      <c r="BJ48" s="595" t="n"/>
      <c r="BK48" s="596" t="n"/>
      <c r="BL48" s="597" t="n"/>
      <c r="BM48" s="595" t="n"/>
      <c r="BN48" s="595" t="n"/>
      <c r="BO48" s="595" t="n"/>
      <c r="BP48" s="596" t="n"/>
      <c r="BQ48" s="597" t="n"/>
      <c r="BR48" s="595" t="n"/>
      <c r="BS48" s="595" t="n"/>
      <c r="BT48" s="596" t="n"/>
      <c r="BU48" s="457" t="n"/>
      <c r="BV48" s="457" t="n"/>
      <c r="BW48" s="238" t="n"/>
      <c r="BX48" s="238" t="n"/>
      <c r="BY48" s="238" t="n"/>
      <c r="BZ48" s="238" t="n"/>
      <c r="CA48" s="238" t="n"/>
      <c r="CB48" s="238" t="n"/>
      <c r="CC48" s="238" t="n"/>
      <c r="CD48" s="238" t="n"/>
      <c r="CE48" s="238" t="n"/>
      <c r="CF48" s="238" t="n"/>
      <c r="CG48" s="238" t="n"/>
      <c r="CH48" s="238" t="n"/>
      <c r="CI48" s="238" t="n"/>
      <c r="CJ48" s="238" t="n"/>
      <c r="CK48" s="238" t="n"/>
      <c r="CL48" s="238" t="n"/>
      <c r="CM48" s="238" t="n"/>
      <c r="CN48" s="238" t="n"/>
      <c r="CO48" s="238" t="n"/>
      <c r="CP48" s="238" t="n"/>
      <c r="CQ48" s="238" t="n"/>
      <c r="CR48" s="238" t="n"/>
      <c r="CS48" s="238" t="n"/>
      <c r="CT48" s="238" t="n"/>
      <c r="CU48" s="238" t="n"/>
      <c r="CV48" s="238" t="n"/>
      <c r="CW48" s="238" t="n"/>
      <c r="CX48" s="238" t="n"/>
      <c r="CY48" s="238" t="n"/>
      <c r="CZ48" s="238" t="n"/>
      <c r="DA48" s="238" t="n"/>
      <c r="DB48" s="238" t="n"/>
      <c r="DC48" s="238" t="n"/>
      <c r="DD48" s="238" t="n"/>
      <c r="DE48" s="238" t="n"/>
      <c r="DF48" s="238" t="n"/>
      <c r="DG48" s="238" t="n"/>
      <c r="DH48" s="238" t="n"/>
      <c r="DI48" s="238" t="n"/>
      <c r="DJ48" s="238" t="n"/>
      <c r="DK48" s="238" t="n"/>
      <c r="DL48" s="238" t="n"/>
      <c r="DM48" s="238" t="n"/>
      <c r="DN48" s="238" t="n"/>
      <c r="DO48" s="238" t="n"/>
      <c r="DP48" s="238" t="n"/>
      <c r="DQ48" s="238" t="n"/>
      <c r="DR48" s="238" t="n"/>
      <c r="DS48" s="238" t="n"/>
      <c r="DT48" s="238" t="n"/>
      <c r="DU48" s="238" t="n"/>
      <c r="DV48" s="238" t="n"/>
      <c r="DW48" s="238" t="n"/>
      <c r="DX48" s="238" t="n"/>
      <c r="DY48" s="238" t="n"/>
      <c r="DZ48" s="23" t="n"/>
      <c r="FQ48" s="212" t="n"/>
      <c r="FR48" s="212" t="n"/>
      <c r="FS48" s="212" t="n"/>
      <c r="FT48" s="212" t="n"/>
      <c r="FU48" s="212" t="n"/>
      <c r="FV48" s="212" t="n"/>
      <c r="FW48" s="212" t="n"/>
      <c r="FX48" s="212" t="n"/>
      <c r="FY48" s="212" t="n"/>
      <c r="FZ48" s="212" t="n"/>
    </row>
    <row r="49" ht="39.95" customFormat="1" customHeight="1" s="5">
      <c r="A49" s="10" t="inlineStr">
        <is>
          <t>A</t>
        </is>
      </c>
      <c r="B49" s="6" t="n"/>
      <c r="C49" s="415" t="inlineStr">
        <is>
          <t>LOWEST</t>
        </is>
      </c>
      <c r="D49" s="613">
        <f>MIN(Thickness!D49:D51)</f>
        <v/>
      </c>
      <c r="E49" s="614">
        <f>MIN(Thickness!E49:E51)</f>
        <v/>
      </c>
      <c r="F49" s="614">
        <f>MIN(Thickness!F49:F51)</f>
        <v/>
      </c>
      <c r="G49" s="614">
        <f>MIN(Thickness!G49:G51)</f>
        <v/>
      </c>
      <c r="H49" s="615">
        <f>MIN(Thickness!H49:H51)</f>
        <v/>
      </c>
      <c r="I49" s="616">
        <f>MIN(Thickness!I49:I51)</f>
        <v/>
      </c>
      <c r="J49" s="614">
        <f>MIN(Thickness!J49:J51)</f>
        <v/>
      </c>
      <c r="K49" s="614">
        <f>MIN(Thickness!K49:K51)</f>
        <v/>
      </c>
      <c r="L49" s="614">
        <f>MIN(Thickness!L49:L51)</f>
        <v/>
      </c>
      <c r="M49" s="615">
        <f>MIN(Thickness!M49:M51)</f>
        <v/>
      </c>
      <c r="N49" s="616">
        <f>MIN(Thickness!N49:N51)</f>
        <v/>
      </c>
      <c r="O49" s="614">
        <f>MIN(Thickness!O49:O51)</f>
        <v/>
      </c>
      <c r="P49" s="614">
        <f>MIN(Thickness!P49:P51)</f>
        <v/>
      </c>
      <c r="Q49" s="614">
        <f>MIN(Thickness!Q49:Q51)</f>
        <v/>
      </c>
      <c r="R49" s="615">
        <f>MIN(Thickness!R49:R51)</f>
        <v/>
      </c>
      <c r="S49" s="616">
        <f>MIN(Thickness!S49:S51)</f>
        <v/>
      </c>
      <c r="T49" s="614">
        <f>MIN(Thickness!T49:T51)</f>
        <v/>
      </c>
      <c r="U49" s="614">
        <f>MIN(Thickness!U49:U51)</f>
        <v/>
      </c>
      <c r="V49" s="614">
        <f>MIN(Thickness!V49:V51)</f>
        <v/>
      </c>
      <c r="W49" s="615">
        <f>MIN(Thickness!W49:W51)</f>
        <v/>
      </c>
      <c r="X49" s="616">
        <f>MIN(Thickness!X49:X51)</f>
        <v/>
      </c>
      <c r="Y49" s="614">
        <f>MIN(Thickness!Y49:Y51)</f>
        <v/>
      </c>
      <c r="Z49" s="614">
        <f>MIN(Thickness!Z49:Z51)</f>
        <v/>
      </c>
      <c r="AA49" s="614">
        <f>MIN(Thickness!AA49:AA51)</f>
        <v/>
      </c>
      <c r="AB49" s="615">
        <f>MIN(Thickness!AB49:AB51)</f>
        <v/>
      </c>
      <c r="AC49" s="616">
        <f>MIN(Thickness!AC49:AC51)</f>
        <v/>
      </c>
      <c r="AD49" s="614">
        <f>MIN(Thickness!AD49:AD51)</f>
        <v/>
      </c>
      <c r="AE49" s="614">
        <f>MIN(Thickness!AE49:AE51)</f>
        <v/>
      </c>
      <c r="AF49" s="614">
        <f>MIN(Thickness!AF49:AF51)</f>
        <v/>
      </c>
      <c r="AG49" s="615">
        <f>MIN(Thickness!AG49:AG51)</f>
        <v/>
      </c>
      <c r="AH49" s="616">
        <f>MIN(Thickness!AH49:AH51)</f>
        <v/>
      </c>
      <c r="AI49" s="614">
        <f>MIN(Thickness!AI49:AI51)</f>
        <v/>
      </c>
      <c r="AJ49" s="614">
        <f>MIN(Thickness!AJ49:AJ51)</f>
        <v/>
      </c>
      <c r="AK49" s="614">
        <f>MIN(Thickness!AK49:AK51)</f>
        <v/>
      </c>
      <c r="AL49" s="615">
        <f>MIN(Thickness!AL49:AL51)</f>
        <v/>
      </c>
      <c r="AM49" s="616">
        <f>MIN(Thickness!AM49:AM51)</f>
        <v/>
      </c>
      <c r="AN49" s="614">
        <f>MIN(Thickness!AN49:AN51)</f>
        <v/>
      </c>
      <c r="AO49" s="614">
        <f>MIN(Thickness!AO49:AO51)</f>
        <v/>
      </c>
      <c r="AP49" s="614">
        <f>MIN(Thickness!AP49:AP51)</f>
        <v/>
      </c>
      <c r="AQ49" s="615">
        <f>MIN(Thickness!AQ49:AQ51)</f>
        <v/>
      </c>
      <c r="AR49" s="616">
        <f>MIN(Thickness!AR49:AR51)</f>
        <v/>
      </c>
      <c r="AS49" s="614">
        <f>MIN(Thickness!AS49:AS51)</f>
        <v/>
      </c>
      <c r="AT49" s="614">
        <f>MIN(Thickness!AT49:AT51)</f>
        <v/>
      </c>
      <c r="AU49" s="614">
        <f>MIN(Thickness!AU49:AU51)</f>
        <v/>
      </c>
      <c r="AV49" s="615">
        <f>MIN(Thickness!AV49:AV51)</f>
        <v/>
      </c>
      <c r="AW49" s="616">
        <f>MIN(Thickness!AW49:AW51)</f>
        <v/>
      </c>
      <c r="AX49" s="614">
        <f>MIN(Thickness!AX49:AX51)</f>
        <v/>
      </c>
      <c r="AY49" s="614">
        <f>MIN(Thickness!AY49:AY51)</f>
        <v/>
      </c>
      <c r="AZ49" s="614">
        <f>MIN(Thickness!AZ49:AZ51)</f>
        <v/>
      </c>
      <c r="BA49" s="615">
        <f>MIN(Thickness!BA49:BA51)</f>
        <v/>
      </c>
      <c r="BB49" s="616">
        <f>MIN(Thickness!BB49:BB51)</f>
        <v/>
      </c>
      <c r="BC49" s="614">
        <f>MIN(Thickness!BC49:BC51)</f>
        <v/>
      </c>
      <c r="BD49" s="614">
        <f>MIN(Thickness!BD49:BD51)</f>
        <v/>
      </c>
      <c r="BE49" s="614">
        <f>MIN(Thickness!BE49:BE51)</f>
        <v/>
      </c>
      <c r="BF49" s="615">
        <f>MIN(Thickness!BF49:BF51)</f>
        <v/>
      </c>
      <c r="BG49" s="616">
        <f>MIN(Thickness!BG49:BG51)</f>
        <v/>
      </c>
      <c r="BH49" s="614">
        <f>MIN(Thickness!BH49:BH51)</f>
        <v/>
      </c>
      <c r="BI49" s="614">
        <f>MIN(Thickness!BI49:BI51)</f>
        <v/>
      </c>
      <c r="BJ49" s="614">
        <f>MIN(Thickness!BJ49:BJ51)</f>
        <v/>
      </c>
      <c r="BK49" s="615">
        <f>MIN(Thickness!BK49:BK51)</f>
        <v/>
      </c>
      <c r="BL49" s="616">
        <f>MIN(Thickness!BL49:BL51)</f>
        <v/>
      </c>
      <c r="BM49" s="614">
        <f>MIN(Thickness!BM49:BM51)</f>
        <v/>
      </c>
      <c r="BN49" s="614">
        <f>MIN(Thickness!BN49:BN51)</f>
        <v/>
      </c>
      <c r="BO49" s="614">
        <f>MIN(Thickness!BO49:BO51)</f>
        <v/>
      </c>
      <c r="BP49" s="615">
        <f>MIN(Thickness!BP49:BP51)</f>
        <v/>
      </c>
      <c r="BQ49" s="616">
        <f>MIN(Thickness!BQ49:BQ51)</f>
        <v/>
      </c>
      <c r="BR49" s="614">
        <f>MIN(Thickness!BR49:BR51)</f>
        <v/>
      </c>
      <c r="BS49" s="614">
        <f>MIN(Thickness!BS49:BS51)</f>
        <v/>
      </c>
      <c r="BT49" s="615">
        <f>MIN(Thickness!BT49:BT51)</f>
        <v/>
      </c>
      <c r="BU49" s="454">
        <f>IFERROR(AVERAGE(D49:BT51),0)</f>
        <v/>
      </c>
      <c r="BV49" s="454">
        <f>MIN(D49:BT51)</f>
        <v/>
      </c>
      <c r="BW49" s="238" t="n"/>
      <c r="BX49" s="238" t="n"/>
      <c r="BY49" s="238" t="n"/>
      <c r="BZ49" s="238" t="n"/>
      <c r="CA49" s="238" t="n"/>
      <c r="CB49" s="238" t="n"/>
      <c r="CC49" s="238" t="n"/>
      <c r="CD49" s="238" t="n"/>
      <c r="CE49" s="238" t="n"/>
      <c r="CF49" s="238" t="n"/>
      <c r="CG49" s="238" t="n"/>
      <c r="CH49" s="238" t="n"/>
      <c r="CI49" s="238" t="n"/>
      <c r="CJ49" s="238" t="n"/>
      <c r="CK49" s="238" t="n"/>
      <c r="CL49" s="238" t="n"/>
      <c r="CM49" s="238" t="n"/>
      <c r="CN49" s="238" t="n"/>
      <c r="CO49" s="238" t="n"/>
      <c r="CP49" s="238" t="n"/>
      <c r="CQ49" s="238" t="n"/>
      <c r="CR49" s="238" t="n"/>
      <c r="CS49" s="238" t="n"/>
      <c r="CT49" s="238" t="n"/>
      <c r="CU49" s="238" t="n"/>
      <c r="CV49" s="238" t="n"/>
      <c r="CW49" s="238" t="n"/>
      <c r="CX49" s="238" t="n"/>
      <c r="CY49" s="238" t="n"/>
      <c r="CZ49" s="238" t="n"/>
      <c r="DA49" s="238" t="n"/>
      <c r="DB49" s="238" t="n"/>
      <c r="DC49" s="238" t="n"/>
      <c r="DD49" s="238" t="n"/>
      <c r="DE49" s="238" t="n"/>
      <c r="DF49" s="238" t="n"/>
      <c r="DG49" s="238" t="n"/>
      <c r="DH49" s="238" t="n"/>
      <c r="DI49" s="238" t="n"/>
      <c r="DJ49" s="238" t="n"/>
      <c r="DK49" s="238" t="n"/>
      <c r="DL49" s="238" t="n"/>
      <c r="DM49" s="238" t="n"/>
      <c r="DN49" s="238" t="n"/>
      <c r="DO49" s="238" t="n"/>
      <c r="DP49" s="238" t="n"/>
      <c r="DQ49" s="238" t="n"/>
      <c r="DR49" s="238" t="n"/>
      <c r="DS49" s="238" t="n"/>
      <c r="DT49" s="238" t="n"/>
      <c r="DU49" s="238" t="n"/>
      <c r="DV49" s="238" t="n"/>
      <c r="DW49" s="238" t="n"/>
      <c r="DX49" s="238" t="n"/>
      <c r="DY49" s="238" t="n"/>
      <c r="DZ49" s="23" t="n"/>
      <c r="FQ49" s="212" t="n"/>
      <c r="FR49" s="212" t="n"/>
      <c r="FS49" s="212" t="n"/>
      <c r="FT49" s="212" t="n"/>
      <c r="FU49" s="212" t="n"/>
      <c r="FV49" s="212" t="n"/>
      <c r="FW49" s="212" t="n"/>
      <c r="FX49" s="212" t="n"/>
      <c r="FY49" s="212" t="n"/>
      <c r="FZ49" s="212" t="n"/>
    </row>
    <row r="50" ht="39.95" customFormat="1" customHeight="1" s="5">
      <c r="A50" s="182" t="n">
        <v>0.083</v>
      </c>
      <c r="B50" s="7" t="inlineStr">
        <is>
          <t>+6 FT</t>
        </is>
      </c>
      <c r="C50" s="456" t="n"/>
      <c r="D50" s="13" t="n"/>
      <c r="H50" s="592" t="n"/>
      <c r="I50" s="593" t="n"/>
      <c r="M50" s="592" t="n"/>
      <c r="N50" s="593" t="n"/>
      <c r="R50" s="592" t="n"/>
      <c r="S50" s="593" t="n"/>
      <c r="W50" s="592" t="n"/>
      <c r="X50" s="593" t="n"/>
      <c r="AB50" s="592" t="n"/>
      <c r="AC50" s="593" t="n"/>
      <c r="AG50" s="592" t="n"/>
      <c r="AH50" s="593" t="n"/>
      <c r="AL50" s="592" t="n"/>
      <c r="AM50" s="593" t="n"/>
      <c r="AQ50" s="592" t="n"/>
      <c r="AR50" s="593" t="n"/>
      <c r="AV50" s="592" t="n"/>
      <c r="AW50" s="593" t="n"/>
      <c r="BA50" s="592" t="n"/>
      <c r="BB50" s="593" t="n"/>
      <c r="BF50" s="592" t="n"/>
      <c r="BG50" s="593" t="n"/>
      <c r="BK50" s="592" t="n"/>
      <c r="BL50" s="593" t="n"/>
      <c r="BP50" s="592" t="n"/>
      <c r="BQ50" s="593" t="n"/>
      <c r="BT50" s="592" t="n"/>
      <c r="BU50" s="455" t="n"/>
      <c r="BV50" s="455" t="n"/>
      <c r="BW50" s="238" t="n"/>
      <c r="BX50" s="238" t="n"/>
      <c r="BY50" s="238" t="n"/>
      <c r="BZ50" s="238" t="n"/>
      <c r="CA50" s="238" t="n"/>
      <c r="CB50" s="238" t="n"/>
      <c r="CC50" s="238" t="n"/>
      <c r="CD50" s="238" t="n"/>
      <c r="CE50" s="238" t="n"/>
      <c r="CF50" s="238" t="n"/>
      <c r="CG50" s="238" t="n"/>
      <c r="CH50" s="238" t="n"/>
      <c r="CI50" s="238" t="n"/>
      <c r="CJ50" s="238" t="n"/>
      <c r="CK50" s="238" t="n"/>
      <c r="CL50" s="238" t="n"/>
      <c r="CM50" s="238" t="n"/>
      <c r="CN50" s="238" t="n"/>
      <c r="CO50" s="238" t="n"/>
      <c r="CP50" s="238" t="n"/>
      <c r="CQ50" s="238" t="n"/>
      <c r="CR50" s="238" t="n"/>
      <c r="CS50" s="238" t="n"/>
      <c r="CT50" s="238" t="n"/>
      <c r="CU50" s="238" t="n"/>
      <c r="CV50" s="238" t="n"/>
      <c r="CW50" s="238" t="n"/>
      <c r="CX50" s="238" t="n"/>
      <c r="CY50" s="238" t="n"/>
      <c r="CZ50" s="238" t="n"/>
      <c r="DA50" s="238" t="n"/>
      <c r="DB50" s="238" t="n"/>
      <c r="DC50" s="238" t="n"/>
      <c r="DD50" s="238" t="n"/>
      <c r="DE50" s="238" t="n"/>
      <c r="DF50" s="238" t="n"/>
      <c r="DG50" s="238" t="n"/>
      <c r="DH50" s="238" t="n"/>
      <c r="DI50" s="238" t="n"/>
      <c r="DJ50" s="238" t="n"/>
      <c r="DK50" s="238" t="n"/>
      <c r="DL50" s="238" t="n"/>
      <c r="DM50" s="238" t="n"/>
      <c r="DN50" s="238" t="n"/>
      <c r="DO50" s="238" t="n"/>
      <c r="DP50" s="238" t="n"/>
      <c r="DQ50" s="238" t="n"/>
      <c r="DR50" s="238" t="n"/>
      <c r="DS50" s="238" t="n"/>
      <c r="DT50" s="238" t="n"/>
      <c r="DU50" s="238" t="n"/>
      <c r="DV50" s="238" t="n"/>
      <c r="DW50" s="238" t="n"/>
      <c r="DX50" s="238" t="n"/>
      <c r="DY50" s="238" t="n"/>
      <c r="DZ50" s="23" t="n"/>
      <c r="FQ50" s="212" t="n"/>
      <c r="FR50" s="212" t="n"/>
      <c r="FS50" s="212" t="n"/>
      <c r="FT50" s="212" t="n"/>
      <c r="FU50" s="212" t="n"/>
      <c r="FV50" s="212" t="n"/>
      <c r="FW50" s="212" t="n"/>
      <c r="FX50" s="212" t="n"/>
      <c r="FY50" s="212" t="n"/>
      <c r="FZ50" s="212" t="n"/>
    </row>
    <row r="51" ht="39.95" customFormat="1" customHeight="1" s="5">
      <c r="A51" s="456" t="n"/>
      <c r="B51" s="8" t="n"/>
      <c r="C51" s="456" t="n"/>
      <c r="D51" s="594" t="n"/>
      <c r="E51" s="595" t="n"/>
      <c r="F51" s="595" t="n"/>
      <c r="G51" s="595" t="n"/>
      <c r="H51" s="596" t="n"/>
      <c r="I51" s="597" t="n"/>
      <c r="J51" s="595" t="n"/>
      <c r="K51" s="595" t="n"/>
      <c r="L51" s="595" t="n"/>
      <c r="M51" s="596" t="n"/>
      <c r="N51" s="597" t="n"/>
      <c r="O51" s="595" t="n"/>
      <c r="P51" s="595" t="n"/>
      <c r="Q51" s="595" t="n"/>
      <c r="R51" s="596" t="n"/>
      <c r="S51" s="597" t="n"/>
      <c r="T51" s="595" t="n"/>
      <c r="U51" s="595" t="n"/>
      <c r="V51" s="595" t="n"/>
      <c r="W51" s="596" t="n"/>
      <c r="X51" s="597" t="n"/>
      <c r="Y51" s="595" t="n"/>
      <c r="Z51" s="595" t="n"/>
      <c r="AA51" s="595" t="n"/>
      <c r="AB51" s="596" t="n"/>
      <c r="AC51" s="597" t="n"/>
      <c r="AD51" s="595" t="n"/>
      <c r="AE51" s="595" t="n"/>
      <c r="AF51" s="595" t="n"/>
      <c r="AG51" s="596" t="n"/>
      <c r="AH51" s="597" t="n"/>
      <c r="AI51" s="595" t="n"/>
      <c r="AJ51" s="595" t="n"/>
      <c r="AK51" s="595" t="n"/>
      <c r="AL51" s="596" t="n"/>
      <c r="AM51" s="597" t="n"/>
      <c r="AN51" s="595" t="n"/>
      <c r="AO51" s="595" t="n"/>
      <c r="AP51" s="595" t="n"/>
      <c r="AQ51" s="596" t="n"/>
      <c r="AR51" s="597" t="n"/>
      <c r="AS51" s="595" t="n"/>
      <c r="AT51" s="595" t="n"/>
      <c r="AU51" s="595" t="n"/>
      <c r="AV51" s="596" t="n"/>
      <c r="AW51" s="597" t="n"/>
      <c r="AX51" s="595" t="n"/>
      <c r="AY51" s="595" t="n"/>
      <c r="AZ51" s="595" t="n"/>
      <c r="BA51" s="596" t="n"/>
      <c r="BB51" s="597" t="n"/>
      <c r="BC51" s="595" t="n"/>
      <c r="BD51" s="595" t="n"/>
      <c r="BE51" s="595" t="n"/>
      <c r="BF51" s="596" t="n"/>
      <c r="BG51" s="597" t="n"/>
      <c r="BH51" s="595" t="n"/>
      <c r="BI51" s="595" t="n"/>
      <c r="BJ51" s="595" t="n"/>
      <c r="BK51" s="596" t="n"/>
      <c r="BL51" s="597" t="n"/>
      <c r="BM51" s="595" t="n"/>
      <c r="BN51" s="595" t="n"/>
      <c r="BO51" s="595" t="n"/>
      <c r="BP51" s="596" t="n"/>
      <c r="BQ51" s="597" t="n"/>
      <c r="BR51" s="595" t="n"/>
      <c r="BS51" s="595" t="n"/>
      <c r="BT51" s="596" t="n"/>
      <c r="BU51" s="457" t="n"/>
      <c r="BV51" s="457" t="n"/>
      <c r="BW51" s="238" t="n"/>
      <c r="BX51" s="238" t="n"/>
      <c r="BY51" s="238" t="n"/>
      <c r="BZ51" s="238" t="n"/>
      <c r="CA51" s="238" t="n"/>
      <c r="CB51" s="238" t="n"/>
      <c r="CC51" s="238" t="n"/>
      <c r="CD51" s="238" t="n"/>
      <c r="CE51" s="238" t="n"/>
      <c r="CF51" s="238" t="n"/>
      <c r="CG51" s="238" t="n"/>
      <c r="CH51" s="238" t="n"/>
      <c r="CI51" s="238" t="n"/>
      <c r="CJ51" s="238" t="n"/>
      <c r="CK51" s="238" t="n"/>
      <c r="CL51" s="238" t="n"/>
      <c r="CM51" s="238" t="n"/>
      <c r="CN51" s="238" t="n"/>
      <c r="CO51" s="238" t="n"/>
      <c r="CP51" s="238" t="n"/>
      <c r="CQ51" s="238" t="n"/>
      <c r="CR51" s="238" t="n"/>
      <c r="CS51" s="238" t="n"/>
      <c r="CT51" s="238" t="n"/>
      <c r="CU51" s="238" t="n"/>
      <c r="CV51" s="238" t="n"/>
      <c r="CW51" s="238" t="n"/>
      <c r="CX51" s="238" t="n"/>
      <c r="CY51" s="238" t="n"/>
      <c r="CZ51" s="238" t="n"/>
      <c r="DA51" s="238" t="n"/>
      <c r="DB51" s="238" t="n"/>
      <c r="DC51" s="238" t="n"/>
      <c r="DD51" s="238" t="n"/>
      <c r="DE51" s="238" t="n"/>
      <c r="DF51" s="238" t="n"/>
      <c r="DG51" s="238" t="n"/>
      <c r="DH51" s="238" t="n"/>
      <c r="DI51" s="238" t="n"/>
      <c r="DJ51" s="238" t="n"/>
      <c r="DK51" s="238" t="n"/>
      <c r="DL51" s="238" t="n"/>
      <c r="DM51" s="238" t="n"/>
      <c r="DN51" s="238" t="n"/>
      <c r="DO51" s="238" t="n"/>
      <c r="DP51" s="238" t="n"/>
      <c r="DQ51" s="238" t="n"/>
      <c r="DR51" s="238" t="n"/>
      <c r="DS51" s="238" t="n"/>
      <c r="DT51" s="238" t="n"/>
      <c r="DU51" s="238" t="n"/>
      <c r="DV51" s="238" t="n"/>
      <c r="DW51" s="238" t="n"/>
      <c r="DX51" s="238" t="n"/>
      <c r="DY51" s="238" t="n"/>
      <c r="DZ51" s="23" t="n"/>
      <c r="FQ51" s="212" t="n"/>
      <c r="FR51" s="212" t="n"/>
      <c r="FS51" s="212" t="n"/>
      <c r="FT51" s="212" t="n"/>
      <c r="FU51" s="212" t="n"/>
      <c r="FV51" s="212" t="n"/>
      <c r="FW51" s="212" t="n"/>
      <c r="FX51" s="212" t="n"/>
      <c r="FY51" s="212" t="n"/>
      <c r="FZ51" s="212" t="n"/>
    </row>
    <row r="52" ht="39.95" customFormat="1" customHeight="1" s="5">
      <c r="A52" s="10" t="inlineStr">
        <is>
          <t>A</t>
        </is>
      </c>
      <c r="B52" s="6" t="n"/>
      <c r="C52" s="415" t="inlineStr">
        <is>
          <t>LOWEST</t>
        </is>
      </c>
      <c r="D52" s="613">
        <f>MIN(Thickness!D52:D54)</f>
        <v/>
      </c>
      <c r="E52" s="614">
        <f>MIN(Thickness!E52:E54)</f>
        <v/>
      </c>
      <c r="F52" s="614">
        <f>MIN(Thickness!F52:F54)</f>
        <v/>
      </c>
      <c r="G52" s="614">
        <f>MIN(Thickness!G52:G54)</f>
        <v/>
      </c>
      <c r="H52" s="615">
        <f>MIN(Thickness!H52:H54)</f>
        <v/>
      </c>
      <c r="I52" s="616">
        <f>MIN(Thickness!I52:I54)</f>
        <v/>
      </c>
      <c r="J52" s="614">
        <f>MIN(Thickness!J52:J54)</f>
        <v/>
      </c>
      <c r="K52" s="614">
        <f>MIN(Thickness!K52:K54)</f>
        <v/>
      </c>
      <c r="L52" s="614">
        <f>MIN(Thickness!L52:L54)</f>
        <v/>
      </c>
      <c r="M52" s="615">
        <f>MIN(Thickness!M52:M54)</f>
        <v/>
      </c>
      <c r="N52" s="616">
        <f>MIN(Thickness!N52:N54)</f>
        <v/>
      </c>
      <c r="O52" s="614">
        <f>MIN(Thickness!O52:O54)</f>
        <v/>
      </c>
      <c r="P52" s="614">
        <f>MIN(Thickness!P52:P54)</f>
        <v/>
      </c>
      <c r="Q52" s="614">
        <f>MIN(Thickness!Q52:Q54)</f>
        <v/>
      </c>
      <c r="R52" s="615">
        <f>MIN(Thickness!R52:R54)</f>
        <v/>
      </c>
      <c r="S52" s="616">
        <f>MIN(Thickness!S52:S54)</f>
        <v/>
      </c>
      <c r="T52" s="614">
        <f>MIN(Thickness!T52:T54)</f>
        <v/>
      </c>
      <c r="U52" s="614">
        <f>MIN(Thickness!U52:U54)</f>
        <v/>
      </c>
      <c r="V52" s="614">
        <f>MIN(Thickness!V52:V54)</f>
        <v/>
      </c>
      <c r="W52" s="615">
        <f>MIN(Thickness!W52:W54)</f>
        <v/>
      </c>
      <c r="X52" s="616">
        <f>MIN(Thickness!X52:X54)</f>
        <v/>
      </c>
      <c r="Y52" s="614">
        <f>MIN(Thickness!Y52:Y54)</f>
        <v/>
      </c>
      <c r="Z52" s="614">
        <f>MIN(Thickness!Z52:Z54)</f>
        <v/>
      </c>
      <c r="AA52" s="614">
        <f>MIN(Thickness!AA52:AA54)</f>
        <v/>
      </c>
      <c r="AB52" s="615">
        <f>MIN(Thickness!AB52:AB54)</f>
        <v/>
      </c>
      <c r="AC52" s="616">
        <f>MIN(Thickness!AC52:AC54)</f>
        <v/>
      </c>
      <c r="AD52" s="614">
        <f>MIN(Thickness!AD52:AD54)</f>
        <v/>
      </c>
      <c r="AE52" s="614">
        <f>MIN(Thickness!AE52:AE54)</f>
        <v/>
      </c>
      <c r="AF52" s="614">
        <f>MIN(Thickness!AF52:AF54)</f>
        <v/>
      </c>
      <c r="AG52" s="615">
        <f>MIN(Thickness!AG52:AG54)</f>
        <v/>
      </c>
      <c r="AH52" s="616">
        <f>MIN(Thickness!AH52:AH54)</f>
        <v/>
      </c>
      <c r="AI52" s="614">
        <f>MIN(Thickness!AI52:AI54)</f>
        <v/>
      </c>
      <c r="AJ52" s="614">
        <f>MIN(Thickness!AJ52:AJ54)</f>
        <v/>
      </c>
      <c r="AK52" s="614">
        <f>MIN(Thickness!AK52:AK54)</f>
        <v/>
      </c>
      <c r="AL52" s="615">
        <f>MIN(Thickness!AL52:AL54)</f>
        <v/>
      </c>
      <c r="AM52" s="616">
        <f>MIN(Thickness!AM52:AM54)</f>
        <v/>
      </c>
      <c r="AN52" s="614">
        <f>MIN(Thickness!AN52:AN54)</f>
        <v/>
      </c>
      <c r="AO52" s="614">
        <f>MIN(Thickness!AO52:AO54)</f>
        <v/>
      </c>
      <c r="AP52" s="614">
        <f>MIN(Thickness!AP52:AP54)</f>
        <v/>
      </c>
      <c r="AQ52" s="615">
        <f>MIN(Thickness!AQ52:AQ54)</f>
        <v/>
      </c>
      <c r="AR52" s="616">
        <f>MIN(Thickness!AR52:AR54)</f>
        <v/>
      </c>
      <c r="AS52" s="614">
        <f>MIN(Thickness!AS52:AS54)</f>
        <v/>
      </c>
      <c r="AT52" s="614">
        <f>MIN(Thickness!AT52:AT54)</f>
        <v/>
      </c>
      <c r="AU52" s="614">
        <f>MIN(Thickness!AU52:AU54)</f>
        <v/>
      </c>
      <c r="AV52" s="615">
        <f>MIN(Thickness!AV52:AV54)</f>
        <v/>
      </c>
      <c r="AW52" s="616">
        <f>MIN(Thickness!AW52:AW54)</f>
        <v/>
      </c>
      <c r="AX52" s="614">
        <f>MIN(Thickness!AX52:AX54)</f>
        <v/>
      </c>
      <c r="AY52" s="614">
        <f>MIN(Thickness!AY52:AY54)</f>
        <v/>
      </c>
      <c r="AZ52" s="614">
        <f>MIN(Thickness!AZ52:AZ54)</f>
        <v/>
      </c>
      <c r="BA52" s="615">
        <f>MIN(Thickness!BA52:BA54)</f>
        <v/>
      </c>
      <c r="BB52" s="616">
        <f>MIN(Thickness!BB52:BB54)</f>
        <v/>
      </c>
      <c r="BC52" s="614">
        <f>MIN(Thickness!BC52:BC54)</f>
        <v/>
      </c>
      <c r="BD52" s="614">
        <f>MIN(Thickness!BD52:BD54)</f>
        <v/>
      </c>
      <c r="BE52" s="614">
        <f>MIN(Thickness!BE52:BE54)</f>
        <v/>
      </c>
      <c r="BF52" s="615">
        <f>MIN(Thickness!BF52:BF54)</f>
        <v/>
      </c>
      <c r="BG52" s="616">
        <f>MIN(Thickness!BG52:BG54)</f>
        <v/>
      </c>
      <c r="BH52" s="614">
        <f>MIN(Thickness!BH52:BH54)</f>
        <v/>
      </c>
      <c r="BI52" s="614">
        <f>MIN(Thickness!BI52:BI54)</f>
        <v/>
      </c>
      <c r="BJ52" s="614">
        <f>MIN(Thickness!BJ52:BJ54)</f>
        <v/>
      </c>
      <c r="BK52" s="615">
        <f>MIN(Thickness!BK52:BK54)</f>
        <v/>
      </c>
      <c r="BL52" s="616">
        <f>MIN(Thickness!BL52:BL54)</f>
        <v/>
      </c>
      <c r="BM52" s="614">
        <f>MIN(Thickness!BM52:BM54)</f>
        <v/>
      </c>
      <c r="BN52" s="614">
        <f>MIN(Thickness!BN52:BN54)</f>
        <v/>
      </c>
      <c r="BO52" s="614">
        <f>MIN(Thickness!BO52:BO54)</f>
        <v/>
      </c>
      <c r="BP52" s="615">
        <f>MIN(Thickness!BP52:BP54)</f>
        <v/>
      </c>
      <c r="BQ52" s="616">
        <f>MIN(Thickness!BQ52:BQ54)</f>
        <v/>
      </c>
      <c r="BR52" s="614">
        <f>MIN(Thickness!BR52:BR54)</f>
        <v/>
      </c>
      <c r="BS52" s="614">
        <f>MIN(Thickness!BS52:BS54)</f>
        <v/>
      </c>
      <c r="BT52" s="615">
        <f>MIN(Thickness!BT52:BT54)</f>
        <v/>
      </c>
      <c r="BU52" s="454">
        <f>IFERROR(AVERAGE(D52:BT54),0)</f>
        <v/>
      </c>
      <c r="BV52" s="454">
        <f>MIN(D52:BT54)</f>
        <v/>
      </c>
      <c r="BW52" s="238" t="n"/>
      <c r="BX52" s="238" t="n"/>
      <c r="BY52" s="238" t="n"/>
      <c r="BZ52" s="238" t="n"/>
      <c r="CA52" s="238" t="n"/>
      <c r="CB52" s="238" t="n"/>
      <c r="CC52" s="238" t="n"/>
      <c r="CD52" s="238" t="n"/>
      <c r="CE52" s="238" t="n"/>
      <c r="CF52" s="238" t="n"/>
      <c r="CG52" s="238" t="n"/>
      <c r="CH52" s="238" t="n"/>
      <c r="CI52" s="238" t="n"/>
      <c r="CJ52" s="238" t="n"/>
      <c r="CK52" s="238" t="n"/>
      <c r="CL52" s="238" t="n"/>
      <c r="CM52" s="238" t="n"/>
      <c r="CN52" s="238" t="n"/>
      <c r="CO52" s="238" t="n"/>
      <c r="CP52" s="238" t="n"/>
      <c r="CQ52" s="238" t="n"/>
      <c r="CR52" s="238" t="n"/>
      <c r="CS52" s="238" t="n"/>
      <c r="CT52" s="238" t="n"/>
      <c r="CU52" s="238" t="n"/>
      <c r="CV52" s="238" t="n"/>
      <c r="CW52" s="238" t="n"/>
      <c r="CX52" s="238" t="n"/>
      <c r="CY52" s="238" t="n"/>
      <c r="CZ52" s="238" t="n"/>
      <c r="DA52" s="238" t="n"/>
      <c r="DB52" s="238" t="n"/>
      <c r="DC52" s="238" t="n"/>
      <c r="DD52" s="238" t="n"/>
      <c r="DE52" s="238" t="n"/>
      <c r="DF52" s="238" t="n"/>
      <c r="DG52" s="238" t="n"/>
      <c r="DH52" s="238" t="n"/>
      <c r="DI52" s="238" t="n"/>
      <c r="DJ52" s="238" t="n"/>
      <c r="DK52" s="238" t="n"/>
      <c r="DL52" s="238" t="n"/>
      <c r="DM52" s="238" t="n"/>
      <c r="DN52" s="238" t="n"/>
      <c r="DO52" s="238" t="n"/>
      <c r="DP52" s="238" t="n"/>
      <c r="DQ52" s="238" t="n"/>
      <c r="DR52" s="238" t="n"/>
      <c r="DS52" s="238" t="n"/>
      <c r="DT52" s="238" t="n"/>
      <c r="DU52" s="238" t="n"/>
      <c r="DV52" s="238" t="n"/>
      <c r="DW52" s="238" t="n"/>
      <c r="DX52" s="238" t="n"/>
      <c r="DY52" s="238" t="n"/>
      <c r="DZ52" s="23" t="n"/>
      <c r="FQ52" s="212" t="n"/>
      <c r="FR52" s="212" t="n"/>
      <c r="FS52" s="212" t="n"/>
      <c r="FT52" s="212" t="n"/>
      <c r="FU52" s="212" t="n"/>
      <c r="FV52" s="212" t="n"/>
      <c r="FW52" s="212" t="n"/>
      <c r="FX52" s="212" t="n"/>
      <c r="FY52" s="212" t="n"/>
      <c r="FZ52" s="212" t="n"/>
    </row>
    <row r="53" ht="39.95" customFormat="1" customHeight="1" s="5">
      <c r="A53" s="182" t="n">
        <v>0.083</v>
      </c>
      <c r="B53" s="7" t="inlineStr">
        <is>
          <t>+4 FT 6 IN</t>
        </is>
      </c>
      <c r="C53" s="456" t="n"/>
      <c r="D53" s="13" t="n"/>
      <c r="H53" s="592" t="n"/>
      <c r="I53" s="593" t="n"/>
      <c r="M53" s="592" t="n"/>
      <c r="N53" s="593" t="n"/>
      <c r="R53" s="592" t="n"/>
      <c r="S53" s="593" t="n"/>
      <c r="W53" s="592" t="n"/>
      <c r="X53" s="593" t="n"/>
      <c r="AB53" s="592" t="n"/>
      <c r="AC53" s="593" t="n"/>
      <c r="AG53" s="592" t="n"/>
      <c r="AH53" s="593" t="n"/>
      <c r="AL53" s="592" t="n"/>
      <c r="AM53" s="593" t="n"/>
      <c r="AQ53" s="592" t="n"/>
      <c r="AR53" s="593" t="n"/>
      <c r="AV53" s="592" t="n"/>
      <c r="AW53" s="593" t="n"/>
      <c r="BA53" s="592" t="n"/>
      <c r="BB53" s="593" t="n"/>
      <c r="BF53" s="592" t="n"/>
      <c r="BG53" s="593" t="n"/>
      <c r="BK53" s="592" t="n"/>
      <c r="BL53" s="593" t="n"/>
      <c r="BP53" s="592" t="n"/>
      <c r="BQ53" s="593" t="n"/>
      <c r="BT53" s="592" t="n"/>
      <c r="BU53" s="455" t="n"/>
      <c r="BV53" s="455" t="n"/>
      <c r="BW53" s="238" t="n"/>
      <c r="BX53" s="238" t="n"/>
      <c r="BY53" s="238" t="n"/>
      <c r="BZ53" s="238" t="n"/>
      <c r="CA53" s="238" t="n"/>
      <c r="CB53" s="238" t="n"/>
      <c r="CC53" s="238" t="n"/>
      <c r="CD53" s="238" t="n"/>
      <c r="CE53" s="238" t="n"/>
      <c r="CF53" s="238" t="n"/>
      <c r="CG53" s="238" t="n"/>
      <c r="CH53" s="238" t="n"/>
      <c r="CI53" s="238" t="n"/>
      <c r="CJ53" s="238" t="n"/>
      <c r="CK53" s="238" t="n"/>
      <c r="CL53" s="238" t="n"/>
      <c r="CM53" s="238" t="n"/>
      <c r="CN53" s="238" t="n"/>
      <c r="CO53" s="238" t="n"/>
      <c r="CP53" s="238" t="n"/>
      <c r="CQ53" s="238" t="n"/>
      <c r="CR53" s="238" t="n"/>
      <c r="CS53" s="238" t="n"/>
      <c r="CT53" s="238" t="n"/>
      <c r="CU53" s="238" t="n"/>
      <c r="CV53" s="238" t="n"/>
      <c r="CW53" s="238" t="n"/>
      <c r="CX53" s="238" t="n"/>
      <c r="CY53" s="238" t="n"/>
      <c r="CZ53" s="238" t="n"/>
      <c r="DA53" s="238" t="n"/>
      <c r="DB53" s="238" t="n"/>
      <c r="DC53" s="238" t="n"/>
      <c r="DD53" s="238" t="n"/>
      <c r="DE53" s="238" t="n"/>
      <c r="DF53" s="238" t="n"/>
      <c r="DG53" s="238" t="n"/>
      <c r="DH53" s="238" t="n"/>
      <c r="DI53" s="238" t="n"/>
      <c r="DJ53" s="238" t="n"/>
      <c r="DK53" s="238" t="n"/>
      <c r="DL53" s="238" t="n"/>
      <c r="DM53" s="238" t="n"/>
      <c r="DN53" s="238" t="n"/>
      <c r="DO53" s="238" t="n"/>
      <c r="DP53" s="238" t="n"/>
      <c r="DQ53" s="238" t="n"/>
      <c r="DR53" s="238" t="n"/>
      <c r="DS53" s="238" t="n"/>
      <c r="DT53" s="238" t="n"/>
      <c r="DU53" s="238" t="n"/>
      <c r="DV53" s="238" t="n"/>
      <c r="DW53" s="238" t="n"/>
      <c r="DX53" s="238" t="n"/>
      <c r="DY53" s="238" t="n"/>
      <c r="DZ53" s="23" t="n"/>
      <c r="FQ53" s="212" t="n"/>
      <c r="FR53" s="212" t="n"/>
      <c r="FS53" s="212" t="n"/>
      <c r="FT53" s="212" t="n"/>
      <c r="FU53" s="212" t="n"/>
      <c r="FV53" s="212" t="n"/>
      <c r="FW53" s="212" t="n"/>
      <c r="FX53" s="212" t="n"/>
      <c r="FY53" s="212" t="n"/>
      <c r="FZ53" s="212" t="n"/>
    </row>
    <row r="54" ht="39.95" customFormat="1" customHeight="1" s="5">
      <c r="A54" s="456" t="n"/>
      <c r="B54" s="8" t="n"/>
      <c r="C54" s="456" t="n"/>
      <c r="D54" s="594" t="n"/>
      <c r="E54" s="595" t="n"/>
      <c r="F54" s="595" t="n"/>
      <c r="G54" s="595" t="n"/>
      <c r="H54" s="596" t="n"/>
      <c r="I54" s="597" t="n"/>
      <c r="J54" s="595" t="n"/>
      <c r="K54" s="595" t="n"/>
      <c r="L54" s="595" t="n"/>
      <c r="M54" s="596" t="n"/>
      <c r="N54" s="597" t="n"/>
      <c r="O54" s="595" t="n"/>
      <c r="P54" s="595" t="n"/>
      <c r="Q54" s="595" t="n"/>
      <c r="R54" s="596" t="n"/>
      <c r="S54" s="597" t="n"/>
      <c r="T54" s="595" t="n"/>
      <c r="U54" s="595" t="n"/>
      <c r="V54" s="595" t="n"/>
      <c r="W54" s="596" t="n"/>
      <c r="X54" s="597" t="n"/>
      <c r="Y54" s="595" t="n"/>
      <c r="Z54" s="595" t="n"/>
      <c r="AA54" s="595" t="n"/>
      <c r="AB54" s="596" t="n"/>
      <c r="AC54" s="597" t="n"/>
      <c r="AD54" s="595" t="n"/>
      <c r="AE54" s="595" t="n"/>
      <c r="AF54" s="595" t="n"/>
      <c r="AG54" s="596" t="n"/>
      <c r="AH54" s="597" t="n"/>
      <c r="AI54" s="595" t="n"/>
      <c r="AJ54" s="595" t="n"/>
      <c r="AK54" s="595" t="n"/>
      <c r="AL54" s="596" t="n"/>
      <c r="AM54" s="597" t="n"/>
      <c r="AN54" s="595" t="n"/>
      <c r="AO54" s="595" t="n"/>
      <c r="AP54" s="595" t="n"/>
      <c r="AQ54" s="596" t="n"/>
      <c r="AR54" s="597" t="n"/>
      <c r="AS54" s="595" t="n"/>
      <c r="AT54" s="595" t="n"/>
      <c r="AU54" s="595" t="n"/>
      <c r="AV54" s="596" t="n"/>
      <c r="AW54" s="597" t="n"/>
      <c r="AX54" s="595" t="n"/>
      <c r="AY54" s="595" t="n"/>
      <c r="AZ54" s="595" t="n"/>
      <c r="BA54" s="596" t="n"/>
      <c r="BB54" s="597" t="n"/>
      <c r="BC54" s="595" t="n"/>
      <c r="BD54" s="595" t="n"/>
      <c r="BE54" s="595" t="n"/>
      <c r="BF54" s="596" t="n"/>
      <c r="BG54" s="597" t="n"/>
      <c r="BH54" s="595" t="n"/>
      <c r="BI54" s="595" t="n"/>
      <c r="BJ54" s="595" t="n"/>
      <c r="BK54" s="596" t="n"/>
      <c r="BL54" s="597" t="n"/>
      <c r="BM54" s="595" t="n"/>
      <c r="BN54" s="595" t="n"/>
      <c r="BO54" s="595" t="n"/>
      <c r="BP54" s="596" t="n"/>
      <c r="BQ54" s="597" t="n"/>
      <c r="BR54" s="595" t="n"/>
      <c r="BS54" s="595" t="n"/>
      <c r="BT54" s="596" t="n"/>
      <c r="BU54" s="457" t="n"/>
      <c r="BV54" s="457" t="n"/>
      <c r="BW54" s="238" t="n"/>
      <c r="BX54" s="238" t="n"/>
      <c r="BY54" s="238" t="n"/>
      <c r="BZ54" s="238" t="n"/>
      <c r="CA54" s="238" t="n"/>
      <c r="CB54" s="238" t="n"/>
      <c r="CC54" s="238" t="n"/>
      <c r="CD54" s="238" t="n"/>
      <c r="CE54" s="238" t="n"/>
      <c r="CF54" s="238" t="n"/>
      <c r="CG54" s="238" t="n"/>
      <c r="CH54" s="238" t="n"/>
      <c r="CI54" s="238" t="n"/>
      <c r="CJ54" s="238" t="n"/>
      <c r="CK54" s="238" t="n"/>
      <c r="CL54" s="238" t="n"/>
      <c r="CM54" s="238" t="n"/>
      <c r="CN54" s="238" t="n"/>
      <c r="CO54" s="238" t="n"/>
      <c r="CP54" s="238" t="n"/>
      <c r="CQ54" s="238" t="n"/>
      <c r="CR54" s="238" t="n"/>
      <c r="CS54" s="238" t="n"/>
      <c r="CT54" s="238" t="n"/>
      <c r="CU54" s="238" t="n"/>
      <c r="CV54" s="238" t="n"/>
      <c r="CW54" s="238" t="n"/>
      <c r="CX54" s="238" t="n"/>
      <c r="CY54" s="238" t="n"/>
      <c r="CZ54" s="238" t="n"/>
      <c r="DA54" s="238" t="n"/>
      <c r="DB54" s="238" t="n"/>
      <c r="DC54" s="238" t="n"/>
      <c r="DD54" s="238" t="n"/>
      <c r="DE54" s="238" t="n"/>
      <c r="DF54" s="238" t="n"/>
      <c r="DG54" s="238" t="n"/>
      <c r="DH54" s="238" t="n"/>
      <c r="DI54" s="238" t="n"/>
      <c r="DJ54" s="238" t="n"/>
      <c r="DK54" s="238" t="n"/>
      <c r="DL54" s="238" t="n"/>
      <c r="DM54" s="238" t="n"/>
      <c r="DN54" s="238" t="n"/>
      <c r="DO54" s="238" t="n"/>
      <c r="DP54" s="238" t="n"/>
      <c r="DQ54" s="238" t="n"/>
      <c r="DR54" s="238" t="n"/>
      <c r="DS54" s="238" t="n"/>
      <c r="DT54" s="238" t="n"/>
      <c r="DU54" s="238" t="n"/>
      <c r="DV54" s="238" t="n"/>
      <c r="DW54" s="238" t="n"/>
      <c r="DX54" s="238" t="n"/>
      <c r="DY54" s="238" t="n"/>
      <c r="DZ54" s="23" t="n"/>
      <c r="FQ54" s="212" t="n"/>
      <c r="FR54" s="212" t="n"/>
      <c r="FS54" s="212" t="n"/>
      <c r="FT54" s="212" t="n"/>
      <c r="FU54" s="212" t="n"/>
      <c r="FV54" s="212" t="n"/>
      <c r="FW54" s="212" t="n"/>
      <c r="FX54" s="212" t="n"/>
      <c r="FY54" s="212" t="n"/>
      <c r="FZ54" s="212" t="n"/>
    </row>
    <row r="55" ht="39.95" customFormat="1" customHeight="1" s="5">
      <c r="A55" s="10" t="inlineStr">
        <is>
          <t>A</t>
        </is>
      </c>
      <c r="B55" s="6" t="n"/>
      <c r="C55" s="415" t="inlineStr">
        <is>
          <t>LOWEST</t>
        </is>
      </c>
      <c r="D55" s="613">
        <f>MIN(Thickness!D55:D57)</f>
        <v/>
      </c>
      <c r="E55" s="614">
        <f>MIN(Thickness!E55:E57)</f>
        <v/>
      </c>
      <c r="F55" s="614">
        <f>MIN(Thickness!F55:F57)</f>
        <v/>
      </c>
      <c r="G55" s="614">
        <f>MIN(Thickness!G55:G57)</f>
        <v/>
      </c>
      <c r="H55" s="615">
        <f>MIN(Thickness!H55:H57)</f>
        <v/>
      </c>
      <c r="I55" s="616">
        <f>MIN(Thickness!I55:I57)</f>
        <v/>
      </c>
      <c r="J55" s="614">
        <f>MIN(Thickness!J55:J57)</f>
        <v/>
      </c>
      <c r="K55" s="614">
        <f>MIN(Thickness!K55:K57)</f>
        <v/>
      </c>
      <c r="L55" s="614">
        <f>MIN(Thickness!L55:L57)</f>
        <v/>
      </c>
      <c r="M55" s="615">
        <f>MIN(Thickness!M55:M57)</f>
        <v/>
      </c>
      <c r="N55" s="616">
        <f>MIN(Thickness!N55:N57)</f>
        <v/>
      </c>
      <c r="O55" s="614">
        <f>MIN(Thickness!O55:O57)</f>
        <v/>
      </c>
      <c r="P55" s="614">
        <f>MIN(Thickness!P55:P57)</f>
        <v/>
      </c>
      <c r="Q55" s="614">
        <f>MIN(Thickness!Q55:Q57)</f>
        <v/>
      </c>
      <c r="R55" s="615">
        <f>MIN(Thickness!R55:R57)</f>
        <v/>
      </c>
      <c r="S55" s="616">
        <f>MIN(Thickness!S55:S57)</f>
        <v/>
      </c>
      <c r="T55" s="614">
        <f>MIN(Thickness!T55:T57)</f>
        <v/>
      </c>
      <c r="U55" s="614">
        <f>MIN(Thickness!U55:U57)</f>
        <v/>
      </c>
      <c r="V55" s="614">
        <f>MIN(Thickness!V55:V57)</f>
        <v/>
      </c>
      <c r="W55" s="615">
        <f>MIN(Thickness!W55:W57)</f>
        <v/>
      </c>
      <c r="X55" s="616">
        <f>MIN(Thickness!X55:X57)</f>
        <v/>
      </c>
      <c r="Y55" s="614">
        <f>MIN(Thickness!Y55:Y57)</f>
        <v/>
      </c>
      <c r="Z55" s="614">
        <f>MIN(Thickness!Z55:Z57)</f>
        <v/>
      </c>
      <c r="AA55" s="614">
        <f>MIN(Thickness!AA55:AA57)</f>
        <v/>
      </c>
      <c r="AB55" s="615">
        <f>MIN(Thickness!AB55:AB57)</f>
        <v/>
      </c>
      <c r="AC55" s="616">
        <f>MIN(Thickness!AC55:AC57)</f>
        <v/>
      </c>
      <c r="AD55" s="614">
        <f>MIN(Thickness!AD55:AD57)</f>
        <v/>
      </c>
      <c r="AE55" s="614">
        <f>MIN(Thickness!AE55:AE57)</f>
        <v/>
      </c>
      <c r="AF55" s="614">
        <f>MIN(Thickness!AF55:AF57)</f>
        <v/>
      </c>
      <c r="AG55" s="615">
        <f>MIN(Thickness!AG55:AG57)</f>
        <v/>
      </c>
      <c r="AH55" s="616">
        <f>MIN(Thickness!AH55:AH57)</f>
        <v/>
      </c>
      <c r="AI55" s="614">
        <f>MIN(Thickness!AI55:AI57)</f>
        <v/>
      </c>
      <c r="AJ55" s="614">
        <f>MIN(Thickness!AJ55:AJ57)</f>
        <v/>
      </c>
      <c r="AK55" s="614">
        <f>MIN(Thickness!AK55:AK57)</f>
        <v/>
      </c>
      <c r="AL55" s="615">
        <f>MIN(Thickness!AL55:AL57)</f>
        <v/>
      </c>
      <c r="AM55" s="616">
        <f>MIN(Thickness!AM55:AM57)</f>
        <v/>
      </c>
      <c r="AN55" s="614">
        <f>MIN(Thickness!AN55:AN57)</f>
        <v/>
      </c>
      <c r="AO55" s="614">
        <f>MIN(Thickness!AO55:AO57)</f>
        <v/>
      </c>
      <c r="AP55" s="614">
        <f>MIN(Thickness!AP55:AP57)</f>
        <v/>
      </c>
      <c r="AQ55" s="615">
        <f>MIN(Thickness!AQ55:AQ57)</f>
        <v/>
      </c>
      <c r="AR55" s="616">
        <f>MIN(Thickness!AR55:AR57)</f>
        <v/>
      </c>
      <c r="AS55" s="614">
        <f>MIN(Thickness!AS55:AS57)</f>
        <v/>
      </c>
      <c r="AT55" s="614">
        <f>MIN(Thickness!AT55:AT57)</f>
        <v/>
      </c>
      <c r="AU55" s="614">
        <f>MIN(Thickness!AU55:AU57)</f>
        <v/>
      </c>
      <c r="AV55" s="615">
        <f>MIN(Thickness!AV55:AV57)</f>
        <v/>
      </c>
      <c r="AW55" s="616">
        <f>MIN(Thickness!AW55:AW57)</f>
        <v/>
      </c>
      <c r="AX55" s="614">
        <f>MIN(Thickness!AX55:AX57)</f>
        <v/>
      </c>
      <c r="AY55" s="614">
        <f>MIN(Thickness!AY55:AY57)</f>
        <v/>
      </c>
      <c r="AZ55" s="614">
        <f>MIN(Thickness!AZ55:AZ57)</f>
        <v/>
      </c>
      <c r="BA55" s="615">
        <f>MIN(Thickness!BA55:BA57)</f>
        <v/>
      </c>
      <c r="BB55" s="616">
        <f>MIN(Thickness!BB55:BB57)</f>
        <v/>
      </c>
      <c r="BC55" s="614">
        <f>MIN(Thickness!BC55:BC57)</f>
        <v/>
      </c>
      <c r="BD55" s="614">
        <f>MIN(Thickness!BD55:BD57)</f>
        <v/>
      </c>
      <c r="BE55" s="614">
        <f>MIN(Thickness!BE55:BE57)</f>
        <v/>
      </c>
      <c r="BF55" s="615">
        <f>MIN(Thickness!BF55:BF57)</f>
        <v/>
      </c>
      <c r="BG55" s="616">
        <f>MIN(Thickness!BG55:BG57)</f>
        <v/>
      </c>
      <c r="BH55" s="614">
        <f>MIN(Thickness!BH55:BH57)</f>
        <v/>
      </c>
      <c r="BI55" s="614">
        <f>MIN(Thickness!BI55:BI57)</f>
        <v/>
      </c>
      <c r="BJ55" s="614">
        <f>MIN(Thickness!BJ55:BJ57)</f>
        <v/>
      </c>
      <c r="BK55" s="615">
        <f>MIN(Thickness!BK55:BK57)</f>
        <v/>
      </c>
      <c r="BL55" s="616">
        <f>MIN(Thickness!BL55:BL57)</f>
        <v/>
      </c>
      <c r="BM55" s="614">
        <f>MIN(Thickness!BM55:BM57)</f>
        <v/>
      </c>
      <c r="BN55" s="614">
        <f>MIN(Thickness!BN55:BN57)</f>
        <v/>
      </c>
      <c r="BO55" s="614">
        <f>MIN(Thickness!BO55:BO57)</f>
        <v/>
      </c>
      <c r="BP55" s="615">
        <f>MIN(Thickness!BP55:BP57)</f>
        <v/>
      </c>
      <c r="BQ55" s="616">
        <f>MIN(Thickness!BQ55:BQ57)</f>
        <v/>
      </c>
      <c r="BR55" s="614">
        <f>MIN(Thickness!BR55:BR57)</f>
        <v/>
      </c>
      <c r="BS55" s="614">
        <f>MIN(Thickness!BS55:BS57)</f>
        <v/>
      </c>
      <c r="BT55" s="615">
        <f>MIN(Thickness!BT55:BT57)</f>
        <v/>
      </c>
      <c r="BU55" s="454">
        <f>IFERROR(AVERAGE(D55:BT57),0)</f>
        <v/>
      </c>
      <c r="BV55" s="454">
        <f>MIN(D55:BT57)</f>
        <v/>
      </c>
      <c r="BW55" s="238" t="n"/>
      <c r="BX55" s="238" t="n"/>
      <c r="BY55" s="238" t="n"/>
      <c r="BZ55" s="238" t="n"/>
      <c r="CA55" s="238" t="n"/>
      <c r="CB55" s="238" t="n"/>
      <c r="CC55" s="238" t="n"/>
      <c r="CD55" s="238" t="n"/>
      <c r="CE55" s="238" t="n"/>
      <c r="CF55" s="238" t="n"/>
      <c r="CG55" s="238" t="n"/>
      <c r="CH55" s="238" t="n"/>
      <c r="CI55" s="238" t="n"/>
      <c r="CJ55" s="238" t="n"/>
      <c r="CK55" s="238" t="n"/>
      <c r="CL55" s="238" t="n"/>
      <c r="CM55" s="238" t="n"/>
      <c r="CN55" s="238" t="n"/>
      <c r="CO55" s="238" t="n"/>
      <c r="CP55" s="238" t="n"/>
      <c r="CQ55" s="238" t="n"/>
      <c r="CR55" s="238" t="n"/>
      <c r="CS55" s="238" t="n"/>
      <c r="CT55" s="238" t="n"/>
      <c r="CU55" s="238" t="n"/>
      <c r="CV55" s="238" t="n"/>
      <c r="CW55" s="238" t="n"/>
      <c r="CX55" s="238" t="n"/>
      <c r="CY55" s="238" t="n"/>
      <c r="CZ55" s="238" t="n"/>
      <c r="DA55" s="238" t="n"/>
      <c r="DB55" s="238" t="n"/>
      <c r="DC55" s="238" t="n"/>
      <c r="DD55" s="238" t="n"/>
      <c r="DE55" s="238" t="n"/>
      <c r="DF55" s="238" t="n"/>
      <c r="DG55" s="238" t="n"/>
      <c r="DH55" s="238" t="n"/>
      <c r="DI55" s="238" t="n"/>
      <c r="DJ55" s="238" t="n"/>
      <c r="DK55" s="238" t="n"/>
      <c r="DL55" s="238" t="n"/>
      <c r="DM55" s="238" t="n"/>
      <c r="DN55" s="238" t="n"/>
      <c r="DO55" s="238" t="n"/>
      <c r="DP55" s="238" t="n"/>
      <c r="DQ55" s="238" t="n"/>
      <c r="DR55" s="238" t="n"/>
      <c r="DS55" s="238" t="n"/>
      <c r="DT55" s="238" t="n"/>
      <c r="DU55" s="238" t="n"/>
      <c r="DV55" s="238" t="n"/>
      <c r="DW55" s="238" t="n"/>
      <c r="DX55" s="238" t="n"/>
      <c r="DY55" s="238" t="n"/>
      <c r="DZ55" s="23" t="n"/>
      <c r="FQ55" s="212" t="n"/>
      <c r="FR55" s="212" t="n"/>
      <c r="FS55" s="212" t="n"/>
      <c r="FT55" s="212" t="n"/>
      <c r="FU55" s="212" t="n"/>
      <c r="FV55" s="212" t="n"/>
      <c r="FW55" s="212" t="n"/>
      <c r="FX55" s="212" t="n"/>
      <c r="FY55" s="212" t="n"/>
      <c r="FZ55" s="212" t="n"/>
    </row>
    <row r="56" ht="39.95" customFormat="1" customHeight="1" s="5">
      <c r="A56" s="182" t="n">
        <v>0.083</v>
      </c>
      <c r="B56" s="7" t="inlineStr">
        <is>
          <t>+3 FT</t>
        </is>
      </c>
      <c r="C56" s="456" t="n"/>
      <c r="D56" s="13" t="n"/>
      <c r="H56" s="592" t="n"/>
      <c r="I56" s="593" t="n"/>
      <c r="M56" s="592" t="n"/>
      <c r="N56" s="593" t="n"/>
      <c r="R56" s="592" t="n"/>
      <c r="S56" s="593" t="n"/>
      <c r="W56" s="592" t="n"/>
      <c r="X56" s="593" t="n"/>
      <c r="AB56" s="592" t="n"/>
      <c r="AC56" s="593" t="n"/>
      <c r="AG56" s="592" t="n"/>
      <c r="AH56" s="593" t="n"/>
      <c r="AL56" s="592" t="n"/>
      <c r="AM56" s="593" t="n"/>
      <c r="AQ56" s="592" t="n"/>
      <c r="AR56" s="593" t="n"/>
      <c r="AV56" s="592" t="n"/>
      <c r="AW56" s="593" t="n"/>
      <c r="BA56" s="592" t="n"/>
      <c r="BB56" s="593" t="n"/>
      <c r="BF56" s="592" t="n"/>
      <c r="BG56" s="593" t="n"/>
      <c r="BK56" s="592" t="n"/>
      <c r="BL56" s="593" t="n"/>
      <c r="BP56" s="592" t="n"/>
      <c r="BQ56" s="593" t="n"/>
      <c r="BT56" s="592" t="n"/>
      <c r="BU56" s="455" t="n"/>
      <c r="BV56" s="455" t="n"/>
      <c r="BW56" s="238" t="n"/>
      <c r="BX56" s="238" t="n"/>
      <c r="BY56" s="238" t="n"/>
      <c r="BZ56" s="238" t="n"/>
      <c r="CA56" s="238" t="n"/>
      <c r="CB56" s="238" t="n"/>
      <c r="CC56" s="238" t="n"/>
      <c r="CD56" s="238" t="n"/>
      <c r="CE56" s="238" t="n"/>
      <c r="CF56" s="238" t="n"/>
      <c r="CG56" s="238" t="n"/>
      <c r="CH56" s="238" t="n"/>
      <c r="CI56" s="238" t="n"/>
      <c r="CJ56" s="238" t="n"/>
      <c r="CK56" s="238" t="n"/>
      <c r="CL56" s="238" t="n"/>
      <c r="CM56" s="238" t="n"/>
      <c r="CN56" s="238" t="n"/>
      <c r="CO56" s="238" t="n"/>
      <c r="CP56" s="238" t="n"/>
      <c r="CQ56" s="238" t="n"/>
      <c r="CR56" s="238" t="n"/>
      <c r="CS56" s="238" t="n"/>
      <c r="CT56" s="238" t="n"/>
      <c r="CU56" s="238" t="n"/>
      <c r="CV56" s="238" t="n"/>
      <c r="CW56" s="238" t="n"/>
      <c r="CX56" s="238" t="n"/>
      <c r="CY56" s="238" t="n"/>
      <c r="CZ56" s="238" t="n"/>
      <c r="DA56" s="238" t="n"/>
      <c r="DB56" s="238" t="n"/>
      <c r="DC56" s="238" t="n"/>
      <c r="DD56" s="238" t="n"/>
      <c r="DE56" s="238" t="n"/>
      <c r="DF56" s="238" t="n"/>
      <c r="DG56" s="238" t="n"/>
      <c r="DH56" s="238" t="n"/>
      <c r="DI56" s="238" t="n"/>
      <c r="DJ56" s="238" t="n"/>
      <c r="DK56" s="238" t="n"/>
      <c r="DL56" s="238" t="n"/>
      <c r="DM56" s="238" t="n"/>
      <c r="DN56" s="238" t="n"/>
      <c r="DO56" s="238" t="n"/>
      <c r="DP56" s="238" t="n"/>
      <c r="DQ56" s="238" t="n"/>
      <c r="DR56" s="238" t="n"/>
      <c r="DS56" s="238" t="n"/>
      <c r="DT56" s="238" t="n"/>
      <c r="DU56" s="238" t="n"/>
      <c r="DV56" s="238" t="n"/>
      <c r="DW56" s="238" t="n"/>
      <c r="DX56" s="238" t="n"/>
      <c r="DY56" s="238" t="n"/>
      <c r="DZ56" s="23" t="n"/>
      <c r="FQ56" s="212" t="n"/>
      <c r="FR56" s="212" t="n"/>
      <c r="FS56" s="212" t="n"/>
      <c r="FT56" s="212" t="n"/>
      <c r="FU56" s="212" t="n"/>
      <c r="FV56" s="212" t="n"/>
      <c r="FW56" s="212" t="n"/>
      <c r="FX56" s="212" t="n"/>
      <c r="FY56" s="212" t="n"/>
      <c r="FZ56" s="212" t="n"/>
    </row>
    <row r="57" ht="39.95" customFormat="1" customHeight="1" s="5">
      <c r="A57" s="456" t="n"/>
      <c r="B57" s="8" t="n"/>
      <c r="C57" s="456" t="n"/>
      <c r="D57" s="594" t="n"/>
      <c r="E57" s="595" t="n"/>
      <c r="F57" s="595" t="n"/>
      <c r="G57" s="595" t="n"/>
      <c r="H57" s="596" t="n"/>
      <c r="I57" s="597" t="n"/>
      <c r="J57" s="595" t="n"/>
      <c r="K57" s="595" t="n"/>
      <c r="L57" s="595" t="n"/>
      <c r="M57" s="596" t="n"/>
      <c r="N57" s="597" t="n"/>
      <c r="O57" s="595" t="n"/>
      <c r="P57" s="595" t="n"/>
      <c r="Q57" s="595" t="n"/>
      <c r="R57" s="596" t="n"/>
      <c r="S57" s="597" t="n"/>
      <c r="T57" s="595" t="n"/>
      <c r="U57" s="595" t="n"/>
      <c r="V57" s="595" t="n"/>
      <c r="W57" s="596" t="n"/>
      <c r="X57" s="597" t="n"/>
      <c r="Y57" s="595" t="n"/>
      <c r="Z57" s="595" t="n"/>
      <c r="AA57" s="595" t="n"/>
      <c r="AB57" s="596" t="n"/>
      <c r="AC57" s="597" t="n"/>
      <c r="AD57" s="595" t="n"/>
      <c r="AE57" s="595" t="n"/>
      <c r="AF57" s="595" t="n"/>
      <c r="AG57" s="596" t="n"/>
      <c r="AH57" s="597" t="n"/>
      <c r="AI57" s="595" t="n"/>
      <c r="AJ57" s="595" t="n"/>
      <c r="AK57" s="595" t="n"/>
      <c r="AL57" s="596" t="n"/>
      <c r="AM57" s="597" t="n"/>
      <c r="AN57" s="595" t="n"/>
      <c r="AO57" s="595" t="n"/>
      <c r="AP57" s="595" t="n"/>
      <c r="AQ57" s="596" t="n"/>
      <c r="AR57" s="597" t="n"/>
      <c r="AS57" s="595" t="n"/>
      <c r="AT57" s="595" t="n"/>
      <c r="AU57" s="595" t="n"/>
      <c r="AV57" s="596" t="n"/>
      <c r="AW57" s="597" t="n"/>
      <c r="AX57" s="595" t="n"/>
      <c r="AY57" s="595" t="n"/>
      <c r="AZ57" s="595" t="n"/>
      <c r="BA57" s="596" t="n"/>
      <c r="BB57" s="597" t="n"/>
      <c r="BC57" s="595" t="n"/>
      <c r="BD57" s="595" t="n"/>
      <c r="BE57" s="595" t="n"/>
      <c r="BF57" s="596" t="n"/>
      <c r="BG57" s="597" t="n"/>
      <c r="BH57" s="595" t="n"/>
      <c r="BI57" s="595" t="n"/>
      <c r="BJ57" s="595" t="n"/>
      <c r="BK57" s="596" t="n"/>
      <c r="BL57" s="597" t="n"/>
      <c r="BM57" s="595" t="n"/>
      <c r="BN57" s="595" t="n"/>
      <c r="BO57" s="595" t="n"/>
      <c r="BP57" s="596" t="n"/>
      <c r="BQ57" s="597" t="n"/>
      <c r="BR57" s="595" t="n"/>
      <c r="BS57" s="595" t="n"/>
      <c r="BT57" s="596" t="n"/>
      <c r="BU57" s="457" t="n"/>
      <c r="BV57" s="457" t="n"/>
      <c r="BW57" s="238" t="n"/>
      <c r="BX57" s="238" t="n"/>
      <c r="BY57" s="238" t="n"/>
      <c r="BZ57" s="238" t="n"/>
      <c r="CA57" s="238" t="n"/>
      <c r="CB57" s="238" t="n"/>
      <c r="CC57" s="238" t="n"/>
      <c r="CD57" s="238" t="n"/>
      <c r="CE57" s="238" t="n"/>
      <c r="CF57" s="238" t="n"/>
      <c r="CG57" s="238" t="n"/>
      <c r="CH57" s="238" t="n"/>
      <c r="CI57" s="238" t="n"/>
      <c r="CJ57" s="238" t="n"/>
      <c r="CK57" s="238" t="n"/>
      <c r="CL57" s="238" t="n"/>
      <c r="CM57" s="238" t="n"/>
      <c r="CN57" s="238" t="n"/>
      <c r="CO57" s="238" t="n"/>
      <c r="CP57" s="238" t="n"/>
      <c r="CQ57" s="238" t="n"/>
      <c r="CR57" s="238" t="n"/>
      <c r="CS57" s="238" t="n"/>
      <c r="CT57" s="238" t="n"/>
      <c r="CU57" s="238" t="n"/>
      <c r="CV57" s="238" t="n"/>
      <c r="CW57" s="238" t="n"/>
      <c r="CX57" s="238" t="n"/>
      <c r="CY57" s="238" t="n"/>
      <c r="CZ57" s="238" t="n"/>
      <c r="DA57" s="238" t="n"/>
      <c r="DB57" s="238" t="n"/>
      <c r="DC57" s="238" t="n"/>
      <c r="DD57" s="238" t="n"/>
      <c r="DE57" s="238" t="n"/>
      <c r="DF57" s="238" t="n"/>
      <c r="DG57" s="238" t="n"/>
      <c r="DH57" s="238" t="n"/>
      <c r="DI57" s="238" t="n"/>
      <c r="DJ57" s="238" t="n"/>
      <c r="DK57" s="238" t="n"/>
      <c r="DL57" s="238" t="n"/>
      <c r="DM57" s="238" t="n"/>
      <c r="DN57" s="238" t="n"/>
      <c r="DO57" s="238" t="n"/>
      <c r="DP57" s="238" t="n"/>
      <c r="DQ57" s="238" t="n"/>
      <c r="DR57" s="238" t="n"/>
      <c r="DS57" s="238" t="n"/>
      <c r="DT57" s="238" t="n"/>
      <c r="DU57" s="238" t="n"/>
      <c r="DV57" s="238" t="n"/>
      <c r="DW57" s="238" t="n"/>
      <c r="DX57" s="238" t="n"/>
      <c r="DY57" s="238" t="n"/>
      <c r="DZ57" s="23" t="n"/>
      <c r="FQ57" s="212" t="n"/>
      <c r="FR57" s="212" t="n"/>
      <c r="FS57" s="212" t="n"/>
      <c r="FT57" s="212" t="n"/>
      <c r="FU57" s="212" t="n"/>
      <c r="FV57" s="212" t="n"/>
      <c r="FW57" s="212" t="n"/>
      <c r="FX57" s="212" t="n"/>
      <c r="FY57" s="212" t="n"/>
      <c r="FZ57" s="212" t="n"/>
    </row>
    <row r="58" ht="39.95" customFormat="1" customHeight="1" s="5">
      <c r="A58" s="10" t="inlineStr">
        <is>
          <t>A</t>
        </is>
      </c>
      <c r="B58" s="6" t="n"/>
      <c r="C58" s="415" t="inlineStr">
        <is>
          <t>LOWEST</t>
        </is>
      </c>
      <c r="D58" s="613">
        <f>MIN(Thickness!D58:D60)</f>
        <v/>
      </c>
      <c r="E58" s="614">
        <f>MIN(Thickness!E58:E60)</f>
        <v/>
      </c>
      <c r="F58" s="614">
        <f>MIN(Thickness!F58:F60)</f>
        <v/>
      </c>
      <c r="G58" s="614">
        <f>MIN(Thickness!G58:G60)</f>
        <v/>
      </c>
      <c r="H58" s="615">
        <f>MIN(Thickness!H58:H60)</f>
        <v/>
      </c>
      <c r="I58" s="616">
        <f>MIN(Thickness!I58:I60)</f>
        <v/>
      </c>
      <c r="J58" s="614">
        <f>MIN(Thickness!J58:J60)</f>
        <v/>
      </c>
      <c r="K58" s="614">
        <f>MIN(Thickness!K58:K60)</f>
        <v/>
      </c>
      <c r="L58" s="614">
        <f>MIN(Thickness!L58:L60)</f>
        <v/>
      </c>
      <c r="M58" s="615">
        <f>MIN(Thickness!M58:M60)</f>
        <v/>
      </c>
      <c r="N58" s="616">
        <f>MIN(Thickness!N58:N60)</f>
        <v/>
      </c>
      <c r="O58" s="614">
        <f>MIN(Thickness!O58:O60)</f>
        <v/>
      </c>
      <c r="P58" s="614">
        <f>MIN(Thickness!P58:P60)</f>
        <v/>
      </c>
      <c r="Q58" s="614">
        <f>MIN(Thickness!Q58:Q60)</f>
        <v/>
      </c>
      <c r="R58" s="615">
        <f>MIN(Thickness!R58:R60)</f>
        <v/>
      </c>
      <c r="S58" s="616">
        <f>MIN(Thickness!S58:S60)</f>
        <v/>
      </c>
      <c r="T58" s="614">
        <f>MIN(Thickness!T58:T60)</f>
        <v/>
      </c>
      <c r="U58" s="614">
        <f>MIN(Thickness!U58:U60)</f>
        <v/>
      </c>
      <c r="V58" s="614">
        <f>MIN(Thickness!V58:V60)</f>
        <v/>
      </c>
      <c r="W58" s="615">
        <f>MIN(Thickness!W58:W60)</f>
        <v/>
      </c>
      <c r="X58" s="616">
        <f>MIN(Thickness!X58:X60)</f>
        <v/>
      </c>
      <c r="Y58" s="614">
        <f>MIN(Thickness!Y58:Y60)</f>
        <v/>
      </c>
      <c r="Z58" s="614">
        <f>MIN(Thickness!Z58:Z60)</f>
        <v/>
      </c>
      <c r="AA58" s="614">
        <f>MIN(Thickness!AA58:AA60)</f>
        <v/>
      </c>
      <c r="AB58" s="615">
        <f>MIN(Thickness!AB58:AB60)</f>
        <v/>
      </c>
      <c r="AC58" s="616">
        <f>MIN(Thickness!AC58:AC60)</f>
        <v/>
      </c>
      <c r="AD58" s="614">
        <f>MIN(Thickness!AD58:AD60)</f>
        <v/>
      </c>
      <c r="AE58" s="614">
        <f>MIN(Thickness!AE58:AE60)</f>
        <v/>
      </c>
      <c r="AF58" s="614">
        <f>MIN(Thickness!AF58:AF60)</f>
        <v/>
      </c>
      <c r="AG58" s="615">
        <f>MIN(Thickness!AG58:AG60)</f>
        <v/>
      </c>
      <c r="AH58" s="616">
        <f>MIN(Thickness!AH58:AH60)</f>
        <v/>
      </c>
      <c r="AI58" s="614">
        <f>MIN(Thickness!AI58:AI60)</f>
        <v/>
      </c>
      <c r="AJ58" s="614">
        <f>MIN(Thickness!AJ58:AJ60)</f>
        <v/>
      </c>
      <c r="AK58" s="614">
        <f>MIN(Thickness!AK58:AK60)</f>
        <v/>
      </c>
      <c r="AL58" s="615">
        <f>MIN(Thickness!AL58:AL60)</f>
        <v/>
      </c>
      <c r="AM58" s="616">
        <f>MIN(Thickness!AM58:AM60)</f>
        <v/>
      </c>
      <c r="AN58" s="614">
        <f>MIN(Thickness!AN58:AN60)</f>
        <v/>
      </c>
      <c r="AO58" s="614">
        <f>MIN(Thickness!AO58:AO60)</f>
        <v/>
      </c>
      <c r="AP58" s="614">
        <f>MIN(Thickness!AP58:AP60)</f>
        <v/>
      </c>
      <c r="AQ58" s="615">
        <f>MIN(Thickness!AQ58:AQ60)</f>
        <v/>
      </c>
      <c r="AR58" s="616">
        <f>MIN(Thickness!AR58:AR60)</f>
        <v/>
      </c>
      <c r="AS58" s="614">
        <f>MIN(Thickness!AS58:AS60)</f>
        <v/>
      </c>
      <c r="AT58" s="614">
        <f>MIN(Thickness!AT58:AT60)</f>
        <v/>
      </c>
      <c r="AU58" s="614">
        <f>MIN(Thickness!AU58:AU60)</f>
        <v/>
      </c>
      <c r="AV58" s="615">
        <f>MIN(Thickness!AV58:AV60)</f>
        <v/>
      </c>
      <c r="AW58" s="616">
        <f>MIN(Thickness!AW58:AW60)</f>
        <v/>
      </c>
      <c r="AX58" s="614">
        <f>MIN(Thickness!AX58:AX60)</f>
        <v/>
      </c>
      <c r="AY58" s="614">
        <f>MIN(Thickness!AY58:AY60)</f>
        <v/>
      </c>
      <c r="AZ58" s="614">
        <f>MIN(Thickness!AZ58:AZ60)</f>
        <v/>
      </c>
      <c r="BA58" s="615">
        <f>MIN(Thickness!BA58:BA60)</f>
        <v/>
      </c>
      <c r="BB58" s="616">
        <f>MIN(Thickness!BB58:BB60)</f>
        <v/>
      </c>
      <c r="BC58" s="614">
        <f>MIN(Thickness!BC58:BC60)</f>
        <v/>
      </c>
      <c r="BD58" s="614">
        <f>MIN(Thickness!BD58:BD60)</f>
        <v/>
      </c>
      <c r="BE58" s="614">
        <f>MIN(Thickness!BE58:BE60)</f>
        <v/>
      </c>
      <c r="BF58" s="615">
        <f>MIN(Thickness!BF58:BF60)</f>
        <v/>
      </c>
      <c r="BG58" s="616">
        <f>MIN(Thickness!BG58:BG60)</f>
        <v/>
      </c>
      <c r="BH58" s="614">
        <f>MIN(Thickness!BH58:BH60)</f>
        <v/>
      </c>
      <c r="BI58" s="614">
        <f>MIN(Thickness!BI58:BI60)</f>
        <v/>
      </c>
      <c r="BJ58" s="614">
        <f>MIN(Thickness!BJ58:BJ60)</f>
        <v/>
      </c>
      <c r="BK58" s="615">
        <f>MIN(Thickness!BK58:BK60)</f>
        <v/>
      </c>
      <c r="BL58" s="616">
        <f>MIN(Thickness!BL58:BL60)</f>
        <v/>
      </c>
      <c r="BM58" s="614">
        <f>MIN(Thickness!BM58:BM60)</f>
        <v/>
      </c>
      <c r="BN58" s="614">
        <f>MIN(Thickness!BN58:BN60)</f>
        <v/>
      </c>
      <c r="BO58" s="614">
        <f>MIN(Thickness!BO58:BO60)</f>
        <v/>
      </c>
      <c r="BP58" s="615">
        <f>MIN(Thickness!BP58:BP60)</f>
        <v/>
      </c>
      <c r="BQ58" s="616">
        <f>MIN(Thickness!BQ58:BQ60)</f>
        <v/>
      </c>
      <c r="BR58" s="614">
        <f>MIN(Thickness!BR58:BR60)</f>
        <v/>
      </c>
      <c r="BS58" s="614">
        <f>MIN(Thickness!BS58:BS60)</f>
        <v/>
      </c>
      <c r="BT58" s="615">
        <f>MIN(Thickness!BT58:BT60)</f>
        <v/>
      </c>
      <c r="BU58" s="454">
        <f>IFERROR(AVERAGE(D58:BT60),0)</f>
        <v/>
      </c>
      <c r="BV58" s="454">
        <f>MIN(D58:BT60)</f>
        <v/>
      </c>
      <c r="BW58" s="238" t="n"/>
      <c r="BX58" s="238" t="n"/>
      <c r="BY58" s="238" t="n"/>
      <c r="BZ58" s="238" t="n"/>
      <c r="CA58" s="238" t="n"/>
      <c r="CB58" s="238" t="n"/>
      <c r="CC58" s="238" t="n"/>
      <c r="CD58" s="238" t="n"/>
      <c r="CE58" s="238" t="n"/>
      <c r="CF58" s="238" t="n"/>
      <c r="CG58" s="238" t="n"/>
      <c r="CH58" s="238" t="n"/>
      <c r="CI58" s="238" t="n"/>
      <c r="CJ58" s="238" t="n"/>
      <c r="CK58" s="238" t="n"/>
      <c r="CL58" s="238" t="n"/>
      <c r="CM58" s="238" t="n"/>
      <c r="CN58" s="238" t="n"/>
      <c r="CO58" s="238" t="n"/>
      <c r="CP58" s="238" t="n"/>
      <c r="CQ58" s="238" t="n"/>
      <c r="CR58" s="238" t="n"/>
      <c r="CS58" s="238" t="n"/>
      <c r="CT58" s="238" t="n"/>
      <c r="CU58" s="238" t="n"/>
      <c r="CV58" s="238" t="n"/>
      <c r="CW58" s="238" t="n"/>
      <c r="CX58" s="238" t="n"/>
      <c r="CY58" s="238" t="n"/>
      <c r="CZ58" s="238" t="n"/>
      <c r="DA58" s="238" t="n"/>
      <c r="DB58" s="238" t="n"/>
      <c r="DC58" s="238" t="n"/>
      <c r="DD58" s="238" t="n"/>
      <c r="DE58" s="238" t="n"/>
      <c r="DF58" s="238" t="n"/>
      <c r="DG58" s="238" t="n"/>
      <c r="DH58" s="238" t="n"/>
      <c r="DI58" s="238" t="n"/>
      <c r="DJ58" s="238" t="n"/>
      <c r="DK58" s="238" t="n"/>
      <c r="DL58" s="238" t="n"/>
      <c r="DM58" s="238" t="n"/>
      <c r="DN58" s="238" t="n"/>
      <c r="DO58" s="238" t="n"/>
      <c r="DP58" s="238" t="n"/>
      <c r="DQ58" s="238" t="n"/>
      <c r="DR58" s="238" t="n"/>
      <c r="DS58" s="238" t="n"/>
      <c r="DT58" s="238" t="n"/>
      <c r="DU58" s="238" t="n"/>
      <c r="DV58" s="238" t="n"/>
      <c r="DW58" s="238" t="n"/>
      <c r="DX58" s="238" t="n"/>
      <c r="DY58" s="238" t="n"/>
      <c r="DZ58" s="23" t="n"/>
      <c r="FQ58" s="212" t="n"/>
      <c r="FR58" s="212" t="n"/>
      <c r="FS58" s="212" t="n"/>
      <c r="FT58" s="212" t="n"/>
      <c r="FU58" s="212" t="n"/>
      <c r="FV58" s="212" t="n"/>
      <c r="FW58" s="212" t="n"/>
      <c r="FX58" s="212" t="n"/>
      <c r="FY58" s="212" t="n"/>
      <c r="FZ58" s="212" t="n"/>
    </row>
    <row r="59" ht="39.95" customFormat="1" customHeight="1" s="5">
      <c r="A59" s="182" t="n">
        <v>0.083</v>
      </c>
      <c r="B59" s="7" t="inlineStr">
        <is>
          <t>+1 FT 6 IN</t>
        </is>
      </c>
      <c r="C59" s="456" t="n"/>
      <c r="D59" s="13" t="n"/>
      <c r="H59" s="592" t="n"/>
      <c r="I59" s="593" t="n"/>
      <c r="M59" s="592" t="n"/>
      <c r="N59" s="593" t="n"/>
      <c r="R59" s="592" t="n"/>
      <c r="S59" s="593" t="n"/>
      <c r="W59" s="592" t="n"/>
      <c r="X59" s="593" t="n"/>
      <c r="AB59" s="592" t="n"/>
      <c r="AC59" s="593" t="n"/>
      <c r="AG59" s="592" t="n"/>
      <c r="AH59" s="593" t="n"/>
      <c r="AL59" s="592" t="n"/>
      <c r="AM59" s="593" t="n"/>
      <c r="AQ59" s="592" t="n"/>
      <c r="AR59" s="593" t="n"/>
      <c r="AV59" s="592" t="n"/>
      <c r="AW59" s="593" t="n"/>
      <c r="BA59" s="592" t="n"/>
      <c r="BB59" s="593" t="n"/>
      <c r="BF59" s="592" t="n"/>
      <c r="BG59" s="593" t="n"/>
      <c r="BK59" s="592" t="n"/>
      <c r="BL59" s="593" t="n"/>
      <c r="BP59" s="592" t="n"/>
      <c r="BQ59" s="593" t="n"/>
      <c r="BT59" s="592" t="n"/>
      <c r="BU59" s="455" t="n"/>
      <c r="BV59" s="455" t="n"/>
      <c r="BW59" s="238" t="n"/>
      <c r="BX59" s="238" t="n"/>
      <c r="BY59" s="238" t="n"/>
      <c r="BZ59" s="238" t="n"/>
      <c r="CA59" s="238" t="n"/>
      <c r="CB59" s="238" t="n"/>
      <c r="CC59" s="238" t="n"/>
      <c r="CD59" s="238" t="n"/>
      <c r="CE59" s="238" t="n"/>
      <c r="CF59" s="238" t="n"/>
      <c r="CG59" s="238" t="n"/>
      <c r="CH59" s="238" t="n"/>
      <c r="CI59" s="238" t="n"/>
      <c r="CJ59" s="238" t="n"/>
      <c r="CK59" s="238" t="n"/>
      <c r="CL59" s="238" t="n"/>
      <c r="CM59" s="238" t="n"/>
      <c r="CN59" s="238" t="n"/>
      <c r="CO59" s="238" t="n"/>
      <c r="CP59" s="238" t="n"/>
      <c r="CQ59" s="238" t="n"/>
      <c r="CR59" s="238" t="n"/>
      <c r="CS59" s="238" t="n"/>
      <c r="CT59" s="238" t="n"/>
      <c r="CU59" s="238" t="n"/>
      <c r="CV59" s="238" t="n"/>
      <c r="CW59" s="238" t="n"/>
      <c r="CX59" s="238" t="n"/>
      <c r="CY59" s="238" t="n"/>
      <c r="CZ59" s="238" t="n"/>
      <c r="DA59" s="238" t="n"/>
      <c r="DB59" s="238" t="n"/>
      <c r="DC59" s="238" t="n"/>
      <c r="DD59" s="238" t="n"/>
      <c r="DE59" s="238" t="n"/>
      <c r="DF59" s="238" t="n"/>
      <c r="DG59" s="238" t="n"/>
      <c r="DH59" s="238" t="n"/>
      <c r="DI59" s="238" t="n"/>
      <c r="DJ59" s="238" t="n"/>
      <c r="DK59" s="238" t="n"/>
      <c r="DL59" s="238" t="n"/>
      <c r="DM59" s="238" t="n"/>
      <c r="DN59" s="238" t="n"/>
      <c r="DO59" s="238" t="n"/>
      <c r="DP59" s="238" t="n"/>
      <c r="DQ59" s="238" t="n"/>
      <c r="DR59" s="238" t="n"/>
      <c r="DS59" s="238" t="n"/>
      <c r="DT59" s="238" t="n"/>
      <c r="DU59" s="238" t="n"/>
      <c r="DV59" s="238" t="n"/>
      <c r="DW59" s="238" t="n"/>
      <c r="DX59" s="238" t="n"/>
      <c r="DY59" s="238" t="n"/>
      <c r="DZ59" s="23" t="n"/>
      <c r="FQ59" s="212" t="n"/>
      <c r="FR59" s="212" t="n"/>
      <c r="FS59" s="212" t="n"/>
      <c r="FT59" s="212" t="n"/>
      <c r="FU59" s="212" t="n"/>
      <c r="FV59" s="212" t="n"/>
      <c r="FW59" s="212" t="n"/>
      <c r="FX59" s="212" t="n"/>
      <c r="FY59" s="212" t="n"/>
      <c r="FZ59" s="212" t="n"/>
    </row>
    <row r="60" ht="39.95" customFormat="1" customHeight="1" s="5">
      <c r="A60" s="456" t="n"/>
      <c r="B60" s="8" t="n"/>
      <c r="C60" s="456" t="n"/>
      <c r="D60" s="594" t="n"/>
      <c r="E60" s="595" t="n"/>
      <c r="F60" s="595" t="n"/>
      <c r="G60" s="595" t="n"/>
      <c r="H60" s="596" t="n"/>
      <c r="I60" s="597" t="n"/>
      <c r="J60" s="595" t="n"/>
      <c r="K60" s="595" t="n"/>
      <c r="L60" s="595" t="n"/>
      <c r="M60" s="596" t="n"/>
      <c r="N60" s="597" t="n"/>
      <c r="O60" s="595" t="n"/>
      <c r="P60" s="595" t="n"/>
      <c r="Q60" s="595" t="n"/>
      <c r="R60" s="596" t="n"/>
      <c r="S60" s="597" t="n"/>
      <c r="T60" s="595" t="n"/>
      <c r="U60" s="595" t="n"/>
      <c r="V60" s="595" t="n"/>
      <c r="W60" s="596" t="n"/>
      <c r="X60" s="597" t="n"/>
      <c r="Y60" s="595" t="n"/>
      <c r="Z60" s="595" t="n"/>
      <c r="AA60" s="595" t="n"/>
      <c r="AB60" s="596" t="n"/>
      <c r="AC60" s="597" t="n"/>
      <c r="AD60" s="595" t="n"/>
      <c r="AE60" s="595" t="n"/>
      <c r="AF60" s="595" t="n"/>
      <c r="AG60" s="596" t="n"/>
      <c r="AH60" s="597" t="n"/>
      <c r="AI60" s="595" t="n"/>
      <c r="AJ60" s="595" t="n"/>
      <c r="AK60" s="595" t="n"/>
      <c r="AL60" s="596" t="n"/>
      <c r="AM60" s="597" t="n"/>
      <c r="AN60" s="595" t="n"/>
      <c r="AO60" s="595" t="n"/>
      <c r="AP60" s="595" t="n"/>
      <c r="AQ60" s="596" t="n"/>
      <c r="AR60" s="597" t="n"/>
      <c r="AS60" s="595" t="n"/>
      <c r="AT60" s="595" t="n"/>
      <c r="AU60" s="595" t="n"/>
      <c r="AV60" s="596" t="n"/>
      <c r="AW60" s="597" t="n"/>
      <c r="AX60" s="595" t="n"/>
      <c r="AY60" s="595" t="n"/>
      <c r="AZ60" s="595" t="n"/>
      <c r="BA60" s="596" t="n"/>
      <c r="BB60" s="597" t="n"/>
      <c r="BC60" s="595" t="n"/>
      <c r="BD60" s="595" t="n"/>
      <c r="BE60" s="595" t="n"/>
      <c r="BF60" s="596" t="n"/>
      <c r="BG60" s="597" t="n"/>
      <c r="BH60" s="595" t="n"/>
      <c r="BI60" s="595" t="n"/>
      <c r="BJ60" s="595" t="n"/>
      <c r="BK60" s="596" t="n"/>
      <c r="BL60" s="597" t="n"/>
      <c r="BM60" s="595" t="n"/>
      <c r="BN60" s="595" t="n"/>
      <c r="BO60" s="595" t="n"/>
      <c r="BP60" s="596" t="n"/>
      <c r="BQ60" s="597" t="n"/>
      <c r="BR60" s="595" t="n"/>
      <c r="BS60" s="595" t="n"/>
      <c r="BT60" s="596" t="n"/>
      <c r="BU60" s="457" t="n"/>
      <c r="BV60" s="457" t="n"/>
      <c r="BW60" s="238" t="n"/>
      <c r="BX60" s="238" t="n"/>
      <c r="BY60" s="238" t="n"/>
      <c r="BZ60" s="238" t="n"/>
      <c r="CA60" s="238" t="n"/>
      <c r="CB60" s="238" t="n"/>
      <c r="CC60" s="238" t="n"/>
      <c r="CD60" s="238" t="n"/>
      <c r="CE60" s="238" t="n"/>
      <c r="CF60" s="238" t="n"/>
      <c r="CG60" s="238" t="n"/>
      <c r="CH60" s="238" t="n"/>
      <c r="CI60" s="238" t="n"/>
      <c r="CJ60" s="238" t="n"/>
      <c r="CK60" s="238" t="n"/>
      <c r="CL60" s="238" t="n"/>
      <c r="CM60" s="238" t="n"/>
      <c r="CN60" s="238" t="n"/>
      <c r="CO60" s="238" t="n"/>
      <c r="CP60" s="238" t="n"/>
      <c r="CQ60" s="238" t="n"/>
      <c r="CR60" s="238" t="n"/>
      <c r="CS60" s="238" t="n"/>
      <c r="CT60" s="238" t="n"/>
      <c r="CU60" s="238" t="n"/>
      <c r="CV60" s="238" t="n"/>
      <c r="CW60" s="238" t="n"/>
      <c r="CX60" s="238" t="n"/>
      <c r="CY60" s="238" t="n"/>
      <c r="CZ60" s="238" t="n"/>
      <c r="DA60" s="238" t="n"/>
      <c r="DB60" s="238" t="n"/>
      <c r="DC60" s="238" t="n"/>
      <c r="DD60" s="238" t="n"/>
      <c r="DE60" s="238" t="n"/>
      <c r="DF60" s="238" t="n"/>
      <c r="DG60" s="238" t="n"/>
      <c r="DH60" s="238" t="n"/>
      <c r="DI60" s="238" t="n"/>
      <c r="DJ60" s="238" t="n"/>
      <c r="DK60" s="238" t="n"/>
      <c r="DL60" s="238" t="n"/>
      <c r="DM60" s="238" t="n"/>
      <c r="DN60" s="238" t="n"/>
      <c r="DO60" s="238" t="n"/>
      <c r="DP60" s="238" t="n"/>
      <c r="DQ60" s="238" t="n"/>
      <c r="DR60" s="238" t="n"/>
      <c r="DS60" s="238" t="n"/>
      <c r="DT60" s="238" t="n"/>
      <c r="DU60" s="238" t="n"/>
      <c r="DV60" s="238" t="n"/>
      <c r="DW60" s="238" t="n"/>
      <c r="DX60" s="238" t="n"/>
      <c r="DY60" s="238" t="n"/>
      <c r="DZ60" s="23" t="n"/>
      <c r="FQ60" s="212" t="n"/>
      <c r="FR60" s="212" t="n"/>
      <c r="FS60" s="212" t="n"/>
      <c r="FT60" s="212" t="n"/>
      <c r="FU60" s="212" t="n"/>
      <c r="FV60" s="212" t="n"/>
      <c r="FW60" s="212" t="n"/>
      <c r="FX60" s="212" t="n"/>
      <c r="FY60" s="212" t="n"/>
      <c r="FZ60" s="212" t="n"/>
    </row>
    <row r="61" ht="39.95" customFormat="1" customHeight="1" s="5">
      <c r="A61" s="10" t="inlineStr">
        <is>
          <t>A</t>
        </is>
      </c>
      <c r="B61" s="6" t="n"/>
      <c r="C61" s="415" t="inlineStr">
        <is>
          <t>LOWEST</t>
        </is>
      </c>
      <c r="D61" s="613">
        <f>MIN(Thickness!D61:D63)</f>
        <v/>
      </c>
      <c r="E61" s="614">
        <f>MIN(Thickness!E61:E63)</f>
        <v/>
      </c>
      <c r="F61" s="614">
        <f>MIN(Thickness!F61:F63)</f>
        <v/>
      </c>
      <c r="G61" s="614">
        <f>MIN(Thickness!G61:G63)</f>
        <v/>
      </c>
      <c r="H61" s="615">
        <f>MIN(Thickness!H61:H63)</f>
        <v/>
      </c>
      <c r="I61" s="616">
        <f>MIN(Thickness!I61:I63)</f>
        <v/>
      </c>
      <c r="J61" s="614">
        <f>MIN(Thickness!J61:J63)</f>
        <v/>
      </c>
      <c r="K61" s="614">
        <f>MIN(Thickness!K61:K63)</f>
        <v/>
      </c>
      <c r="L61" s="614">
        <f>MIN(Thickness!L61:L63)</f>
        <v/>
      </c>
      <c r="M61" s="615">
        <f>MIN(Thickness!M61:M63)</f>
        <v/>
      </c>
      <c r="N61" s="616">
        <f>MIN(Thickness!N61:N63)</f>
        <v/>
      </c>
      <c r="O61" s="614">
        <f>MIN(Thickness!O61:O63)</f>
        <v/>
      </c>
      <c r="P61" s="614">
        <f>MIN(Thickness!P61:P63)</f>
        <v/>
      </c>
      <c r="Q61" s="614">
        <f>MIN(Thickness!Q61:Q63)</f>
        <v/>
      </c>
      <c r="R61" s="615">
        <f>MIN(Thickness!R61:R63)</f>
        <v/>
      </c>
      <c r="S61" s="616">
        <f>MIN(Thickness!S61:S63)</f>
        <v/>
      </c>
      <c r="T61" s="614">
        <f>MIN(Thickness!T61:T63)</f>
        <v/>
      </c>
      <c r="U61" s="614">
        <f>MIN(Thickness!U61:U63)</f>
        <v/>
      </c>
      <c r="V61" s="614">
        <f>MIN(Thickness!V61:V63)</f>
        <v/>
      </c>
      <c r="W61" s="615">
        <f>MIN(Thickness!W61:W63)</f>
        <v/>
      </c>
      <c r="X61" s="616">
        <f>MIN(Thickness!X61:X63)</f>
        <v/>
      </c>
      <c r="Y61" s="614">
        <f>MIN(Thickness!Y61:Y63)</f>
        <v/>
      </c>
      <c r="Z61" s="614">
        <f>MIN(Thickness!Z61:Z63)</f>
        <v/>
      </c>
      <c r="AA61" s="614">
        <f>MIN(Thickness!AA61:AA63)</f>
        <v/>
      </c>
      <c r="AB61" s="615">
        <f>MIN(Thickness!AB61:AB63)</f>
        <v/>
      </c>
      <c r="AC61" s="616">
        <f>MIN(Thickness!AC61:AC63)</f>
        <v/>
      </c>
      <c r="AD61" s="614">
        <f>MIN(Thickness!AD61:AD63)</f>
        <v/>
      </c>
      <c r="AE61" s="614">
        <f>MIN(Thickness!AE61:AE63)</f>
        <v/>
      </c>
      <c r="AF61" s="614">
        <f>MIN(Thickness!AF61:AF63)</f>
        <v/>
      </c>
      <c r="AG61" s="615">
        <f>MIN(Thickness!AG61:AG63)</f>
        <v/>
      </c>
      <c r="AH61" s="616">
        <f>MIN(Thickness!AH61:AH63)</f>
        <v/>
      </c>
      <c r="AI61" s="614">
        <f>MIN(Thickness!AI61:AI63)</f>
        <v/>
      </c>
      <c r="AJ61" s="614">
        <f>MIN(Thickness!AJ61:AJ63)</f>
        <v/>
      </c>
      <c r="AK61" s="614">
        <f>MIN(Thickness!AK61:AK63)</f>
        <v/>
      </c>
      <c r="AL61" s="615">
        <f>MIN(Thickness!AL61:AL63)</f>
        <v/>
      </c>
      <c r="AM61" s="616">
        <f>MIN(Thickness!AM61:AM63)</f>
        <v/>
      </c>
      <c r="AN61" s="614">
        <f>MIN(Thickness!AN61:AN63)</f>
        <v/>
      </c>
      <c r="AO61" s="614">
        <f>MIN(Thickness!AO61:AO63)</f>
        <v/>
      </c>
      <c r="AP61" s="614">
        <f>MIN(Thickness!AP61:AP63)</f>
        <v/>
      </c>
      <c r="AQ61" s="615">
        <f>MIN(Thickness!AQ61:AQ63)</f>
        <v/>
      </c>
      <c r="AR61" s="616">
        <f>MIN(Thickness!AR61:AR63)</f>
        <v/>
      </c>
      <c r="AS61" s="614">
        <f>MIN(Thickness!AS61:AS63)</f>
        <v/>
      </c>
      <c r="AT61" s="614">
        <f>MIN(Thickness!AT61:AT63)</f>
        <v/>
      </c>
      <c r="AU61" s="614">
        <f>MIN(Thickness!AU61:AU63)</f>
        <v/>
      </c>
      <c r="AV61" s="615">
        <f>MIN(Thickness!AV61:AV63)</f>
        <v/>
      </c>
      <c r="AW61" s="616">
        <f>MIN(Thickness!AW61:AW63)</f>
        <v/>
      </c>
      <c r="AX61" s="614">
        <f>MIN(Thickness!AX61:AX63)</f>
        <v/>
      </c>
      <c r="AY61" s="614">
        <f>MIN(Thickness!AY61:AY63)</f>
        <v/>
      </c>
      <c r="AZ61" s="614">
        <f>MIN(Thickness!AZ61:AZ63)</f>
        <v/>
      </c>
      <c r="BA61" s="615">
        <f>MIN(Thickness!BA61:BA63)</f>
        <v/>
      </c>
      <c r="BB61" s="616">
        <f>MIN(Thickness!BB61:BB63)</f>
        <v/>
      </c>
      <c r="BC61" s="614">
        <f>MIN(Thickness!BC61:BC63)</f>
        <v/>
      </c>
      <c r="BD61" s="614">
        <f>MIN(Thickness!BD61:BD63)</f>
        <v/>
      </c>
      <c r="BE61" s="614">
        <f>MIN(Thickness!BE61:BE63)</f>
        <v/>
      </c>
      <c r="BF61" s="615">
        <f>MIN(Thickness!BF61:BF63)</f>
        <v/>
      </c>
      <c r="BG61" s="616">
        <f>MIN(Thickness!BG61:BG63)</f>
        <v/>
      </c>
      <c r="BH61" s="614">
        <f>MIN(Thickness!BH61:BH63)</f>
        <v/>
      </c>
      <c r="BI61" s="614">
        <f>MIN(Thickness!BI61:BI63)</f>
        <v/>
      </c>
      <c r="BJ61" s="614">
        <f>MIN(Thickness!BJ61:BJ63)</f>
        <v/>
      </c>
      <c r="BK61" s="615">
        <f>MIN(Thickness!BK61:BK63)</f>
        <v/>
      </c>
      <c r="BL61" s="616">
        <f>MIN(Thickness!BL61:BL63)</f>
        <v/>
      </c>
      <c r="BM61" s="614">
        <f>MIN(Thickness!BM61:BM63)</f>
        <v/>
      </c>
      <c r="BN61" s="614">
        <f>MIN(Thickness!BN61:BN63)</f>
        <v/>
      </c>
      <c r="BO61" s="614">
        <f>MIN(Thickness!BO61:BO63)</f>
        <v/>
      </c>
      <c r="BP61" s="615">
        <f>MIN(Thickness!BP61:BP63)</f>
        <v/>
      </c>
      <c r="BQ61" s="616">
        <f>MIN(Thickness!BQ61:BQ63)</f>
        <v/>
      </c>
      <c r="BR61" s="614">
        <f>MIN(Thickness!BR61:BR63)</f>
        <v/>
      </c>
      <c r="BS61" s="614">
        <f>MIN(Thickness!BS61:BS63)</f>
        <v/>
      </c>
      <c r="BT61" s="615">
        <f>MIN(Thickness!BT61:BT63)</f>
        <v/>
      </c>
      <c r="BU61" s="454">
        <f>IFERROR(AVERAGE(D61:BT63),0)</f>
        <v/>
      </c>
      <c r="BV61" s="454">
        <f>MIN(D61:BT63)</f>
        <v/>
      </c>
      <c r="BW61" s="238" t="n"/>
      <c r="BX61" s="238" t="n"/>
      <c r="BY61" s="238" t="n"/>
      <c r="BZ61" s="238" t="n"/>
      <c r="CA61" s="238" t="n"/>
      <c r="CB61" s="238" t="n"/>
      <c r="CC61" s="238" t="n"/>
      <c r="CD61" s="238" t="n"/>
      <c r="CE61" s="238" t="n"/>
      <c r="CF61" s="238" t="n"/>
      <c r="CG61" s="238" t="n"/>
      <c r="CH61" s="238" t="n"/>
      <c r="CI61" s="238" t="n"/>
      <c r="CJ61" s="238" t="n"/>
      <c r="CK61" s="238" t="n"/>
      <c r="CL61" s="238" t="n"/>
      <c r="CM61" s="238" t="n"/>
      <c r="CN61" s="238" t="n"/>
      <c r="CO61" s="238" t="n"/>
      <c r="CP61" s="238" t="n"/>
      <c r="CQ61" s="238" t="n"/>
      <c r="CR61" s="238" t="n"/>
      <c r="CS61" s="238" t="n"/>
      <c r="CT61" s="238" t="n"/>
      <c r="CU61" s="238" t="n"/>
      <c r="CV61" s="238" t="n"/>
      <c r="CW61" s="238" t="n"/>
      <c r="CX61" s="238" t="n"/>
      <c r="CY61" s="238" t="n"/>
      <c r="CZ61" s="238" t="n"/>
      <c r="DA61" s="238" t="n"/>
      <c r="DB61" s="238" t="n"/>
      <c r="DC61" s="238" t="n"/>
      <c r="DD61" s="238" t="n"/>
      <c r="DE61" s="238" t="n"/>
      <c r="DF61" s="238" t="n"/>
      <c r="DG61" s="238" t="n"/>
      <c r="DH61" s="238" t="n"/>
      <c r="DI61" s="238" t="n"/>
      <c r="DJ61" s="238" t="n"/>
      <c r="DK61" s="238" t="n"/>
      <c r="DL61" s="238" t="n"/>
      <c r="DM61" s="238" t="n"/>
      <c r="DN61" s="238" t="n"/>
      <c r="DO61" s="238" t="n"/>
      <c r="DP61" s="238" t="n"/>
      <c r="DQ61" s="238" t="n"/>
      <c r="DR61" s="238" t="n"/>
      <c r="DS61" s="238" t="n"/>
      <c r="DT61" s="238" t="n"/>
      <c r="DU61" s="238" t="n"/>
      <c r="DV61" s="238" t="n"/>
      <c r="DW61" s="238" t="n"/>
      <c r="DX61" s="238" t="n"/>
      <c r="DY61" s="238" t="n"/>
      <c r="DZ61" s="23" t="n"/>
      <c r="FQ61" s="212" t="n"/>
      <c r="FR61" s="212" t="n"/>
      <c r="FS61" s="212" t="n"/>
      <c r="FT61" s="212" t="n"/>
      <c r="FU61" s="212" t="n"/>
      <c r="FV61" s="212" t="n"/>
      <c r="FW61" s="212" t="n"/>
      <c r="FX61" s="212" t="n"/>
      <c r="FY61" s="212" t="n"/>
      <c r="FZ61" s="212" t="n"/>
    </row>
    <row r="62" ht="39.95" customFormat="1" customHeight="1" s="5">
      <c r="A62" s="182" t="n">
        <v>0.083</v>
      </c>
      <c r="B62" s="7" t="inlineStr">
        <is>
          <t>0 REFERENCE</t>
        </is>
      </c>
      <c r="C62" s="456" t="n"/>
      <c r="D62" s="13" t="n"/>
      <c r="H62" s="592" t="n"/>
      <c r="I62" s="593" t="n"/>
      <c r="M62" s="592" t="n"/>
      <c r="N62" s="593" t="n"/>
      <c r="R62" s="592" t="n"/>
      <c r="S62" s="593" t="n"/>
      <c r="W62" s="592" t="n"/>
      <c r="X62" s="593" t="n"/>
      <c r="AB62" s="592" t="n"/>
      <c r="AC62" s="593" t="n"/>
      <c r="AG62" s="592" t="n"/>
      <c r="AH62" s="593" t="n"/>
      <c r="AL62" s="592" t="n"/>
      <c r="AM62" s="593" t="n"/>
      <c r="AQ62" s="592" t="n"/>
      <c r="AR62" s="593" t="n"/>
      <c r="AV62" s="592" t="n"/>
      <c r="AW62" s="593" t="n"/>
      <c r="BA62" s="592" t="n"/>
      <c r="BB62" s="593" t="n"/>
      <c r="BF62" s="592" t="n"/>
      <c r="BG62" s="593" t="n"/>
      <c r="BK62" s="592" t="n"/>
      <c r="BL62" s="593" t="n"/>
      <c r="BP62" s="592" t="n"/>
      <c r="BQ62" s="593" t="n"/>
      <c r="BT62" s="592" t="n"/>
      <c r="BU62" s="455" t="n"/>
      <c r="BV62" s="455" t="n"/>
      <c r="BW62" s="238" t="n"/>
      <c r="BX62" s="238" t="n"/>
      <c r="BY62" s="238" t="n"/>
      <c r="BZ62" s="238" t="n"/>
      <c r="CA62" s="238" t="n"/>
      <c r="CB62" s="238" t="n"/>
      <c r="CC62" s="238" t="n"/>
      <c r="CD62" s="238" t="n"/>
      <c r="CE62" s="238" t="n"/>
      <c r="CF62" s="238" t="n"/>
      <c r="CG62" s="238" t="n"/>
      <c r="CH62" s="238" t="n"/>
      <c r="CI62" s="238" t="n"/>
      <c r="CJ62" s="238" t="n"/>
      <c r="CK62" s="238" t="n"/>
      <c r="CL62" s="238" t="n"/>
      <c r="CM62" s="238" t="n"/>
      <c r="CN62" s="238" t="n"/>
      <c r="CO62" s="238" t="n"/>
      <c r="CP62" s="238" t="n"/>
      <c r="CQ62" s="238" t="n"/>
      <c r="CR62" s="238" t="n"/>
      <c r="CS62" s="238" t="n"/>
      <c r="CT62" s="238" t="n"/>
      <c r="CU62" s="238" t="n"/>
      <c r="CV62" s="238" t="n"/>
      <c r="CW62" s="238" t="n"/>
      <c r="CX62" s="238" t="n"/>
      <c r="CY62" s="238" t="n"/>
      <c r="CZ62" s="238" t="n"/>
      <c r="DA62" s="238" t="n"/>
      <c r="DB62" s="238" t="n"/>
      <c r="DC62" s="238" t="n"/>
      <c r="DD62" s="238" t="n"/>
      <c r="DE62" s="238" t="n"/>
      <c r="DF62" s="238" t="n"/>
      <c r="DG62" s="238" t="n"/>
      <c r="DH62" s="238" t="n"/>
      <c r="DI62" s="238" t="n"/>
      <c r="DJ62" s="238" t="n"/>
      <c r="DK62" s="238" t="n"/>
      <c r="DL62" s="238" t="n"/>
      <c r="DM62" s="238" t="n"/>
      <c r="DN62" s="238" t="n"/>
      <c r="DO62" s="238" t="n"/>
      <c r="DP62" s="238" t="n"/>
      <c r="DQ62" s="238" t="n"/>
      <c r="DR62" s="238" t="n"/>
      <c r="DS62" s="238" t="n"/>
      <c r="DT62" s="238" t="n"/>
      <c r="DU62" s="238" t="n"/>
      <c r="DV62" s="238" t="n"/>
      <c r="DW62" s="238" t="n"/>
      <c r="DX62" s="238" t="n"/>
      <c r="DY62" s="238" t="n"/>
      <c r="DZ62" s="23" t="n"/>
      <c r="FQ62" s="212" t="n"/>
      <c r="FR62" s="212" t="n"/>
      <c r="FS62" s="212" t="n"/>
      <c r="FT62" s="212" t="n"/>
      <c r="FU62" s="212" t="n"/>
      <c r="FV62" s="212" t="n"/>
      <c r="FW62" s="212" t="n"/>
      <c r="FX62" s="212" t="n"/>
      <c r="FY62" s="212" t="n"/>
      <c r="FZ62" s="212" t="n"/>
    </row>
    <row r="63" ht="39.95" customFormat="1" customHeight="1" s="5">
      <c r="A63" s="456" t="n"/>
      <c r="B63" s="8" t="n"/>
      <c r="C63" s="456" t="n"/>
      <c r="D63" s="594" t="n"/>
      <c r="E63" s="595" t="n"/>
      <c r="F63" s="595" t="n"/>
      <c r="G63" s="595" t="n"/>
      <c r="H63" s="596" t="n"/>
      <c r="I63" s="597" t="n"/>
      <c r="J63" s="595" t="n"/>
      <c r="K63" s="595" t="n"/>
      <c r="L63" s="595" t="n"/>
      <c r="M63" s="596" t="n"/>
      <c r="N63" s="597" t="n"/>
      <c r="O63" s="595" t="n"/>
      <c r="P63" s="595" t="n"/>
      <c r="Q63" s="595" t="n"/>
      <c r="R63" s="596" t="n"/>
      <c r="S63" s="597" t="n"/>
      <c r="T63" s="595" t="n"/>
      <c r="U63" s="595" t="n"/>
      <c r="V63" s="595" t="n"/>
      <c r="W63" s="596" t="n"/>
      <c r="X63" s="597" t="n"/>
      <c r="Y63" s="595" t="n"/>
      <c r="Z63" s="595" t="n"/>
      <c r="AA63" s="595" t="n"/>
      <c r="AB63" s="596" t="n"/>
      <c r="AC63" s="597" t="n"/>
      <c r="AD63" s="595" t="n"/>
      <c r="AE63" s="595" t="n"/>
      <c r="AF63" s="595" t="n"/>
      <c r="AG63" s="596" t="n"/>
      <c r="AH63" s="597" t="n"/>
      <c r="AI63" s="595" t="n"/>
      <c r="AJ63" s="595" t="n"/>
      <c r="AK63" s="595" t="n"/>
      <c r="AL63" s="596" t="n"/>
      <c r="AM63" s="597" t="n"/>
      <c r="AN63" s="595" t="n"/>
      <c r="AO63" s="595" t="n"/>
      <c r="AP63" s="595" t="n"/>
      <c r="AQ63" s="596" t="n"/>
      <c r="AR63" s="597" t="n"/>
      <c r="AS63" s="595" t="n"/>
      <c r="AT63" s="595" t="n"/>
      <c r="AU63" s="595" t="n"/>
      <c r="AV63" s="596" t="n"/>
      <c r="AW63" s="597" t="n"/>
      <c r="AX63" s="595" t="n"/>
      <c r="AY63" s="595" t="n"/>
      <c r="AZ63" s="595" t="n"/>
      <c r="BA63" s="596" t="n"/>
      <c r="BB63" s="597" t="n"/>
      <c r="BC63" s="595" t="n"/>
      <c r="BD63" s="595" t="n"/>
      <c r="BE63" s="595" t="n"/>
      <c r="BF63" s="596" t="n"/>
      <c r="BG63" s="597" t="n"/>
      <c r="BH63" s="595" t="n"/>
      <c r="BI63" s="595" t="n"/>
      <c r="BJ63" s="595" t="n"/>
      <c r="BK63" s="596" t="n"/>
      <c r="BL63" s="597" t="n"/>
      <c r="BM63" s="595" t="n"/>
      <c r="BN63" s="595" t="n"/>
      <c r="BO63" s="595" t="n"/>
      <c r="BP63" s="596" t="n"/>
      <c r="BQ63" s="597" t="n"/>
      <c r="BR63" s="595" t="n"/>
      <c r="BS63" s="595" t="n"/>
      <c r="BT63" s="596" t="n"/>
      <c r="BU63" s="457" t="n"/>
      <c r="BV63" s="457" t="n"/>
      <c r="BW63" s="238" t="n"/>
      <c r="BX63" s="238" t="n"/>
      <c r="BY63" s="238" t="n"/>
      <c r="BZ63" s="238" t="n"/>
      <c r="CA63" s="238" t="n"/>
      <c r="CB63" s="238" t="n"/>
      <c r="CC63" s="238" t="n"/>
      <c r="CD63" s="238" t="n"/>
      <c r="CE63" s="238" t="n"/>
      <c r="CF63" s="238" t="n"/>
      <c r="CG63" s="238" t="n"/>
      <c r="CH63" s="238" t="n"/>
      <c r="CI63" s="238" t="n"/>
      <c r="CJ63" s="238" t="n"/>
      <c r="CK63" s="238" t="n"/>
      <c r="CL63" s="238" t="n"/>
      <c r="CM63" s="238" t="n"/>
      <c r="CN63" s="238" t="n"/>
      <c r="CO63" s="238" t="n"/>
      <c r="CP63" s="238" t="n"/>
      <c r="CQ63" s="238" t="n"/>
      <c r="CR63" s="238" t="n"/>
      <c r="CS63" s="238" t="n"/>
      <c r="CT63" s="238" t="n"/>
      <c r="CU63" s="238" t="n"/>
      <c r="CV63" s="238" t="n"/>
      <c r="CW63" s="238" t="n"/>
      <c r="CX63" s="238" t="n"/>
      <c r="CY63" s="238" t="n"/>
      <c r="CZ63" s="238" t="n"/>
      <c r="DA63" s="238" t="n"/>
      <c r="DB63" s="238" t="n"/>
      <c r="DC63" s="238" t="n"/>
      <c r="DD63" s="238" t="n"/>
      <c r="DE63" s="238" t="n"/>
      <c r="DF63" s="238" t="n"/>
      <c r="DG63" s="238" t="n"/>
      <c r="DH63" s="238" t="n"/>
      <c r="DI63" s="238" t="n"/>
      <c r="DJ63" s="238" t="n"/>
      <c r="DK63" s="238" t="n"/>
      <c r="DL63" s="238" t="n"/>
      <c r="DM63" s="238" t="n"/>
      <c r="DN63" s="238" t="n"/>
      <c r="DO63" s="238" t="n"/>
      <c r="DP63" s="238" t="n"/>
      <c r="DQ63" s="238" t="n"/>
      <c r="DR63" s="238" t="n"/>
      <c r="DS63" s="238" t="n"/>
      <c r="DT63" s="238" t="n"/>
      <c r="DU63" s="238" t="n"/>
      <c r="DV63" s="238" t="n"/>
      <c r="DW63" s="238" t="n"/>
      <c r="DX63" s="238" t="n"/>
      <c r="DY63" s="238" t="n"/>
      <c r="DZ63" s="23" t="n"/>
      <c r="FQ63" s="212" t="n"/>
      <c r="FR63" s="212" t="n"/>
      <c r="FS63" s="212" t="n"/>
      <c r="FT63" s="212" t="n"/>
      <c r="FU63" s="212" t="n"/>
      <c r="FV63" s="212" t="n"/>
      <c r="FW63" s="212" t="n"/>
      <c r="FX63" s="212" t="n"/>
      <c r="FY63" s="212" t="n"/>
      <c r="FZ63" s="212" t="n"/>
    </row>
    <row r="64" ht="39.95" customFormat="1" customHeight="1" s="5">
      <c r="A64" s="10" t="inlineStr">
        <is>
          <t>A</t>
        </is>
      </c>
      <c r="B64" s="6" t="inlineStr">
        <is>
          <t>POSITION 'A'</t>
        </is>
      </c>
      <c r="C64" s="415" t="inlineStr">
        <is>
          <t>LOWEST</t>
        </is>
      </c>
      <c r="D64" s="613" t="inlineStr"/>
      <c r="E64" s="614">
        <f>MIN(Thickness!E64:E66)</f>
        <v/>
      </c>
      <c r="F64" s="614">
        <f>MIN(Thickness!F64:F66)</f>
        <v/>
      </c>
      <c r="G64" s="614">
        <f>MIN(Thickness!G64:G66)</f>
        <v/>
      </c>
      <c r="H64" s="615">
        <f>MIN(Thickness!H64:H66)</f>
        <v/>
      </c>
      <c r="I64" s="616">
        <f>MIN(Thickness!I64:I66)</f>
        <v/>
      </c>
      <c r="J64" s="614">
        <f>MIN(Thickness!J64:J66)</f>
        <v/>
      </c>
      <c r="K64" s="614" t="inlineStr"/>
      <c r="L64" s="614" t="inlineStr"/>
      <c r="M64" s="615" t="inlineStr"/>
      <c r="N64" s="616">
        <f>MIN(Thickness!N64:N66)</f>
        <v/>
      </c>
      <c r="O64" s="614">
        <f>MIN(Thickness!O64:O66)</f>
        <v/>
      </c>
      <c r="P64" s="614">
        <f>MIN(Thickness!P64:P66)</f>
        <v/>
      </c>
      <c r="Q64" s="614">
        <f>MIN(Thickness!Q64:Q66)</f>
        <v/>
      </c>
      <c r="R64" s="615">
        <f>MIN(Thickness!R64:R66)</f>
        <v/>
      </c>
      <c r="S64" s="616">
        <f>MIN(Thickness!S64:S66)</f>
        <v/>
      </c>
      <c r="T64" s="614" t="inlineStr"/>
      <c r="U64" s="614" t="inlineStr"/>
      <c r="V64" s="614">
        <f>MIN(Thickness!V64:V66)</f>
        <v/>
      </c>
      <c r="W64" s="615">
        <f>MIN(Thickness!W64:W66)</f>
        <v/>
      </c>
      <c r="X64" s="616">
        <f>MIN(Thickness!X64:X66)</f>
        <v/>
      </c>
      <c r="Y64" s="614">
        <f>MIN(Thickness!Y64:Y66)</f>
        <v/>
      </c>
      <c r="Z64" s="614">
        <f>MIN(Thickness!Z64:Z66)</f>
        <v/>
      </c>
      <c r="AA64" s="614">
        <f>MIN(Thickness!AA64:AA66)</f>
        <v/>
      </c>
      <c r="AB64" s="615" t="inlineStr"/>
      <c r="AC64" s="616" t="inlineStr"/>
      <c r="AD64" s="614" t="inlineStr"/>
      <c r="AE64" s="614" t="inlineStr"/>
      <c r="AF64" s="614" t="inlineStr"/>
      <c r="AG64" s="615" t="inlineStr"/>
      <c r="AH64" s="616" t="inlineStr"/>
      <c r="AI64" s="614">
        <f>MIN(Thickness!AI64:AI66)</f>
        <v/>
      </c>
      <c r="AJ64" s="614">
        <f>MIN(Thickness!AJ64:AJ66)</f>
        <v/>
      </c>
      <c r="AK64" s="614">
        <f>MIN(Thickness!AK64:AK66)</f>
        <v/>
      </c>
      <c r="AL64" s="615">
        <f>MIN(Thickness!AL64:AL66)</f>
        <v/>
      </c>
      <c r="AM64" s="616" t="inlineStr"/>
      <c r="AN64" s="614">
        <f>MIN(Thickness!AN64:AN66)</f>
        <v/>
      </c>
      <c r="AO64" s="614">
        <f>MIN(Thickness!AO64:AO66)</f>
        <v/>
      </c>
      <c r="AP64" s="614">
        <f>MIN(Thickness!AP64:AP66)</f>
        <v/>
      </c>
      <c r="AQ64" s="615">
        <f>MIN(Thickness!AQ64:AQ66)</f>
        <v/>
      </c>
      <c r="AR64" s="616">
        <f>MIN(Thickness!AR64:AR66)</f>
        <v/>
      </c>
      <c r="AS64" s="614">
        <f>MIN(Thickness!AS64:AS66)</f>
        <v/>
      </c>
      <c r="AT64" s="614" t="inlineStr"/>
      <c r="AU64" s="614" t="inlineStr"/>
      <c r="AV64" s="615">
        <f>MIN(Thickness!AV64:AV66)</f>
        <v/>
      </c>
      <c r="AW64" s="616">
        <f>MIN(Thickness!AW64:AW66)</f>
        <v/>
      </c>
      <c r="AX64" s="614">
        <f>MIN(Thickness!AX64:AX66)</f>
        <v/>
      </c>
      <c r="AY64" s="614">
        <f>MIN(Thickness!AY64:AY66)</f>
        <v/>
      </c>
      <c r="AZ64" s="614">
        <f>MIN(Thickness!AZ64:AZ66)</f>
        <v/>
      </c>
      <c r="BA64" s="615">
        <f>MIN(Thickness!BA64:BA66)</f>
        <v/>
      </c>
      <c r="BB64" s="616" t="inlineStr"/>
      <c r="BC64" s="614" t="inlineStr"/>
      <c r="BD64" s="614" t="inlineStr"/>
      <c r="BE64" s="614">
        <f>MIN(Thickness!BE64:BE66)</f>
        <v/>
      </c>
      <c r="BF64" s="615">
        <f>MIN(Thickness!BF64:BF66)</f>
        <v/>
      </c>
      <c r="BG64" s="616">
        <f>MIN(Thickness!BG64:BG66)</f>
        <v/>
      </c>
      <c r="BH64" s="614">
        <f>MIN(Thickness!BH64:BH66)</f>
        <v/>
      </c>
      <c r="BI64" s="614">
        <f>MIN(Thickness!BI64:BI66)</f>
        <v/>
      </c>
      <c r="BJ64" s="614">
        <f>MIN(Thickness!BJ64:BJ66)</f>
        <v/>
      </c>
      <c r="BK64" s="615" t="inlineStr"/>
      <c r="BL64" s="616" t="inlineStr"/>
      <c r="BM64" s="614">
        <f>MIN(Thickness!BM64:BM66)</f>
        <v/>
      </c>
      <c r="BN64" s="614">
        <f>MIN(Thickness!BN64:BN66)</f>
        <v/>
      </c>
      <c r="BO64" s="614">
        <f>MIN(Thickness!BO64:BO66)</f>
        <v/>
      </c>
      <c r="BP64" s="615">
        <f>MIN(Thickness!BP64:BP66)</f>
        <v/>
      </c>
      <c r="BQ64" s="616">
        <f>MIN(Thickness!BQ64:BQ66)</f>
        <v/>
      </c>
      <c r="BR64" s="614">
        <f>MIN(Thickness!BR64:BR66)</f>
        <v/>
      </c>
      <c r="BS64" s="614" t="inlineStr"/>
      <c r="BT64" s="615" t="inlineStr"/>
      <c r="BU64" s="454">
        <f>IFERROR(AVERAGE(D64:BT66),0)</f>
        <v/>
      </c>
      <c r="BV64" s="454">
        <f>MIN(D64:BT66)</f>
        <v/>
      </c>
      <c r="BW64" s="238" t="n"/>
      <c r="BX64" s="238" t="n"/>
      <c r="BY64" s="238" t="n"/>
      <c r="BZ64" s="238" t="n"/>
      <c r="CA64" s="238" t="n"/>
      <c r="CB64" s="238" t="n"/>
      <c r="CC64" s="238" t="n"/>
      <c r="CD64" s="238" t="n"/>
      <c r="CE64" s="238" t="n"/>
      <c r="CF64" s="238" t="n"/>
      <c r="CG64" s="238" t="n"/>
      <c r="CH64" s="238" t="n"/>
      <c r="CI64" s="238" t="n"/>
      <c r="CJ64" s="238" t="n"/>
      <c r="CK64" s="238" t="n"/>
      <c r="CL64" s="238" t="n"/>
      <c r="CM64" s="238" t="n"/>
      <c r="CN64" s="238" t="n"/>
      <c r="CO64" s="238" t="n"/>
      <c r="CP64" s="238" t="n"/>
      <c r="CQ64" s="238" t="n"/>
      <c r="CR64" s="238" t="n"/>
      <c r="CS64" s="238" t="n"/>
      <c r="CT64" s="238" t="n"/>
      <c r="CU64" s="238" t="n"/>
      <c r="CV64" s="238" t="n"/>
      <c r="CW64" s="238" t="n"/>
      <c r="CX64" s="238" t="n"/>
      <c r="CY64" s="238" t="n"/>
      <c r="CZ64" s="238" t="n"/>
      <c r="DA64" s="238" t="n"/>
      <c r="DB64" s="238" t="n"/>
      <c r="DC64" s="238" t="n"/>
      <c r="DD64" s="238" t="n"/>
      <c r="DE64" s="238" t="n"/>
      <c r="DF64" s="238" t="n"/>
      <c r="DG64" s="238" t="n"/>
      <c r="DH64" s="238" t="n"/>
      <c r="DI64" s="238" t="n"/>
      <c r="DJ64" s="238" t="n"/>
      <c r="DK64" s="238" t="n"/>
      <c r="DL64" s="238" t="n"/>
      <c r="DM64" s="238" t="n"/>
      <c r="DN64" s="238" t="n"/>
      <c r="DO64" s="238" t="n"/>
      <c r="DP64" s="238" t="n"/>
      <c r="DQ64" s="238" t="n"/>
      <c r="DR64" s="238" t="n"/>
      <c r="DS64" s="238" t="n"/>
      <c r="DT64" s="238" t="n"/>
      <c r="DU64" s="238" t="n"/>
      <c r="DV64" s="238" t="n"/>
      <c r="DW64" s="238" t="n"/>
      <c r="DX64" s="238" t="n"/>
      <c r="DY64" s="238" t="n"/>
      <c r="DZ64" s="23" t="n"/>
      <c r="FQ64" s="212" t="n"/>
      <c r="FR64" s="212" t="n"/>
      <c r="FS64" s="212" t="n"/>
      <c r="FT64" s="212" t="n"/>
      <c r="FU64" s="212" t="n"/>
      <c r="FV64" s="212" t="n"/>
      <c r="FW64" s="212" t="n"/>
      <c r="FX64" s="212" t="n"/>
      <c r="FY64" s="212" t="n"/>
      <c r="FZ64" s="212" t="n"/>
    </row>
    <row r="65" ht="39.95" customFormat="1" customHeight="1" s="5">
      <c r="A65" s="182" t="n">
        <v>0.083</v>
      </c>
      <c r="B65" s="7" t="inlineStr">
        <is>
          <t xml:space="preserve">OF THE </t>
        </is>
      </c>
      <c r="C65" s="456" t="n"/>
      <c r="D65" s="13" t="n"/>
      <c r="H65" s="592" t="n"/>
      <c r="I65" s="593" t="n"/>
      <c r="M65" s="592" t="n"/>
      <c r="N65" s="593" t="n"/>
      <c r="R65" s="592" t="n"/>
      <c r="S65" s="593" t="n"/>
      <c r="W65" s="592" t="n"/>
      <c r="X65" s="593" t="n"/>
      <c r="AB65" s="592" t="n"/>
      <c r="AC65" s="593" t="n"/>
      <c r="AG65" s="592" t="n"/>
      <c r="AH65" s="593" t="n"/>
      <c r="AL65" s="592" t="n"/>
      <c r="AM65" s="593" t="n"/>
      <c r="AQ65" s="592" t="n"/>
      <c r="AR65" s="593" t="n"/>
      <c r="AV65" s="592" t="n"/>
      <c r="AW65" s="593" t="n"/>
      <c r="BA65" s="592" t="n"/>
      <c r="BB65" s="593" t="n"/>
      <c r="BF65" s="592" t="n"/>
      <c r="BG65" s="593" t="n"/>
      <c r="BK65" s="592" t="n"/>
      <c r="BL65" s="593" t="n"/>
      <c r="BP65" s="592" t="n"/>
      <c r="BQ65" s="593" t="n"/>
      <c r="BT65" s="592" t="n"/>
      <c r="BU65" s="455" t="n"/>
      <c r="BV65" s="455" t="n"/>
      <c r="BW65" s="238" t="n"/>
      <c r="BX65" s="238" t="n"/>
      <c r="BY65" s="238" t="n"/>
      <c r="BZ65" s="238" t="n"/>
      <c r="CA65" s="238" t="n"/>
      <c r="CB65" s="238" t="n"/>
      <c r="CC65" s="238" t="n"/>
      <c r="CD65" s="238" t="n"/>
      <c r="CE65" s="238" t="n"/>
      <c r="CF65" s="238" t="n"/>
      <c r="CG65" s="238" t="n"/>
      <c r="CH65" s="238" t="n"/>
      <c r="CI65" s="238" t="n"/>
      <c r="CJ65" s="238" t="n"/>
      <c r="CK65" s="238" t="n"/>
      <c r="CL65" s="238" t="n"/>
      <c r="CM65" s="238" t="n"/>
      <c r="CN65" s="238" t="n"/>
      <c r="CO65" s="238" t="n"/>
      <c r="CP65" s="238" t="n"/>
      <c r="CQ65" s="238" t="n"/>
      <c r="CR65" s="238" t="n"/>
      <c r="CS65" s="238" t="n"/>
      <c r="CT65" s="238" t="n"/>
      <c r="CU65" s="238" t="n"/>
      <c r="CV65" s="238" t="n"/>
      <c r="CW65" s="238" t="n"/>
      <c r="CX65" s="238" t="n"/>
      <c r="CY65" s="238" t="n"/>
      <c r="CZ65" s="238" t="n"/>
      <c r="DA65" s="238" t="n"/>
      <c r="DB65" s="238" t="n"/>
      <c r="DC65" s="238" t="n"/>
      <c r="DD65" s="238" t="n"/>
      <c r="DE65" s="238" t="n"/>
      <c r="DF65" s="238" t="n"/>
      <c r="DG65" s="238" t="n"/>
      <c r="DH65" s="238" t="n"/>
      <c r="DI65" s="238" t="n"/>
      <c r="DJ65" s="238" t="n"/>
      <c r="DK65" s="238" t="n"/>
      <c r="DL65" s="238" t="n"/>
      <c r="DM65" s="238" t="n"/>
      <c r="DN65" s="238" t="n"/>
      <c r="DO65" s="238" t="n"/>
      <c r="DP65" s="238" t="n"/>
      <c r="DQ65" s="238" t="n"/>
      <c r="DR65" s="238" t="n"/>
      <c r="DS65" s="238" t="n"/>
      <c r="DT65" s="238" t="n"/>
      <c r="DU65" s="238" t="n"/>
      <c r="DV65" s="238" t="n"/>
      <c r="DW65" s="238" t="n"/>
      <c r="DX65" s="238" t="n"/>
      <c r="DY65" s="238" t="n"/>
      <c r="DZ65" s="23" t="n"/>
      <c r="FQ65" s="212" t="n"/>
      <c r="FR65" s="212" t="n"/>
      <c r="FS65" s="212" t="n"/>
      <c r="FT65" s="212" t="n"/>
      <c r="FU65" s="212" t="n"/>
      <c r="FV65" s="212" t="n"/>
      <c r="FW65" s="212" t="n"/>
      <c r="FX65" s="212" t="n"/>
      <c r="FY65" s="212" t="n"/>
      <c r="FZ65" s="212" t="n"/>
    </row>
    <row r="66" ht="39.95" customFormat="1" customHeight="1" s="5">
      <c r="A66" s="456" t="n"/>
      <c r="B66" s="8" t="inlineStr">
        <is>
          <t>SECONDARIES</t>
        </is>
      </c>
      <c r="C66" s="456" t="n"/>
      <c r="D66" s="594" t="n"/>
      <c r="E66" s="595" t="n"/>
      <c r="F66" s="595" t="n"/>
      <c r="G66" s="595" t="n"/>
      <c r="H66" s="596" t="n"/>
      <c r="I66" s="597" t="n"/>
      <c r="J66" s="595" t="n"/>
      <c r="K66" s="595" t="n"/>
      <c r="L66" s="595" t="n"/>
      <c r="M66" s="596" t="n"/>
      <c r="N66" s="597" t="n"/>
      <c r="O66" s="595" t="n"/>
      <c r="P66" s="595" t="n"/>
      <c r="Q66" s="595" t="n"/>
      <c r="R66" s="596" t="n"/>
      <c r="S66" s="597" t="n"/>
      <c r="T66" s="595" t="n"/>
      <c r="U66" s="595" t="n"/>
      <c r="V66" s="595" t="n"/>
      <c r="W66" s="596" t="n"/>
      <c r="X66" s="597" t="n"/>
      <c r="Y66" s="595" t="n"/>
      <c r="Z66" s="595" t="n"/>
      <c r="AA66" s="595" t="n"/>
      <c r="AB66" s="596" t="n"/>
      <c r="AC66" s="597" t="n"/>
      <c r="AD66" s="595" t="n"/>
      <c r="AE66" s="595" t="n"/>
      <c r="AF66" s="595" t="n"/>
      <c r="AG66" s="596" t="n"/>
      <c r="AH66" s="597" t="n"/>
      <c r="AI66" s="595" t="n"/>
      <c r="AJ66" s="595" t="n"/>
      <c r="AK66" s="595" t="n"/>
      <c r="AL66" s="596" t="n"/>
      <c r="AM66" s="597" t="n"/>
      <c r="AN66" s="595" t="n"/>
      <c r="AO66" s="595" t="n"/>
      <c r="AP66" s="595" t="n"/>
      <c r="AQ66" s="596" t="n"/>
      <c r="AR66" s="597" t="n"/>
      <c r="AS66" s="595" t="n"/>
      <c r="AT66" s="595" t="n"/>
      <c r="AU66" s="595" t="n"/>
      <c r="AV66" s="596" t="n"/>
      <c r="AW66" s="597" t="n"/>
      <c r="AX66" s="595" t="n"/>
      <c r="AY66" s="595" t="n"/>
      <c r="AZ66" s="595" t="n"/>
      <c r="BA66" s="596" t="n"/>
      <c r="BB66" s="597" t="n"/>
      <c r="BC66" s="595" t="n"/>
      <c r="BD66" s="595" t="n"/>
      <c r="BE66" s="595" t="n"/>
      <c r="BF66" s="596" t="n"/>
      <c r="BG66" s="597" t="n"/>
      <c r="BH66" s="595" t="n"/>
      <c r="BI66" s="595" t="n"/>
      <c r="BJ66" s="595" t="n"/>
      <c r="BK66" s="596" t="n"/>
      <c r="BL66" s="597" t="n"/>
      <c r="BM66" s="595" t="n"/>
      <c r="BN66" s="595" t="n"/>
      <c r="BO66" s="595" t="n"/>
      <c r="BP66" s="596" t="n"/>
      <c r="BQ66" s="597" t="n"/>
      <c r="BR66" s="595" t="n"/>
      <c r="BS66" s="595" t="n"/>
      <c r="BT66" s="596" t="n"/>
      <c r="BU66" s="457" t="n"/>
      <c r="BV66" s="457" t="n"/>
      <c r="BW66" s="238" t="n"/>
      <c r="BX66" s="238" t="n"/>
      <c r="BY66" s="238" t="n"/>
      <c r="BZ66" s="238" t="n"/>
      <c r="CA66" s="238" t="n"/>
      <c r="CB66" s="238" t="n"/>
      <c r="CC66" s="238" t="n"/>
      <c r="CD66" s="238" t="n"/>
      <c r="CE66" s="238" t="n"/>
      <c r="CF66" s="238" t="n"/>
      <c r="CG66" s="238" t="n"/>
      <c r="CH66" s="238" t="n"/>
      <c r="CI66" s="238" t="n"/>
      <c r="CJ66" s="238" t="n"/>
      <c r="CK66" s="238" t="n"/>
      <c r="CL66" s="238" t="n"/>
      <c r="CM66" s="238" t="n"/>
      <c r="CN66" s="238" t="n"/>
      <c r="CO66" s="238" t="n"/>
      <c r="CP66" s="238" t="n"/>
      <c r="CQ66" s="238" t="n"/>
      <c r="CR66" s="238" t="n"/>
      <c r="CS66" s="238" t="n"/>
      <c r="CT66" s="238" t="n"/>
      <c r="CU66" s="238" t="n"/>
      <c r="CV66" s="238" t="n"/>
      <c r="CW66" s="238" t="n"/>
      <c r="CX66" s="238" t="n"/>
      <c r="CY66" s="238" t="n"/>
      <c r="CZ66" s="238" t="n"/>
      <c r="DA66" s="238" t="n"/>
      <c r="DB66" s="238" t="n"/>
      <c r="DC66" s="238" t="n"/>
      <c r="DD66" s="238" t="n"/>
      <c r="DE66" s="238" t="n"/>
      <c r="DF66" s="238" t="n"/>
      <c r="DG66" s="238" t="n"/>
      <c r="DH66" s="238" t="n"/>
      <c r="DI66" s="238" t="n"/>
      <c r="DJ66" s="238" t="n"/>
      <c r="DK66" s="238" t="n"/>
      <c r="DL66" s="238" t="n"/>
      <c r="DM66" s="238" t="n"/>
      <c r="DN66" s="238" t="n"/>
      <c r="DO66" s="238" t="n"/>
      <c r="DP66" s="238" t="n"/>
      <c r="DQ66" s="238" t="n"/>
      <c r="DR66" s="238" t="n"/>
      <c r="DS66" s="238" t="n"/>
      <c r="DT66" s="238" t="n"/>
      <c r="DU66" s="238" t="n"/>
      <c r="DV66" s="238" t="n"/>
      <c r="DW66" s="238" t="n"/>
      <c r="DX66" s="238" t="n"/>
      <c r="DY66" s="238" t="n"/>
      <c r="DZ66" s="23" t="n"/>
      <c r="FQ66" s="212" t="n"/>
      <c r="FR66" s="212" t="n"/>
      <c r="FS66" s="212" t="n"/>
      <c r="FT66" s="212" t="n"/>
      <c r="FU66" s="212" t="n"/>
      <c r="FV66" s="212" t="n"/>
      <c r="FW66" s="212" t="n"/>
      <c r="FX66" s="212" t="n"/>
      <c r="FY66" s="212" t="n"/>
      <c r="FZ66" s="212" t="n"/>
    </row>
    <row r="67" ht="39.95" customFormat="1" customHeight="1" s="5">
      <c r="A67" s="10" t="inlineStr">
        <is>
          <t>A</t>
        </is>
      </c>
      <c r="B67" s="6" t="inlineStr">
        <is>
          <t>POSITION 'B'</t>
        </is>
      </c>
      <c r="C67" s="415" t="inlineStr">
        <is>
          <t>LOWEST</t>
        </is>
      </c>
      <c r="D67" s="613" t="inlineStr"/>
      <c r="E67" s="614">
        <f>MIN(Thickness!E67:E69)</f>
        <v/>
      </c>
      <c r="F67" s="614">
        <f>MIN(Thickness!F67:F69)</f>
        <v/>
      </c>
      <c r="G67" s="614">
        <f>MIN(Thickness!G67:G69)</f>
        <v/>
      </c>
      <c r="H67" s="615">
        <f>MIN(Thickness!H67:H69)</f>
        <v/>
      </c>
      <c r="I67" s="616">
        <f>MIN(Thickness!I67:I69)</f>
        <v/>
      </c>
      <c r="J67" s="614">
        <f>MIN(Thickness!J67:J69)</f>
        <v/>
      </c>
      <c r="K67" s="614" t="inlineStr"/>
      <c r="L67" s="614" t="inlineStr"/>
      <c r="M67" s="615" t="inlineStr"/>
      <c r="N67" s="616">
        <f>MIN(Thickness!N67:N69)</f>
        <v/>
      </c>
      <c r="O67" s="614">
        <f>MIN(Thickness!O67:O69)</f>
        <v/>
      </c>
      <c r="P67" s="614">
        <f>MIN(Thickness!P67:P69)</f>
        <v/>
      </c>
      <c r="Q67" s="614">
        <f>MIN(Thickness!Q67:Q69)</f>
        <v/>
      </c>
      <c r="R67" s="615">
        <f>MIN(Thickness!R67:R69)</f>
        <v/>
      </c>
      <c r="S67" s="616">
        <f>MIN(Thickness!S67:S69)</f>
        <v/>
      </c>
      <c r="T67" s="614" t="inlineStr"/>
      <c r="U67" s="614" t="inlineStr"/>
      <c r="V67" s="614">
        <f>MIN(Thickness!V67:V69)</f>
        <v/>
      </c>
      <c r="W67" s="615">
        <f>MIN(Thickness!W67:W69)</f>
        <v/>
      </c>
      <c r="X67" s="616">
        <f>MIN(Thickness!X67:X69)</f>
        <v/>
      </c>
      <c r="Y67" s="614">
        <f>MIN(Thickness!Y67:Y69)</f>
        <v/>
      </c>
      <c r="Z67" s="614">
        <f>MIN(Thickness!Z67:Z69)</f>
        <v/>
      </c>
      <c r="AA67" s="614">
        <f>MIN(Thickness!AA67:AA69)</f>
        <v/>
      </c>
      <c r="AB67" s="615" t="inlineStr"/>
      <c r="AC67" s="616" t="inlineStr"/>
      <c r="AD67" s="614" t="inlineStr"/>
      <c r="AE67" s="614" t="inlineStr"/>
      <c r="AF67" s="614" t="inlineStr"/>
      <c r="AG67" s="615" t="inlineStr"/>
      <c r="AH67" s="616" t="inlineStr"/>
      <c r="AI67" s="614">
        <f>MIN(Thickness!AI67:AI69)</f>
        <v/>
      </c>
      <c r="AJ67" s="614">
        <f>MIN(Thickness!AJ67:AJ69)</f>
        <v/>
      </c>
      <c r="AK67" s="614">
        <f>MIN(Thickness!AK67:AK69)</f>
        <v/>
      </c>
      <c r="AL67" s="615">
        <f>MIN(Thickness!AL67:AL69)</f>
        <v/>
      </c>
      <c r="AM67" s="616" t="inlineStr"/>
      <c r="AN67" s="614">
        <f>MIN(Thickness!AN67:AN69)</f>
        <v/>
      </c>
      <c r="AO67" s="614">
        <f>MIN(Thickness!AO67:AO69)</f>
        <v/>
      </c>
      <c r="AP67" s="614">
        <f>MIN(Thickness!AP67:AP69)</f>
        <v/>
      </c>
      <c r="AQ67" s="615">
        <f>MIN(Thickness!AQ67:AQ69)</f>
        <v/>
      </c>
      <c r="AR67" s="616">
        <f>MIN(Thickness!AR67:AR69)</f>
        <v/>
      </c>
      <c r="AS67" s="614">
        <f>MIN(Thickness!AS67:AS69)</f>
        <v/>
      </c>
      <c r="AT67" s="614" t="inlineStr"/>
      <c r="AU67" s="614" t="inlineStr"/>
      <c r="AV67" s="615">
        <f>MIN(Thickness!AV67:AV69)</f>
        <v/>
      </c>
      <c r="AW67" s="616">
        <f>MIN(Thickness!AW67:AW69)</f>
        <v/>
      </c>
      <c r="AX67" s="614">
        <f>MIN(Thickness!AX67:AX69)</f>
        <v/>
      </c>
      <c r="AY67" s="614">
        <f>MIN(Thickness!AY67:AY69)</f>
        <v/>
      </c>
      <c r="AZ67" s="614">
        <f>MIN(Thickness!AZ67:AZ69)</f>
        <v/>
      </c>
      <c r="BA67" s="615">
        <f>MIN(Thickness!BA67:BA69)</f>
        <v/>
      </c>
      <c r="BB67" s="616" t="inlineStr"/>
      <c r="BC67" s="614" t="inlineStr"/>
      <c r="BD67" s="614" t="inlineStr"/>
      <c r="BE67" s="614">
        <f>MIN(Thickness!BE67:BE69)</f>
        <v/>
      </c>
      <c r="BF67" s="615">
        <f>MIN(Thickness!BF67:BF69)</f>
        <v/>
      </c>
      <c r="BG67" s="616">
        <f>MIN(Thickness!BG67:BG69)</f>
        <v/>
      </c>
      <c r="BH67" s="614">
        <f>MIN(Thickness!BH67:BH69)</f>
        <v/>
      </c>
      <c r="BI67" s="614">
        <f>MIN(Thickness!BI67:BI69)</f>
        <v/>
      </c>
      <c r="BJ67" s="614">
        <f>MIN(Thickness!BJ67:BJ69)</f>
        <v/>
      </c>
      <c r="BK67" s="615" t="inlineStr"/>
      <c r="BL67" s="616" t="inlineStr"/>
      <c r="BM67" s="614">
        <f>MIN(Thickness!BM67:BM69)</f>
        <v/>
      </c>
      <c r="BN67" s="614">
        <f>MIN(Thickness!BN67:BN69)</f>
        <v/>
      </c>
      <c r="BO67" s="614">
        <f>MIN(Thickness!BO67:BO69)</f>
        <v/>
      </c>
      <c r="BP67" s="615">
        <f>MIN(Thickness!BP67:BP69)</f>
        <v/>
      </c>
      <c r="BQ67" s="616">
        <f>MIN(Thickness!BQ67:BQ69)</f>
        <v/>
      </c>
      <c r="BR67" s="614">
        <f>MIN(Thickness!BR67:BR69)</f>
        <v/>
      </c>
      <c r="BS67" s="614" t="inlineStr"/>
      <c r="BT67" s="615" t="inlineStr"/>
      <c r="BU67" s="454">
        <f>IFERROR(AVERAGE(D67:BT69),0)</f>
        <v/>
      </c>
      <c r="BV67" s="454">
        <f>MIN(D67:BT69)</f>
        <v/>
      </c>
      <c r="BW67" s="238" t="n"/>
      <c r="BX67" s="238" t="n"/>
      <c r="BY67" s="238" t="n"/>
      <c r="BZ67" s="238" t="n"/>
      <c r="CA67" s="238" t="n"/>
      <c r="CB67" s="238" t="n"/>
      <c r="CC67" s="238" t="n"/>
      <c r="CD67" s="238" t="n"/>
      <c r="CE67" s="238" t="n"/>
      <c r="CF67" s="238" t="n"/>
      <c r="CG67" s="238" t="n"/>
      <c r="CH67" s="238" t="n"/>
      <c r="CI67" s="238" t="n"/>
      <c r="CJ67" s="238" t="n"/>
      <c r="CK67" s="238" t="n"/>
      <c r="CL67" s="238" t="n"/>
      <c r="CM67" s="238" t="n"/>
      <c r="CN67" s="238" t="n"/>
      <c r="CO67" s="238" t="n"/>
      <c r="CP67" s="238" t="n"/>
      <c r="CQ67" s="238" t="n"/>
      <c r="CR67" s="238" t="n"/>
      <c r="CS67" s="238" t="n"/>
      <c r="CT67" s="238" t="n"/>
      <c r="CU67" s="238" t="n"/>
      <c r="CV67" s="238" t="n"/>
      <c r="CW67" s="238" t="n"/>
      <c r="CX67" s="238" t="n"/>
      <c r="CY67" s="238" t="n"/>
      <c r="CZ67" s="238" t="n"/>
      <c r="DA67" s="238" t="n"/>
      <c r="DB67" s="238" t="n"/>
      <c r="DC67" s="238" t="n"/>
      <c r="DD67" s="238" t="n"/>
      <c r="DE67" s="238" t="n"/>
      <c r="DF67" s="238" t="n"/>
      <c r="DG67" s="238" t="n"/>
      <c r="DH67" s="238" t="n"/>
      <c r="DI67" s="238" t="n"/>
      <c r="DJ67" s="238" t="n"/>
      <c r="DK67" s="238" t="n"/>
      <c r="DL67" s="238" t="n"/>
      <c r="DM67" s="238" t="n"/>
      <c r="DN67" s="238" t="n"/>
      <c r="DO67" s="238" t="n"/>
      <c r="DP67" s="238" t="n"/>
      <c r="DQ67" s="238" t="n"/>
      <c r="DR67" s="238" t="n"/>
      <c r="DS67" s="238" t="n"/>
      <c r="DT67" s="238" t="n"/>
      <c r="DU67" s="238" t="n"/>
      <c r="DV67" s="238" t="n"/>
      <c r="DW67" s="238" t="n"/>
      <c r="DX67" s="238" t="n"/>
      <c r="DY67" s="238" t="n"/>
      <c r="DZ67" s="23" t="n"/>
      <c r="FQ67" s="212" t="n"/>
      <c r="FR67" s="212" t="n"/>
      <c r="FS67" s="212" t="n"/>
      <c r="FT67" s="212" t="n"/>
      <c r="FU67" s="212" t="n"/>
      <c r="FV67" s="212" t="n"/>
      <c r="FW67" s="212" t="n"/>
      <c r="FX67" s="212" t="n"/>
      <c r="FY67" s="212" t="n"/>
      <c r="FZ67" s="212" t="n"/>
    </row>
    <row r="68" ht="39.95" customFormat="1" customHeight="1" s="5">
      <c r="A68" s="182" t="n">
        <v>0.083</v>
      </c>
      <c r="B68" s="7" t="inlineStr">
        <is>
          <t xml:space="preserve">OF THE </t>
        </is>
      </c>
      <c r="C68" s="456" t="n"/>
      <c r="D68" s="13" t="n"/>
      <c r="H68" s="592" t="n"/>
      <c r="I68" s="593" t="n"/>
      <c r="M68" s="592" t="n"/>
      <c r="N68" s="593" t="n"/>
      <c r="R68" s="592" t="n"/>
      <c r="S68" s="593" t="n"/>
      <c r="W68" s="592" t="n"/>
      <c r="X68" s="593" t="n"/>
      <c r="AB68" s="592" t="n"/>
      <c r="AC68" s="593" t="n"/>
      <c r="AG68" s="592" t="n"/>
      <c r="AH68" s="593" t="n"/>
      <c r="AL68" s="592" t="n"/>
      <c r="AM68" s="593" t="n"/>
      <c r="AQ68" s="592" t="n"/>
      <c r="AR68" s="593" t="n"/>
      <c r="AV68" s="592" t="n"/>
      <c r="AW68" s="593" t="n"/>
      <c r="BA68" s="592" t="n"/>
      <c r="BB68" s="593" t="n"/>
      <c r="BF68" s="592" t="n"/>
      <c r="BG68" s="593" t="n"/>
      <c r="BK68" s="592" t="n"/>
      <c r="BL68" s="593" t="n"/>
      <c r="BP68" s="592" t="n"/>
      <c r="BQ68" s="593" t="n"/>
      <c r="BT68" s="592" t="n"/>
      <c r="BU68" s="455" t="n"/>
      <c r="BV68" s="455" t="n"/>
      <c r="BW68" s="238" t="n"/>
      <c r="BX68" s="238" t="n"/>
      <c r="BY68" s="238" t="n"/>
      <c r="BZ68" s="238" t="n"/>
      <c r="CA68" s="238" t="n"/>
      <c r="CB68" s="238" t="n"/>
      <c r="CC68" s="238" t="n"/>
      <c r="CD68" s="238" t="n"/>
      <c r="CE68" s="238" t="n"/>
      <c r="CF68" s="238" t="n"/>
      <c r="CG68" s="238" t="n"/>
      <c r="CH68" s="238" t="n"/>
      <c r="CI68" s="238" t="n"/>
      <c r="CJ68" s="238" t="n"/>
      <c r="CK68" s="238" t="n"/>
      <c r="CL68" s="238" t="n"/>
      <c r="CM68" s="238" t="n"/>
      <c r="CN68" s="238" t="n"/>
      <c r="CO68" s="238" t="n"/>
      <c r="CP68" s="238" t="n"/>
      <c r="CQ68" s="238" t="n"/>
      <c r="CR68" s="238" t="n"/>
      <c r="CS68" s="238" t="n"/>
      <c r="CT68" s="238" t="n"/>
      <c r="CU68" s="238" t="n"/>
      <c r="CV68" s="238" t="n"/>
      <c r="CW68" s="238" t="n"/>
      <c r="CX68" s="238" t="n"/>
      <c r="CY68" s="238" t="n"/>
      <c r="CZ68" s="238" t="n"/>
      <c r="DA68" s="238" t="n"/>
      <c r="DB68" s="238" t="n"/>
      <c r="DC68" s="238" t="n"/>
      <c r="DD68" s="238" t="n"/>
      <c r="DE68" s="238" t="n"/>
      <c r="DF68" s="238" t="n"/>
      <c r="DG68" s="238" t="n"/>
      <c r="DH68" s="238" t="n"/>
      <c r="DI68" s="238" t="n"/>
      <c r="DJ68" s="238" t="n"/>
      <c r="DK68" s="238" t="n"/>
      <c r="DL68" s="238" t="n"/>
      <c r="DM68" s="238" t="n"/>
      <c r="DN68" s="238" t="n"/>
      <c r="DO68" s="238" t="n"/>
      <c r="DP68" s="238" t="n"/>
      <c r="DQ68" s="238" t="n"/>
      <c r="DR68" s="238" t="n"/>
      <c r="DS68" s="238" t="n"/>
      <c r="DT68" s="238" t="n"/>
      <c r="DU68" s="238" t="n"/>
      <c r="DV68" s="238" t="n"/>
      <c r="DW68" s="238" t="n"/>
      <c r="DX68" s="238" t="n"/>
      <c r="DY68" s="238" t="n"/>
      <c r="DZ68" s="23" t="n"/>
      <c r="FQ68" s="212" t="n"/>
      <c r="FR68" s="212" t="n"/>
      <c r="FS68" s="212" t="n"/>
      <c r="FT68" s="212" t="n"/>
      <c r="FU68" s="212" t="n"/>
      <c r="FV68" s="212" t="n"/>
      <c r="FW68" s="212" t="n"/>
      <c r="FX68" s="212" t="n"/>
      <c r="FY68" s="212" t="n"/>
      <c r="FZ68" s="212" t="n"/>
    </row>
    <row r="69" ht="39.95" customFormat="1" customHeight="1" s="5">
      <c r="A69" s="456" t="n"/>
      <c r="B69" s="8" t="inlineStr">
        <is>
          <t>SECONDARIES</t>
        </is>
      </c>
      <c r="C69" s="456" t="n"/>
      <c r="D69" s="594" t="n"/>
      <c r="E69" s="595" t="n"/>
      <c r="F69" s="595" t="n"/>
      <c r="G69" s="595" t="n"/>
      <c r="H69" s="596" t="n"/>
      <c r="I69" s="597" t="n"/>
      <c r="J69" s="595" t="n"/>
      <c r="K69" s="595" t="n"/>
      <c r="L69" s="595" t="n"/>
      <c r="M69" s="596" t="n"/>
      <c r="N69" s="597" t="n"/>
      <c r="O69" s="595" t="n"/>
      <c r="P69" s="595" t="n"/>
      <c r="Q69" s="595" t="n"/>
      <c r="R69" s="596" t="n"/>
      <c r="S69" s="597" t="n"/>
      <c r="T69" s="595" t="n"/>
      <c r="U69" s="595" t="n"/>
      <c r="V69" s="595" t="n"/>
      <c r="W69" s="596" t="n"/>
      <c r="X69" s="597" t="n"/>
      <c r="Y69" s="595" t="n"/>
      <c r="Z69" s="595" t="n"/>
      <c r="AA69" s="595" t="n"/>
      <c r="AB69" s="596" t="n"/>
      <c r="AC69" s="597" t="n"/>
      <c r="AD69" s="595" t="n"/>
      <c r="AE69" s="595" t="n"/>
      <c r="AF69" s="595" t="n"/>
      <c r="AG69" s="596" t="n"/>
      <c r="AH69" s="597" t="n"/>
      <c r="AI69" s="595" t="n"/>
      <c r="AJ69" s="595" t="n"/>
      <c r="AK69" s="595" t="n"/>
      <c r="AL69" s="596" t="n"/>
      <c r="AM69" s="597" t="n"/>
      <c r="AN69" s="595" t="n"/>
      <c r="AO69" s="595" t="n"/>
      <c r="AP69" s="595" t="n"/>
      <c r="AQ69" s="596" t="n"/>
      <c r="AR69" s="597" t="n"/>
      <c r="AS69" s="595" t="n"/>
      <c r="AT69" s="595" t="n"/>
      <c r="AU69" s="595" t="n"/>
      <c r="AV69" s="596" t="n"/>
      <c r="AW69" s="597" t="n"/>
      <c r="AX69" s="595" t="n"/>
      <c r="AY69" s="595" t="n"/>
      <c r="AZ69" s="595" t="n"/>
      <c r="BA69" s="596" t="n"/>
      <c r="BB69" s="597" t="n"/>
      <c r="BC69" s="595" t="n"/>
      <c r="BD69" s="595" t="n"/>
      <c r="BE69" s="595" t="n"/>
      <c r="BF69" s="596" t="n"/>
      <c r="BG69" s="597" t="n"/>
      <c r="BH69" s="595" t="n"/>
      <c r="BI69" s="595" t="n"/>
      <c r="BJ69" s="595" t="n"/>
      <c r="BK69" s="596" t="n"/>
      <c r="BL69" s="597" t="n"/>
      <c r="BM69" s="595" t="n"/>
      <c r="BN69" s="595" t="n"/>
      <c r="BO69" s="595" t="n"/>
      <c r="BP69" s="596" t="n"/>
      <c r="BQ69" s="597" t="n"/>
      <c r="BR69" s="595" t="n"/>
      <c r="BS69" s="595" t="n"/>
      <c r="BT69" s="596" t="n"/>
      <c r="BU69" s="457" t="n"/>
      <c r="BV69" s="457" t="n"/>
      <c r="BW69" s="238" t="n"/>
      <c r="BX69" s="238" t="n"/>
      <c r="BY69" s="238" t="n"/>
      <c r="BZ69" s="238" t="n"/>
      <c r="CA69" s="238" t="n"/>
      <c r="CB69" s="238" t="n"/>
      <c r="CC69" s="238" t="n"/>
      <c r="CD69" s="238" t="n"/>
      <c r="CE69" s="238" t="n"/>
      <c r="CF69" s="238" t="n"/>
      <c r="CG69" s="238" t="n"/>
      <c r="CH69" s="238" t="n"/>
      <c r="CI69" s="238" t="n"/>
      <c r="CJ69" s="238" t="n"/>
      <c r="CK69" s="238" t="n"/>
      <c r="CL69" s="238" t="n"/>
      <c r="CM69" s="238" t="n"/>
      <c r="CN69" s="238" t="n"/>
      <c r="CO69" s="238" t="n"/>
      <c r="CP69" s="238" t="n"/>
      <c r="CQ69" s="238" t="n"/>
      <c r="CR69" s="238" t="n"/>
      <c r="CS69" s="238" t="n"/>
      <c r="CT69" s="238" t="n"/>
      <c r="CU69" s="238" t="n"/>
      <c r="CV69" s="238" t="n"/>
      <c r="CW69" s="238" t="n"/>
      <c r="CX69" s="238" t="n"/>
      <c r="CY69" s="238" t="n"/>
      <c r="CZ69" s="238" t="n"/>
      <c r="DA69" s="238" t="n"/>
      <c r="DB69" s="238" t="n"/>
      <c r="DC69" s="238" t="n"/>
      <c r="DD69" s="238" t="n"/>
      <c r="DE69" s="238" t="n"/>
      <c r="DF69" s="238" t="n"/>
      <c r="DG69" s="238" t="n"/>
      <c r="DH69" s="238" t="n"/>
      <c r="DI69" s="238" t="n"/>
      <c r="DJ69" s="238" t="n"/>
      <c r="DK69" s="238" t="n"/>
      <c r="DL69" s="238" t="n"/>
      <c r="DM69" s="238" t="n"/>
      <c r="DN69" s="238" t="n"/>
      <c r="DO69" s="238" t="n"/>
      <c r="DP69" s="238" t="n"/>
      <c r="DQ69" s="238" t="n"/>
      <c r="DR69" s="238" t="n"/>
      <c r="DS69" s="238" t="n"/>
      <c r="DT69" s="238" t="n"/>
      <c r="DU69" s="238" t="n"/>
      <c r="DV69" s="238" t="n"/>
      <c r="DW69" s="238" t="n"/>
      <c r="DX69" s="238" t="n"/>
      <c r="DY69" s="238" t="n"/>
      <c r="DZ69" s="23" t="n"/>
      <c r="FQ69" s="212" t="n"/>
      <c r="FR69" s="212" t="n"/>
      <c r="FS69" s="212" t="n"/>
      <c r="FT69" s="212" t="n"/>
      <c r="FU69" s="212" t="n"/>
      <c r="FV69" s="212" t="n"/>
      <c r="FW69" s="212" t="n"/>
      <c r="FX69" s="212" t="n"/>
      <c r="FY69" s="212" t="n"/>
      <c r="FZ69" s="212" t="n"/>
    </row>
    <row r="70" ht="39.95" customFormat="1" customHeight="1" s="5">
      <c r="A70" s="10" t="inlineStr">
        <is>
          <t>A</t>
        </is>
      </c>
      <c r="B70" s="6" t="n"/>
      <c r="C70" s="415" t="inlineStr">
        <is>
          <t>LOWEST</t>
        </is>
      </c>
      <c r="D70" s="613">
        <f>MIN(Thickness!D70:D72)</f>
        <v/>
      </c>
      <c r="E70" s="614">
        <f>MIN(Thickness!E70:E72)</f>
        <v/>
      </c>
      <c r="F70" s="614">
        <f>MIN(Thickness!F70:F72)</f>
        <v/>
      </c>
      <c r="G70" s="614">
        <f>MIN(Thickness!G70:G72)</f>
        <v/>
      </c>
      <c r="H70" s="615">
        <f>MIN(Thickness!H70:H72)</f>
        <v/>
      </c>
      <c r="I70" s="616">
        <f>MIN(Thickness!I70:I72)</f>
        <v/>
      </c>
      <c r="J70" s="614">
        <f>MIN(Thickness!J70:J72)</f>
        <v/>
      </c>
      <c r="K70" s="614">
        <f>MIN(Thickness!K70:K72)</f>
        <v/>
      </c>
      <c r="L70" s="614">
        <f>MIN(Thickness!L70:L72)</f>
        <v/>
      </c>
      <c r="M70" s="615">
        <f>MIN(Thickness!M70:M72)</f>
        <v/>
      </c>
      <c r="N70" s="616">
        <f>MIN(Thickness!N70:N72)</f>
        <v/>
      </c>
      <c r="O70" s="614">
        <f>MIN(Thickness!O70:O72)</f>
        <v/>
      </c>
      <c r="P70" s="614">
        <f>MIN(Thickness!P70:P72)</f>
        <v/>
      </c>
      <c r="Q70" s="614">
        <f>MIN(Thickness!Q70:Q72)</f>
        <v/>
      </c>
      <c r="R70" s="615">
        <f>MIN(Thickness!R70:R72)</f>
        <v/>
      </c>
      <c r="S70" s="616">
        <f>MIN(Thickness!S70:S72)</f>
        <v/>
      </c>
      <c r="T70" s="614">
        <f>MIN(Thickness!T70:T72)</f>
        <v/>
      </c>
      <c r="U70" s="614">
        <f>MIN(Thickness!U70:U72)</f>
        <v/>
      </c>
      <c r="V70" s="614">
        <f>MIN(Thickness!V70:V72)</f>
        <v/>
      </c>
      <c r="W70" s="615">
        <f>MIN(Thickness!W70:W72)</f>
        <v/>
      </c>
      <c r="X70" s="616">
        <f>MIN(Thickness!X70:X72)</f>
        <v/>
      </c>
      <c r="Y70" s="614">
        <f>MIN(Thickness!Y70:Y72)</f>
        <v/>
      </c>
      <c r="Z70" s="614">
        <f>MIN(Thickness!Z70:Z72)</f>
        <v/>
      </c>
      <c r="AA70" s="614">
        <f>MIN(Thickness!AA70:AA72)</f>
        <v/>
      </c>
      <c r="AB70" s="615">
        <f>MIN(Thickness!AB70:AB72)</f>
        <v/>
      </c>
      <c r="AC70" s="616">
        <f>MIN(Thickness!AC70:AC72)</f>
        <v/>
      </c>
      <c r="AD70" s="614">
        <f>MIN(Thickness!AD70:AD72)</f>
        <v/>
      </c>
      <c r="AE70" s="614">
        <f>MIN(Thickness!AE70:AE72)</f>
        <v/>
      </c>
      <c r="AF70" s="614">
        <f>MIN(Thickness!AF70:AF72)</f>
        <v/>
      </c>
      <c r="AG70" s="615">
        <f>MIN(Thickness!AG70:AG72)</f>
        <v/>
      </c>
      <c r="AH70" s="616">
        <f>MIN(Thickness!AH70:AH72)</f>
        <v/>
      </c>
      <c r="AI70" s="614">
        <f>MIN(Thickness!AI70:AI72)</f>
        <v/>
      </c>
      <c r="AJ70" s="614">
        <f>MIN(Thickness!AJ70:AJ72)</f>
        <v/>
      </c>
      <c r="AK70" s="614">
        <f>MIN(Thickness!AK70:AK72)</f>
        <v/>
      </c>
      <c r="AL70" s="615">
        <f>MIN(Thickness!AL70:AL72)</f>
        <v/>
      </c>
      <c r="AM70" s="616">
        <f>MIN(Thickness!AM70:AM72)</f>
        <v/>
      </c>
      <c r="AN70" s="614">
        <f>MIN(Thickness!AN70:AN72)</f>
        <v/>
      </c>
      <c r="AO70" s="614">
        <f>MIN(Thickness!AO70:AO72)</f>
        <v/>
      </c>
      <c r="AP70" s="614">
        <f>MIN(Thickness!AP70:AP72)</f>
        <v/>
      </c>
      <c r="AQ70" s="615">
        <f>MIN(Thickness!AQ70:AQ72)</f>
        <v/>
      </c>
      <c r="AR70" s="616">
        <f>MIN(Thickness!AR70:AR72)</f>
        <v/>
      </c>
      <c r="AS70" s="614">
        <f>MIN(Thickness!AS70:AS72)</f>
        <v/>
      </c>
      <c r="AT70" s="614">
        <f>MIN(Thickness!AT70:AT72)</f>
        <v/>
      </c>
      <c r="AU70" s="614">
        <f>MIN(Thickness!AU70:AU72)</f>
        <v/>
      </c>
      <c r="AV70" s="615">
        <f>MIN(Thickness!AV70:AV72)</f>
        <v/>
      </c>
      <c r="AW70" s="616">
        <f>MIN(Thickness!AW70:AW72)</f>
        <v/>
      </c>
      <c r="AX70" s="614">
        <f>MIN(Thickness!AX70:AX72)</f>
        <v/>
      </c>
      <c r="AY70" s="614">
        <f>MIN(Thickness!AY70:AY72)</f>
        <v/>
      </c>
      <c r="AZ70" s="614">
        <f>MIN(Thickness!AZ70:AZ72)</f>
        <v/>
      </c>
      <c r="BA70" s="615">
        <f>MIN(Thickness!BA70:BA72)</f>
        <v/>
      </c>
      <c r="BB70" s="616">
        <f>MIN(Thickness!BB70:BB72)</f>
        <v/>
      </c>
      <c r="BC70" s="614">
        <f>MIN(Thickness!BC70:BC72)</f>
        <v/>
      </c>
      <c r="BD70" s="614">
        <f>MIN(Thickness!BD70:BD72)</f>
        <v/>
      </c>
      <c r="BE70" s="614">
        <f>MIN(Thickness!BE70:BE72)</f>
        <v/>
      </c>
      <c r="BF70" s="615">
        <f>MIN(Thickness!BF70:BF72)</f>
        <v/>
      </c>
      <c r="BG70" s="616">
        <f>MIN(Thickness!BG70:BG72)</f>
        <v/>
      </c>
      <c r="BH70" s="614">
        <f>MIN(Thickness!BH70:BH72)</f>
        <v/>
      </c>
      <c r="BI70" s="614">
        <f>MIN(Thickness!BI70:BI72)</f>
        <v/>
      </c>
      <c r="BJ70" s="614">
        <f>MIN(Thickness!BJ70:BJ72)</f>
        <v/>
      </c>
      <c r="BK70" s="615">
        <f>MIN(Thickness!BK70:BK72)</f>
        <v/>
      </c>
      <c r="BL70" s="616">
        <f>MIN(Thickness!BL70:BL72)</f>
        <v/>
      </c>
      <c r="BM70" s="614">
        <f>MIN(Thickness!BM70:BM72)</f>
        <v/>
      </c>
      <c r="BN70" s="614">
        <f>MIN(Thickness!BN70:BN72)</f>
        <v/>
      </c>
      <c r="BO70" s="614">
        <f>MIN(Thickness!BO70:BO72)</f>
        <v/>
      </c>
      <c r="BP70" s="615">
        <f>MIN(Thickness!BP70:BP72)</f>
        <v/>
      </c>
      <c r="BQ70" s="616">
        <f>MIN(Thickness!BQ70:BQ72)</f>
        <v/>
      </c>
      <c r="BR70" s="614">
        <f>MIN(Thickness!BR70:BR72)</f>
        <v/>
      </c>
      <c r="BS70" s="614">
        <f>MIN(Thickness!BS70:BS72)</f>
        <v/>
      </c>
      <c r="BT70" s="615">
        <f>MIN(Thickness!BT70:BT72)</f>
        <v/>
      </c>
      <c r="BU70" s="454">
        <f>IFERROR(AVERAGE(D70:BT72),0)</f>
        <v/>
      </c>
      <c r="BV70" s="454">
        <f>MIN(D70:BT72)</f>
        <v/>
      </c>
      <c r="BW70" s="238" t="n"/>
      <c r="BX70" s="238" t="n"/>
      <c r="BY70" s="238" t="n"/>
      <c r="BZ70" s="238" t="n"/>
      <c r="CA70" s="238" t="n"/>
      <c r="CB70" s="238" t="n"/>
      <c r="CC70" s="238" t="n"/>
      <c r="CD70" s="238" t="n"/>
      <c r="CE70" s="238" t="n"/>
      <c r="CF70" s="238" t="n"/>
      <c r="CG70" s="238" t="n"/>
      <c r="CH70" s="238" t="n"/>
      <c r="CI70" s="238" t="n"/>
      <c r="CJ70" s="238" t="n"/>
      <c r="CK70" s="238" t="n"/>
      <c r="CL70" s="238" t="n"/>
      <c r="CM70" s="238" t="n"/>
      <c r="CN70" s="238" t="n"/>
      <c r="CO70" s="238" t="n"/>
      <c r="CP70" s="238" t="n"/>
      <c r="CQ70" s="238" t="n"/>
      <c r="CR70" s="238" t="n"/>
      <c r="CS70" s="238" t="n"/>
      <c r="CT70" s="238" t="n"/>
      <c r="CU70" s="238" t="n"/>
      <c r="CV70" s="238" t="n"/>
      <c r="CW70" s="238" t="n"/>
      <c r="CX70" s="238" t="n"/>
      <c r="CY70" s="238" t="n"/>
      <c r="CZ70" s="238" t="n"/>
      <c r="DA70" s="238" t="n"/>
      <c r="DB70" s="238" t="n"/>
      <c r="DC70" s="238" t="n"/>
      <c r="DD70" s="238" t="n"/>
      <c r="DE70" s="238" t="n"/>
      <c r="DF70" s="238" t="n"/>
      <c r="DG70" s="238" t="n"/>
      <c r="DH70" s="238" t="n"/>
      <c r="DI70" s="238" t="n"/>
      <c r="DJ70" s="238" t="n"/>
      <c r="DK70" s="238" t="n"/>
      <c r="DL70" s="238" t="n"/>
      <c r="DM70" s="238" t="n"/>
      <c r="DN70" s="238" t="n"/>
      <c r="DO70" s="238" t="n"/>
      <c r="DP70" s="238" t="n"/>
      <c r="DQ70" s="238" t="n"/>
      <c r="DR70" s="238" t="n"/>
      <c r="DS70" s="238" t="n"/>
      <c r="DT70" s="238" t="n"/>
      <c r="DU70" s="238" t="n"/>
      <c r="DV70" s="238" t="n"/>
      <c r="DW70" s="238" t="n"/>
      <c r="DX70" s="238" t="n"/>
      <c r="DY70" s="238" t="n"/>
      <c r="DZ70" s="23" t="n"/>
      <c r="FQ70" s="212" t="n"/>
      <c r="FR70" s="212" t="n"/>
      <c r="FS70" s="212" t="n"/>
      <c r="FT70" s="212" t="n"/>
      <c r="FU70" s="212" t="n"/>
      <c r="FV70" s="212" t="n"/>
      <c r="FW70" s="212" t="n"/>
      <c r="FX70" s="212" t="n"/>
      <c r="FY70" s="212" t="n"/>
      <c r="FZ70" s="212" t="n"/>
    </row>
    <row r="71" ht="39.95" customFormat="1" customHeight="1" s="5">
      <c r="A71" s="182" t="n">
        <v>0.083</v>
      </c>
      <c r="B71" s="7" t="inlineStr">
        <is>
          <t>-9 IN</t>
        </is>
      </c>
      <c r="C71" s="456" t="n"/>
      <c r="D71" s="13" t="n"/>
      <c r="H71" s="592" t="n"/>
      <c r="I71" s="593" t="n"/>
      <c r="M71" s="592" t="n"/>
      <c r="N71" s="593" t="n"/>
      <c r="R71" s="592" t="n"/>
      <c r="S71" s="593" t="n"/>
      <c r="W71" s="592" t="n"/>
      <c r="X71" s="593" t="n"/>
      <c r="AB71" s="592" t="n"/>
      <c r="AC71" s="593" t="n"/>
      <c r="AG71" s="592" t="n"/>
      <c r="AH71" s="593" t="n"/>
      <c r="AL71" s="592" t="n"/>
      <c r="AM71" s="593" t="n"/>
      <c r="AQ71" s="592" t="n"/>
      <c r="AR71" s="593" t="n"/>
      <c r="AV71" s="592" t="n"/>
      <c r="AW71" s="593" t="n"/>
      <c r="BA71" s="592" t="n"/>
      <c r="BB71" s="593" t="n"/>
      <c r="BF71" s="592" t="n"/>
      <c r="BG71" s="593" t="n"/>
      <c r="BK71" s="592" t="n"/>
      <c r="BL71" s="593" t="n"/>
      <c r="BP71" s="592" t="n"/>
      <c r="BQ71" s="593" t="n"/>
      <c r="BT71" s="592" t="n"/>
      <c r="BU71" s="455" t="n"/>
      <c r="BV71" s="455" t="n"/>
      <c r="BW71" s="238" t="n"/>
      <c r="BX71" s="238" t="n"/>
      <c r="BY71" s="238" t="n"/>
      <c r="BZ71" s="238" t="n"/>
      <c r="CA71" s="238" t="n"/>
      <c r="CB71" s="238" t="n"/>
      <c r="CC71" s="238" t="n"/>
      <c r="CD71" s="238" t="n"/>
      <c r="CE71" s="238" t="n"/>
      <c r="CF71" s="238" t="n"/>
      <c r="CG71" s="238" t="n"/>
      <c r="CH71" s="238" t="n"/>
      <c r="CI71" s="238" t="n"/>
      <c r="CJ71" s="238" t="n"/>
      <c r="CK71" s="238" t="n"/>
      <c r="CL71" s="238" t="n"/>
      <c r="CM71" s="238" t="n"/>
      <c r="CN71" s="238" t="n"/>
      <c r="CO71" s="238" t="n"/>
      <c r="CP71" s="238" t="n"/>
      <c r="CQ71" s="238" t="n"/>
      <c r="CR71" s="238" t="n"/>
      <c r="CS71" s="238" t="n"/>
      <c r="CT71" s="238" t="n"/>
      <c r="CU71" s="238" t="n"/>
      <c r="CV71" s="238" t="n"/>
      <c r="CW71" s="238" t="n"/>
      <c r="CX71" s="238" t="n"/>
      <c r="CY71" s="238" t="n"/>
      <c r="CZ71" s="238" t="n"/>
      <c r="DA71" s="238" t="n"/>
      <c r="DB71" s="238" t="n"/>
      <c r="DC71" s="238" t="n"/>
      <c r="DD71" s="238" t="n"/>
      <c r="DE71" s="238" t="n"/>
      <c r="DF71" s="238" t="n"/>
      <c r="DG71" s="238" t="n"/>
      <c r="DH71" s="238" t="n"/>
      <c r="DI71" s="238" t="n"/>
      <c r="DJ71" s="238" t="n"/>
      <c r="DK71" s="238" t="n"/>
      <c r="DL71" s="238" t="n"/>
      <c r="DM71" s="238" t="n"/>
      <c r="DN71" s="238" t="n"/>
      <c r="DO71" s="238" t="n"/>
      <c r="DP71" s="238" t="n"/>
      <c r="DQ71" s="238" t="n"/>
      <c r="DR71" s="238" t="n"/>
      <c r="DS71" s="238" t="n"/>
      <c r="DT71" s="238" t="n"/>
      <c r="DU71" s="238" t="n"/>
      <c r="DV71" s="238" t="n"/>
      <c r="DW71" s="238" t="n"/>
      <c r="DX71" s="238" t="n"/>
      <c r="DY71" s="238" t="n"/>
      <c r="DZ71" s="23" t="n"/>
      <c r="FQ71" s="212" t="n"/>
      <c r="FR71" s="212" t="n"/>
      <c r="FS71" s="212" t="n"/>
      <c r="FT71" s="212" t="n"/>
      <c r="FU71" s="212" t="n"/>
      <c r="FV71" s="212" t="n"/>
      <c r="FW71" s="212" t="n"/>
      <c r="FX71" s="212" t="n"/>
      <c r="FY71" s="212" t="n"/>
      <c r="FZ71" s="212" t="n"/>
    </row>
    <row r="72" ht="39.95" customFormat="1" customHeight="1" s="5">
      <c r="A72" s="456" t="n"/>
      <c r="B72" s="8" t="n"/>
      <c r="C72" s="456" t="n"/>
      <c r="D72" s="594" t="n"/>
      <c r="E72" s="595" t="n"/>
      <c r="F72" s="595" t="n"/>
      <c r="G72" s="595" t="n"/>
      <c r="H72" s="596" t="n"/>
      <c r="I72" s="597" t="n"/>
      <c r="J72" s="595" t="n"/>
      <c r="K72" s="595" t="n"/>
      <c r="L72" s="595" t="n"/>
      <c r="M72" s="596" t="n"/>
      <c r="N72" s="597" t="n"/>
      <c r="O72" s="595" t="n"/>
      <c r="P72" s="595" t="n"/>
      <c r="Q72" s="595" t="n"/>
      <c r="R72" s="596" t="n"/>
      <c r="S72" s="597" t="n"/>
      <c r="T72" s="595" t="n"/>
      <c r="U72" s="595" t="n"/>
      <c r="V72" s="595" t="n"/>
      <c r="W72" s="596" t="n"/>
      <c r="X72" s="597" t="n"/>
      <c r="Y72" s="595" t="n"/>
      <c r="Z72" s="595" t="n"/>
      <c r="AA72" s="595" t="n"/>
      <c r="AB72" s="596" t="n"/>
      <c r="AC72" s="597" t="n"/>
      <c r="AD72" s="595" t="n"/>
      <c r="AE72" s="595" t="n"/>
      <c r="AF72" s="595" t="n"/>
      <c r="AG72" s="596" t="n"/>
      <c r="AH72" s="597" t="n"/>
      <c r="AI72" s="595" t="n"/>
      <c r="AJ72" s="595" t="n"/>
      <c r="AK72" s="595" t="n"/>
      <c r="AL72" s="596" t="n"/>
      <c r="AM72" s="597" t="n"/>
      <c r="AN72" s="595" t="n"/>
      <c r="AO72" s="595" t="n"/>
      <c r="AP72" s="595" t="n"/>
      <c r="AQ72" s="596" t="n"/>
      <c r="AR72" s="597" t="n"/>
      <c r="AS72" s="595" t="n"/>
      <c r="AT72" s="595" t="n"/>
      <c r="AU72" s="595" t="n"/>
      <c r="AV72" s="596" t="n"/>
      <c r="AW72" s="597" t="n"/>
      <c r="AX72" s="595" t="n"/>
      <c r="AY72" s="595" t="n"/>
      <c r="AZ72" s="595" t="n"/>
      <c r="BA72" s="596" t="n"/>
      <c r="BB72" s="597" t="n"/>
      <c r="BC72" s="595" t="n"/>
      <c r="BD72" s="595" t="n"/>
      <c r="BE72" s="595" t="n"/>
      <c r="BF72" s="596" t="n"/>
      <c r="BG72" s="597" t="n"/>
      <c r="BH72" s="595" t="n"/>
      <c r="BI72" s="595" t="n"/>
      <c r="BJ72" s="595" t="n"/>
      <c r="BK72" s="596" t="n"/>
      <c r="BL72" s="597" t="n"/>
      <c r="BM72" s="595" t="n"/>
      <c r="BN72" s="595" t="n"/>
      <c r="BO72" s="595" t="n"/>
      <c r="BP72" s="596" t="n"/>
      <c r="BQ72" s="597" t="n"/>
      <c r="BR72" s="595" t="n"/>
      <c r="BS72" s="595" t="n"/>
      <c r="BT72" s="596" t="n"/>
      <c r="BU72" s="457" t="n"/>
      <c r="BV72" s="457" t="n"/>
      <c r="BW72" s="238" t="n"/>
      <c r="BX72" s="238" t="n"/>
      <c r="BY72" s="238" t="n"/>
      <c r="BZ72" s="238" t="n"/>
      <c r="CA72" s="238" t="n"/>
      <c r="CB72" s="238" t="n"/>
      <c r="CC72" s="238" t="n"/>
      <c r="CD72" s="238" t="n"/>
      <c r="CE72" s="238" t="n"/>
      <c r="CF72" s="238" t="n"/>
      <c r="CG72" s="238" t="n"/>
      <c r="CH72" s="238" t="n"/>
      <c r="CI72" s="238" t="n"/>
      <c r="CJ72" s="238" t="n"/>
      <c r="CK72" s="238" t="n"/>
      <c r="CL72" s="238" t="n"/>
      <c r="CM72" s="238" t="n"/>
      <c r="CN72" s="238" t="n"/>
      <c r="CO72" s="238" t="n"/>
      <c r="CP72" s="238" t="n"/>
      <c r="CQ72" s="238" t="n"/>
      <c r="CR72" s="238" t="n"/>
      <c r="CS72" s="238" t="n"/>
      <c r="CT72" s="238" t="n"/>
      <c r="CU72" s="238" t="n"/>
      <c r="CV72" s="238" t="n"/>
      <c r="CW72" s="238" t="n"/>
      <c r="CX72" s="238" t="n"/>
      <c r="CY72" s="238" t="n"/>
      <c r="CZ72" s="238" t="n"/>
      <c r="DA72" s="238" t="n"/>
      <c r="DB72" s="238" t="n"/>
      <c r="DC72" s="238" t="n"/>
      <c r="DD72" s="238" t="n"/>
      <c r="DE72" s="238" t="n"/>
      <c r="DF72" s="238" t="n"/>
      <c r="DG72" s="238" t="n"/>
      <c r="DH72" s="238" t="n"/>
      <c r="DI72" s="238" t="n"/>
      <c r="DJ72" s="238" t="n"/>
      <c r="DK72" s="238" t="n"/>
      <c r="DL72" s="238" t="n"/>
      <c r="DM72" s="238" t="n"/>
      <c r="DN72" s="238" t="n"/>
      <c r="DO72" s="238" t="n"/>
      <c r="DP72" s="238" t="n"/>
      <c r="DQ72" s="238" t="n"/>
      <c r="DR72" s="238" t="n"/>
      <c r="DS72" s="238" t="n"/>
      <c r="DT72" s="238" t="n"/>
      <c r="DU72" s="238" t="n"/>
      <c r="DV72" s="238" t="n"/>
      <c r="DW72" s="238" t="n"/>
      <c r="DX72" s="238" t="n"/>
      <c r="DY72" s="238" t="n"/>
      <c r="DZ72" s="23" t="n"/>
      <c r="FQ72" s="212" t="n"/>
      <c r="FR72" s="212" t="n"/>
      <c r="FS72" s="212" t="n"/>
      <c r="FT72" s="212" t="n"/>
      <c r="FU72" s="212" t="n"/>
      <c r="FV72" s="212" t="n"/>
      <c r="FW72" s="212" t="n"/>
      <c r="FX72" s="212" t="n"/>
      <c r="FY72" s="212" t="n"/>
      <c r="FZ72" s="212" t="n"/>
    </row>
    <row r="73" ht="39.95" customFormat="1" customHeight="1" s="5">
      <c r="A73" s="10" t="inlineStr">
        <is>
          <t>A</t>
        </is>
      </c>
      <c r="B73" s="6" t="inlineStr">
        <is>
          <t>POSITION 'C'</t>
        </is>
      </c>
      <c r="C73" s="415" t="inlineStr">
        <is>
          <t>LOWEST</t>
        </is>
      </c>
      <c r="D73" s="613" t="inlineStr"/>
      <c r="E73" s="614">
        <f>MIN(Thickness!E73:E75)</f>
        <v/>
      </c>
      <c r="F73" s="614">
        <f>MIN(Thickness!F73:F75)</f>
        <v/>
      </c>
      <c r="G73" s="614">
        <f>MIN(Thickness!G73:G75)</f>
        <v/>
      </c>
      <c r="H73" s="615">
        <f>MIN(Thickness!H73:H75)</f>
        <v/>
      </c>
      <c r="I73" s="616">
        <f>MIN(Thickness!I73:I75)</f>
        <v/>
      </c>
      <c r="J73" s="614">
        <f>MIN(Thickness!J73:J75)</f>
        <v/>
      </c>
      <c r="K73" s="614" t="inlineStr"/>
      <c r="L73" s="614" t="inlineStr"/>
      <c r="M73" s="615" t="inlineStr"/>
      <c r="N73" s="616">
        <f>MIN(Thickness!N73:N75)</f>
        <v/>
      </c>
      <c r="O73" s="614">
        <f>MIN(Thickness!O73:O75)</f>
        <v/>
      </c>
      <c r="P73" s="614">
        <f>MIN(Thickness!P73:P75)</f>
        <v/>
      </c>
      <c r="Q73" s="614">
        <f>MIN(Thickness!Q73:Q75)</f>
        <v/>
      </c>
      <c r="R73" s="615">
        <f>MIN(Thickness!R73:R75)</f>
        <v/>
      </c>
      <c r="S73" s="616">
        <f>MIN(Thickness!S73:S75)</f>
        <v/>
      </c>
      <c r="T73" s="614" t="inlineStr"/>
      <c r="U73" s="614" t="inlineStr"/>
      <c r="V73" s="614">
        <f>MIN(Thickness!V73:V75)</f>
        <v/>
      </c>
      <c r="W73" s="615">
        <f>MIN(Thickness!W73:W75)</f>
        <v/>
      </c>
      <c r="X73" s="616">
        <f>MIN(Thickness!X73:X75)</f>
        <v/>
      </c>
      <c r="Y73" s="614">
        <f>MIN(Thickness!Y73:Y75)</f>
        <v/>
      </c>
      <c r="Z73" s="614">
        <f>MIN(Thickness!Z73:Z75)</f>
        <v/>
      </c>
      <c r="AA73" s="614">
        <f>MIN(Thickness!AA73:AA75)</f>
        <v/>
      </c>
      <c r="AB73" s="615" t="inlineStr"/>
      <c r="AC73" s="616" t="inlineStr"/>
      <c r="AD73" s="614" t="inlineStr"/>
      <c r="AE73" s="614" t="inlineStr"/>
      <c r="AF73" s="614" t="inlineStr"/>
      <c r="AG73" s="615" t="inlineStr"/>
      <c r="AH73" s="616" t="inlineStr"/>
      <c r="AI73" s="614">
        <f>MIN(Thickness!AI73:AI75)</f>
        <v/>
      </c>
      <c r="AJ73" s="614">
        <f>MIN(Thickness!AJ73:AJ75)</f>
        <v/>
      </c>
      <c r="AK73" s="614">
        <f>MIN(Thickness!AK73:AK75)</f>
        <v/>
      </c>
      <c r="AL73" s="615">
        <f>MIN(Thickness!AL73:AL75)</f>
        <v/>
      </c>
      <c r="AM73" s="616" t="inlineStr"/>
      <c r="AN73" s="614">
        <f>MIN(Thickness!AN73:AN75)</f>
        <v/>
      </c>
      <c r="AO73" s="614">
        <f>MIN(Thickness!AO73:AO75)</f>
        <v/>
      </c>
      <c r="AP73" s="614">
        <f>MIN(Thickness!AP73:AP75)</f>
        <v/>
      </c>
      <c r="AQ73" s="615">
        <f>MIN(Thickness!AQ73:AQ75)</f>
        <v/>
      </c>
      <c r="AR73" s="616">
        <f>MIN(Thickness!AR73:AR75)</f>
        <v/>
      </c>
      <c r="AS73" s="614">
        <f>MIN(Thickness!AS73:AS75)</f>
        <v/>
      </c>
      <c r="AT73" s="614" t="inlineStr"/>
      <c r="AU73" s="614" t="inlineStr"/>
      <c r="AV73" s="615">
        <f>MIN(Thickness!AV73:AV75)</f>
        <v/>
      </c>
      <c r="AW73" s="616">
        <f>MIN(Thickness!AW73:AW75)</f>
        <v/>
      </c>
      <c r="AX73" s="614">
        <f>MIN(Thickness!AX73:AX75)</f>
        <v/>
      </c>
      <c r="AY73" s="614">
        <f>MIN(Thickness!AY73:AY75)</f>
        <v/>
      </c>
      <c r="AZ73" s="614">
        <f>MIN(Thickness!AZ73:AZ75)</f>
        <v/>
      </c>
      <c r="BA73" s="615">
        <f>MIN(Thickness!BA73:BA75)</f>
        <v/>
      </c>
      <c r="BB73" s="616" t="inlineStr"/>
      <c r="BC73" s="614" t="inlineStr"/>
      <c r="BD73" s="614" t="inlineStr"/>
      <c r="BE73" s="614">
        <f>MIN(Thickness!BE73:BE75)</f>
        <v/>
      </c>
      <c r="BF73" s="615">
        <f>MIN(Thickness!BF73:BF75)</f>
        <v/>
      </c>
      <c r="BG73" s="616">
        <f>MIN(Thickness!BG73:BG75)</f>
        <v/>
      </c>
      <c r="BH73" s="614">
        <f>MIN(Thickness!BH73:BH75)</f>
        <v/>
      </c>
      <c r="BI73" s="614">
        <f>MIN(Thickness!BI73:BI75)</f>
        <v/>
      </c>
      <c r="BJ73" s="614">
        <f>MIN(Thickness!BJ73:BJ75)</f>
        <v/>
      </c>
      <c r="BK73" s="615" t="inlineStr"/>
      <c r="BL73" s="616" t="inlineStr"/>
      <c r="BM73" s="614">
        <f>MIN(Thickness!BM73:BM75)</f>
        <v/>
      </c>
      <c r="BN73" s="614">
        <f>MIN(Thickness!BN73:BN75)</f>
        <v/>
      </c>
      <c r="BO73" s="614">
        <f>MIN(Thickness!BO73:BO75)</f>
        <v/>
      </c>
      <c r="BP73" s="615">
        <f>MIN(Thickness!BP73:BP75)</f>
        <v/>
      </c>
      <c r="BQ73" s="616">
        <f>MIN(Thickness!BQ73:BQ75)</f>
        <v/>
      </c>
      <c r="BR73" s="614">
        <f>MIN(Thickness!BR73:BR75)</f>
        <v/>
      </c>
      <c r="BS73" s="614" t="inlineStr"/>
      <c r="BT73" s="615" t="inlineStr"/>
      <c r="BU73" s="454">
        <f>IFERROR(AVERAGE(D73:BT75),0)</f>
        <v/>
      </c>
      <c r="BV73" s="454">
        <f>MIN(D73:BT75)</f>
        <v/>
      </c>
      <c r="BW73" s="238" t="n"/>
      <c r="BX73" s="238" t="n"/>
      <c r="BY73" s="238" t="n"/>
      <c r="BZ73" s="238" t="n"/>
      <c r="CA73" s="238" t="n"/>
      <c r="CB73" s="238" t="n"/>
      <c r="CC73" s="238" t="n"/>
      <c r="CD73" s="238" t="n"/>
      <c r="CE73" s="238" t="n"/>
      <c r="CF73" s="238" t="n"/>
      <c r="CG73" s="238" t="n"/>
      <c r="CH73" s="238" t="n"/>
      <c r="CI73" s="238" t="n"/>
      <c r="CJ73" s="238" t="n"/>
      <c r="CK73" s="238" t="n"/>
      <c r="CL73" s="238" t="n"/>
      <c r="CM73" s="238" t="n"/>
      <c r="CN73" s="238" t="n"/>
      <c r="CO73" s="238" t="n"/>
      <c r="CP73" s="238" t="n"/>
      <c r="CQ73" s="238" t="n"/>
      <c r="CR73" s="238" t="n"/>
      <c r="CS73" s="238" t="n"/>
      <c r="CT73" s="238" t="n"/>
      <c r="CU73" s="238" t="n"/>
      <c r="CV73" s="238" t="n"/>
      <c r="CW73" s="238" t="n"/>
      <c r="CX73" s="238" t="n"/>
      <c r="CY73" s="238" t="n"/>
      <c r="CZ73" s="238" t="n"/>
      <c r="DA73" s="238" t="n"/>
      <c r="DB73" s="238" t="n"/>
      <c r="DC73" s="238" t="n"/>
      <c r="DD73" s="238" t="n"/>
      <c r="DE73" s="238" t="n"/>
      <c r="DF73" s="238" t="n"/>
      <c r="DG73" s="238" t="n"/>
      <c r="DH73" s="238" t="n"/>
      <c r="DI73" s="238" t="n"/>
      <c r="DJ73" s="238" t="n"/>
      <c r="DK73" s="238" t="n"/>
      <c r="DL73" s="238" t="n"/>
      <c r="DM73" s="238" t="n"/>
      <c r="DN73" s="238" t="n"/>
      <c r="DO73" s="238" t="n"/>
      <c r="DP73" s="238" t="n"/>
      <c r="DQ73" s="238" t="n"/>
      <c r="DR73" s="238" t="n"/>
      <c r="DS73" s="238" t="n"/>
      <c r="DT73" s="238" t="n"/>
      <c r="DU73" s="238" t="n"/>
      <c r="DV73" s="238" t="n"/>
      <c r="DW73" s="238" t="n"/>
      <c r="DX73" s="238" t="n"/>
      <c r="DY73" s="238" t="n"/>
      <c r="DZ73" s="23" t="n"/>
      <c r="FQ73" s="212" t="n"/>
      <c r="FR73" s="212" t="n"/>
      <c r="FS73" s="212" t="n"/>
      <c r="FT73" s="212" t="n"/>
      <c r="FU73" s="212" t="n"/>
      <c r="FV73" s="212" t="n"/>
      <c r="FW73" s="212" t="n"/>
      <c r="FX73" s="212" t="n"/>
      <c r="FY73" s="212" t="n"/>
      <c r="FZ73" s="212" t="n"/>
    </row>
    <row r="74" ht="39.95" customFormat="1" customHeight="1" s="5">
      <c r="A74" s="182" t="n">
        <v>0.083</v>
      </c>
      <c r="B74" s="7" t="inlineStr">
        <is>
          <t xml:space="preserve">OF THE </t>
        </is>
      </c>
      <c r="C74" s="456" t="n"/>
      <c r="D74" s="13" t="n"/>
      <c r="H74" s="592" t="n"/>
      <c r="I74" s="593" t="n"/>
      <c r="M74" s="592" t="n"/>
      <c r="N74" s="593" t="n"/>
      <c r="R74" s="592" t="n"/>
      <c r="S74" s="593" t="n"/>
      <c r="W74" s="592" t="n"/>
      <c r="X74" s="593" t="n"/>
      <c r="AB74" s="592" t="n"/>
      <c r="AC74" s="593" t="n"/>
      <c r="AG74" s="592" t="n"/>
      <c r="AH74" s="593" t="n"/>
      <c r="AL74" s="592" t="n"/>
      <c r="AM74" s="593" t="n"/>
      <c r="AQ74" s="592" t="n"/>
      <c r="AR74" s="593" t="n"/>
      <c r="AV74" s="592" t="n"/>
      <c r="AW74" s="593" t="n"/>
      <c r="BA74" s="592" t="n"/>
      <c r="BB74" s="593" t="n"/>
      <c r="BF74" s="592" t="n"/>
      <c r="BG74" s="593" t="n"/>
      <c r="BK74" s="592" t="n"/>
      <c r="BL74" s="593" t="n"/>
      <c r="BP74" s="592" t="n"/>
      <c r="BQ74" s="593" t="n"/>
      <c r="BT74" s="592" t="n"/>
      <c r="BU74" s="455" t="n"/>
      <c r="BV74" s="455" t="n"/>
      <c r="BW74" s="238" t="n"/>
      <c r="BX74" s="238" t="n"/>
      <c r="BY74" s="238" t="n"/>
      <c r="BZ74" s="238" t="n"/>
      <c r="CA74" s="238" t="n"/>
      <c r="CB74" s="238" t="n"/>
      <c r="CC74" s="238" t="n"/>
      <c r="CD74" s="238" t="n"/>
      <c r="CE74" s="238" t="n"/>
      <c r="CF74" s="238" t="n"/>
      <c r="CG74" s="238" t="n"/>
      <c r="CH74" s="238" t="n"/>
      <c r="CI74" s="238" t="n"/>
      <c r="CJ74" s="238" t="n"/>
      <c r="CK74" s="238" t="n"/>
      <c r="CL74" s="238" t="n"/>
      <c r="CM74" s="238" t="n"/>
      <c r="CN74" s="238" t="n"/>
      <c r="CO74" s="238" t="n"/>
      <c r="CP74" s="238" t="n"/>
      <c r="CQ74" s="238" t="n"/>
      <c r="CR74" s="238" t="n"/>
      <c r="CS74" s="238" t="n"/>
      <c r="CT74" s="238" t="n"/>
      <c r="CU74" s="238" t="n"/>
      <c r="CV74" s="238" t="n"/>
      <c r="CW74" s="238" t="n"/>
      <c r="CX74" s="238" t="n"/>
      <c r="CY74" s="238" t="n"/>
      <c r="CZ74" s="238" t="n"/>
      <c r="DA74" s="238" t="n"/>
      <c r="DB74" s="238" t="n"/>
      <c r="DC74" s="238" t="n"/>
      <c r="DD74" s="238" t="n"/>
      <c r="DE74" s="238" t="n"/>
      <c r="DF74" s="238" t="n"/>
      <c r="DG74" s="238" t="n"/>
      <c r="DH74" s="238" t="n"/>
      <c r="DI74" s="238" t="n"/>
      <c r="DJ74" s="238" t="n"/>
      <c r="DK74" s="238" t="n"/>
      <c r="DL74" s="238" t="n"/>
      <c r="DM74" s="238" t="n"/>
      <c r="DN74" s="238" t="n"/>
      <c r="DO74" s="238" t="n"/>
      <c r="DP74" s="238" t="n"/>
      <c r="DQ74" s="238" t="n"/>
      <c r="DR74" s="238" t="n"/>
      <c r="DS74" s="238" t="n"/>
      <c r="DT74" s="238" t="n"/>
      <c r="DU74" s="238" t="n"/>
      <c r="DV74" s="238" t="n"/>
      <c r="DW74" s="238" t="n"/>
      <c r="DX74" s="238" t="n"/>
      <c r="DY74" s="238" t="n"/>
      <c r="DZ74" s="23" t="n"/>
      <c r="FQ74" s="212" t="n"/>
      <c r="FR74" s="212" t="n"/>
      <c r="FS74" s="212" t="n"/>
      <c r="FT74" s="212" t="n"/>
      <c r="FU74" s="212" t="n"/>
      <c r="FV74" s="212" t="n"/>
      <c r="FW74" s="212" t="n"/>
      <c r="FX74" s="212" t="n"/>
      <c r="FY74" s="212" t="n"/>
      <c r="FZ74" s="212" t="n"/>
    </row>
    <row r="75" ht="39.95" customFormat="1" customHeight="1" s="5">
      <c r="A75" s="456" t="n"/>
      <c r="B75" s="8" t="inlineStr">
        <is>
          <t>SECONDARIES</t>
        </is>
      </c>
      <c r="C75" s="456" t="n"/>
      <c r="D75" s="594" t="n"/>
      <c r="E75" s="595" t="n"/>
      <c r="F75" s="595" t="n"/>
      <c r="G75" s="595" t="n"/>
      <c r="H75" s="596" t="n"/>
      <c r="I75" s="597" t="n"/>
      <c r="J75" s="595" t="n"/>
      <c r="K75" s="595" t="n"/>
      <c r="L75" s="595" t="n"/>
      <c r="M75" s="596" t="n"/>
      <c r="N75" s="597" t="n"/>
      <c r="O75" s="595" t="n"/>
      <c r="P75" s="595" t="n"/>
      <c r="Q75" s="595" t="n"/>
      <c r="R75" s="596" t="n"/>
      <c r="S75" s="597" t="n"/>
      <c r="T75" s="595" t="n"/>
      <c r="U75" s="595" t="n"/>
      <c r="V75" s="595" t="n"/>
      <c r="W75" s="596" t="n"/>
      <c r="X75" s="597" t="n"/>
      <c r="Y75" s="595" t="n"/>
      <c r="Z75" s="595" t="n"/>
      <c r="AA75" s="595" t="n"/>
      <c r="AB75" s="596" t="n"/>
      <c r="AC75" s="597" t="n"/>
      <c r="AD75" s="595" t="n"/>
      <c r="AE75" s="595" t="n"/>
      <c r="AF75" s="595" t="n"/>
      <c r="AG75" s="596" t="n"/>
      <c r="AH75" s="597" t="n"/>
      <c r="AI75" s="595" t="n"/>
      <c r="AJ75" s="595" t="n"/>
      <c r="AK75" s="595" t="n"/>
      <c r="AL75" s="596" t="n"/>
      <c r="AM75" s="597" t="n"/>
      <c r="AN75" s="595" t="n"/>
      <c r="AO75" s="595" t="n"/>
      <c r="AP75" s="595" t="n"/>
      <c r="AQ75" s="596" t="n"/>
      <c r="AR75" s="597" t="n"/>
      <c r="AS75" s="595" t="n"/>
      <c r="AT75" s="595" t="n"/>
      <c r="AU75" s="595" t="n"/>
      <c r="AV75" s="596" t="n"/>
      <c r="AW75" s="597" t="n"/>
      <c r="AX75" s="595" t="n"/>
      <c r="AY75" s="595" t="n"/>
      <c r="AZ75" s="595" t="n"/>
      <c r="BA75" s="596" t="n"/>
      <c r="BB75" s="597" t="n"/>
      <c r="BC75" s="595" t="n"/>
      <c r="BD75" s="595" t="n"/>
      <c r="BE75" s="595" t="n"/>
      <c r="BF75" s="596" t="n"/>
      <c r="BG75" s="597" t="n"/>
      <c r="BH75" s="595" t="n"/>
      <c r="BI75" s="595" t="n"/>
      <c r="BJ75" s="595" t="n"/>
      <c r="BK75" s="596" t="n"/>
      <c r="BL75" s="597" t="n"/>
      <c r="BM75" s="595" t="n"/>
      <c r="BN75" s="595" t="n"/>
      <c r="BO75" s="595" t="n"/>
      <c r="BP75" s="596" t="n"/>
      <c r="BQ75" s="597" t="n"/>
      <c r="BR75" s="595" t="n"/>
      <c r="BS75" s="595" t="n"/>
      <c r="BT75" s="596" t="n"/>
      <c r="BU75" s="457" t="n"/>
      <c r="BV75" s="457" t="n"/>
      <c r="BW75" s="238" t="n"/>
      <c r="BX75" s="238" t="n"/>
      <c r="BY75" s="238" t="n"/>
      <c r="BZ75" s="238" t="n"/>
      <c r="CA75" s="238" t="n"/>
      <c r="CB75" s="238" t="n"/>
      <c r="CC75" s="238" t="n"/>
      <c r="CD75" s="238" t="n"/>
      <c r="CE75" s="238" t="n"/>
      <c r="CF75" s="238" t="n"/>
      <c r="CG75" s="238" t="n"/>
      <c r="CH75" s="238" t="n"/>
      <c r="CI75" s="238" t="n"/>
      <c r="CJ75" s="238" t="n"/>
      <c r="CK75" s="238" t="n"/>
      <c r="CL75" s="238" t="n"/>
      <c r="CM75" s="238" t="n"/>
      <c r="CN75" s="238" t="n"/>
      <c r="CO75" s="238" t="n"/>
      <c r="CP75" s="238" t="n"/>
      <c r="CQ75" s="238" t="n"/>
      <c r="CR75" s="238" t="n"/>
      <c r="CS75" s="238" t="n"/>
      <c r="CT75" s="238" t="n"/>
      <c r="CU75" s="238" t="n"/>
      <c r="CV75" s="238" t="n"/>
      <c r="CW75" s="238" t="n"/>
      <c r="CX75" s="238" t="n"/>
      <c r="CY75" s="238" t="n"/>
      <c r="CZ75" s="238" t="n"/>
      <c r="DA75" s="238" t="n"/>
      <c r="DB75" s="238" t="n"/>
      <c r="DC75" s="238" t="n"/>
      <c r="DD75" s="238" t="n"/>
      <c r="DE75" s="238" t="n"/>
      <c r="DF75" s="238" t="n"/>
      <c r="DG75" s="238" t="n"/>
      <c r="DH75" s="238" t="n"/>
      <c r="DI75" s="238" t="n"/>
      <c r="DJ75" s="238" t="n"/>
      <c r="DK75" s="238" t="n"/>
      <c r="DL75" s="238" t="n"/>
      <c r="DM75" s="238" t="n"/>
      <c r="DN75" s="238" t="n"/>
      <c r="DO75" s="238" t="n"/>
      <c r="DP75" s="238" t="n"/>
      <c r="DQ75" s="238" t="n"/>
      <c r="DR75" s="238" t="n"/>
      <c r="DS75" s="238" t="n"/>
      <c r="DT75" s="238" t="n"/>
      <c r="DU75" s="238" t="n"/>
      <c r="DV75" s="238" t="n"/>
      <c r="DW75" s="238" t="n"/>
      <c r="DX75" s="238" t="n"/>
      <c r="DY75" s="238" t="n"/>
      <c r="DZ75" s="23" t="n"/>
      <c r="FQ75" s="212" t="n"/>
      <c r="FR75" s="212" t="n"/>
      <c r="FS75" s="212" t="n"/>
      <c r="FT75" s="212" t="n"/>
      <c r="FU75" s="212" t="n"/>
      <c r="FV75" s="212" t="n"/>
      <c r="FW75" s="212" t="n"/>
      <c r="FX75" s="212" t="n"/>
      <c r="FY75" s="212" t="n"/>
      <c r="FZ75" s="212" t="n"/>
    </row>
    <row r="76" ht="39.95" customFormat="1" customHeight="1" s="5">
      <c r="A76" s="10" t="inlineStr">
        <is>
          <t>A</t>
        </is>
      </c>
      <c r="B76" s="6" t="n"/>
      <c r="C76" s="415" t="inlineStr">
        <is>
          <t>LOWEST</t>
        </is>
      </c>
      <c r="D76" s="613">
        <f>MIN(Thickness!D76:D78)</f>
        <v/>
      </c>
      <c r="E76" s="614">
        <f>MIN(Thickness!E76:E78)</f>
        <v/>
      </c>
      <c r="F76" s="614">
        <f>MIN(Thickness!F76:F78)</f>
        <v/>
      </c>
      <c r="G76" s="614">
        <f>MIN(Thickness!G76:G78)</f>
        <v/>
      </c>
      <c r="H76" s="615">
        <f>MIN(Thickness!H76:H78)</f>
        <v/>
      </c>
      <c r="I76" s="616">
        <f>MIN(Thickness!I76:I78)</f>
        <v/>
      </c>
      <c r="J76" s="614">
        <f>MIN(Thickness!J76:J78)</f>
        <v/>
      </c>
      <c r="K76" s="614">
        <f>MIN(Thickness!K76:K78)</f>
        <v/>
      </c>
      <c r="L76" s="614">
        <f>MIN(Thickness!L76:L78)</f>
        <v/>
      </c>
      <c r="M76" s="615">
        <f>MIN(Thickness!M76:M78)</f>
        <v/>
      </c>
      <c r="N76" s="616">
        <f>MIN(Thickness!N76:N78)</f>
        <v/>
      </c>
      <c r="O76" s="614">
        <f>MIN(Thickness!O76:O78)</f>
        <v/>
      </c>
      <c r="P76" s="614">
        <f>MIN(Thickness!P76:P78)</f>
        <v/>
      </c>
      <c r="Q76" s="614">
        <f>MIN(Thickness!Q76:Q78)</f>
        <v/>
      </c>
      <c r="R76" s="615">
        <f>MIN(Thickness!R76:R78)</f>
        <v/>
      </c>
      <c r="S76" s="616">
        <f>MIN(Thickness!S76:S78)</f>
        <v/>
      </c>
      <c r="T76" s="614">
        <f>MIN(Thickness!T76:T78)</f>
        <v/>
      </c>
      <c r="U76" s="614">
        <f>MIN(Thickness!U76:U78)</f>
        <v/>
      </c>
      <c r="V76" s="614">
        <f>MIN(Thickness!V76:V78)</f>
        <v/>
      </c>
      <c r="W76" s="615">
        <f>MIN(Thickness!W76:W78)</f>
        <v/>
      </c>
      <c r="X76" s="616">
        <f>MIN(Thickness!X76:X78)</f>
        <v/>
      </c>
      <c r="Y76" s="614">
        <f>MIN(Thickness!Y76:Y78)</f>
        <v/>
      </c>
      <c r="Z76" s="614">
        <f>MIN(Thickness!Z76:Z78)</f>
        <v/>
      </c>
      <c r="AA76" s="614">
        <f>MIN(Thickness!AA76:AA78)</f>
        <v/>
      </c>
      <c r="AB76" s="615">
        <f>MIN(Thickness!AB76:AB78)</f>
        <v/>
      </c>
      <c r="AC76" s="616">
        <f>MIN(Thickness!AC76:AC78)</f>
        <v/>
      </c>
      <c r="AD76" s="614">
        <f>MIN(Thickness!AD76:AD78)</f>
        <v/>
      </c>
      <c r="AE76" s="614">
        <f>MIN(Thickness!AE76:AE78)</f>
        <v/>
      </c>
      <c r="AF76" s="614">
        <f>MIN(Thickness!AF76:AF78)</f>
        <v/>
      </c>
      <c r="AG76" s="615">
        <f>MIN(Thickness!AG76:AG78)</f>
        <v/>
      </c>
      <c r="AH76" s="616">
        <f>MIN(Thickness!AH76:AH78)</f>
        <v/>
      </c>
      <c r="AI76" s="614">
        <f>MIN(Thickness!AI76:AI78)</f>
        <v/>
      </c>
      <c r="AJ76" s="614">
        <f>MIN(Thickness!AJ76:AJ78)</f>
        <v/>
      </c>
      <c r="AK76" s="614">
        <f>MIN(Thickness!AK76:AK78)</f>
        <v/>
      </c>
      <c r="AL76" s="615">
        <f>MIN(Thickness!AL76:AL78)</f>
        <v/>
      </c>
      <c r="AM76" s="616">
        <f>MIN(Thickness!AM76:AM78)</f>
        <v/>
      </c>
      <c r="AN76" s="614">
        <f>MIN(Thickness!AN76:AN78)</f>
        <v/>
      </c>
      <c r="AO76" s="614">
        <f>MIN(Thickness!AO76:AO78)</f>
        <v/>
      </c>
      <c r="AP76" s="614">
        <f>MIN(Thickness!AP76:AP78)</f>
        <v/>
      </c>
      <c r="AQ76" s="615">
        <f>MIN(Thickness!AQ76:AQ78)</f>
        <v/>
      </c>
      <c r="AR76" s="616">
        <f>MIN(Thickness!AR76:AR78)</f>
        <v/>
      </c>
      <c r="AS76" s="614">
        <f>MIN(Thickness!AS76:AS78)</f>
        <v/>
      </c>
      <c r="AT76" s="614">
        <f>MIN(Thickness!AT76:AT78)</f>
        <v/>
      </c>
      <c r="AU76" s="614">
        <f>MIN(Thickness!AU76:AU78)</f>
        <v/>
      </c>
      <c r="AV76" s="615">
        <f>MIN(Thickness!AV76:AV78)</f>
        <v/>
      </c>
      <c r="AW76" s="616">
        <f>MIN(Thickness!AW76:AW78)</f>
        <v/>
      </c>
      <c r="AX76" s="614">
        <f>MIN(Thickness!AX76:AX78)</f>
        <v/>
      </c>
      <c r="AY76" s="614">
        <f>MIN(Thickness!AY76:AY78)</f>
        <v/>
      </c>
      <c r="AZ76" s="614">
        <f>MIN(Thickness!AZ76:AZ78)</f>
        <v/>
      </c>
      <c r="BA76" s="615">
        <f>MIN(Thickness!BA76:BA78)</f>
        <v/>
      </c>
      <c r="BB76" s="616">
        <f>MIN(Thickness!BB76:BB78)</f>
        <v/>
      </c>
      <c r="BC76" s="614">
        <f>MIN(Thickness!BC76:BC78)</f>
        <v/>
      </c>
      <c r="BD76" s="614">
        <f>MIN(Thickness!BD76:BD78)</f>
        <v/>
      </c>
      <c r="BE76" s="614">
        <f>MIN(Thickness!BE76:BE78)</f>
        <v/>
      </c>
      <c r="BF76" s="615">
        <f>MIN(Thickness!BF76:BF78)</f>
        <v/>
      </c>
      <c r="BG76" s="616">
        <f>MIN(Thickness!BG76:BG78)</f>
        <v/>
      </c>
      <c r="BH76" s="614">
        <f>MIN(Thickness!BH76:BH78)</f>
        <v/>
      </c>
      <c r="BI76" s="614">
        <f>MIN(Thickness!BI76:BI78)</f>
        <v/>
      </c>
      <c r="BJ76" s="614">
        <f>MIN(Thickness!BJ76:BJ78)</f>
        <v/>
      </c>
      <c r="BK76" s="615">
        <f>MIN(Thickness!BK76:BK78)</f>
        <v/>
      </c>
      <c r="BL76" s="616">
        <f>MIN(Thickness!BL76:BL78)</f>
        <v/>
      </c>
      <c r="BM76" s="614">
        <f>MIN(Thickness!BM76:BM78)</f>
        <v/>
      </c>
      <c r="BN76" s="614">
        <f>MIN(Thickness!BN76:BN78)</f>
        <v/>
      </c>
      <c r="BO76" s="614">
        <f>MIN(Thickness!BO76:BO78)</f>
        <v/>
      </c>
      <c r="BP76" s="615">
        <f>MIN(Thickness!BP76:BP78)</f>
        <v/>
      </c>
      <c r="BQ76" s="616">
        <f>MIN(Thickness!BQ76:BQ78)</f>
        <v/>
      </c>
      <c r="BR76" s="614">
        <f>MIN(Thickness!BR76:BR78)</f>
        <v/>
      </c>
      <c r="BS76" s="614">
        <f>MIN(Thickness!BS76:BS78)</f>
        <v/>
      </c>
      <c r="BT76" s="615">
        <f>MIN(Thickness!BT76:BT78)</f>
        <v/>
      </c>
      <c r="BU76" s="454">
        <f>IFERROR(AVERAGE(D76:BT78),0)</f>
        <v/>
      </c>
      <c r="BV76" s="454">
        <f>MIN(D76:BT78)</f>
        <v/>
      </c>
      <c r="BW76" s="238" t="n"/>
      <c r="BX76" s="238" t="n"/>
      <c r="BY76" s="238" t="n"/>
      <c r="BZ76" s="238" t="n"/>
      <c r="CA76" s="238" t="n"/>
      <c r="CB76" s="238" t="n"/>
      <c r="CC76" s="238" t="n"/>
      <c r="CD76" s="238" t="n"/>
      <c r="CE76" s="238" t="n"/>
      <c r="CF76" s="238" t="n"/>
      <c r="CG76" s="238" t="n"/>
      <c r="CH76" s="238" t="n"/>
      <c r="CI76" s="238" t="n"/>
      <c r="CJ76" s="238" t="n"/>
      <c r="CK76" s="238" t="n"/>
      <c r="CL76" s="238" t="n"/>
      <c r="CM76" s="238" t="n"/>
      <c r="CN76" s="238" t="n"/>
      <c r="CO76" s="238" t="n"/>
      <c r="CP76" s="238" t="n"/>
      <c r="CQ76" s="238" t="n"/>
      <c r="CR76" s="238" t="n"/>
      <c r="CS76" s="238" t="n"/>
      <c r="CT76" s="238" t="n"/>
      <c r="CU76" s="238" t="n"/>
      <c r="CV76" s="238" t="n"/>
      <c r="CW76" s="238" t="n"/>
      <c r="CX76" s="238" t="n"/>
      <c r="CY76" s="238" t="n"/>
      <c r="CZ76" s="238" t="n"/>
      <c r="DA76" s="238" t="n"/>
      <c r="DB76" s="238" t="n"/>
      <c r="DC76" s="238" t="n"/>
      <c r="DD76" s="238" t="n"/>
      <c r="DE76" s="238" t="n"/>
      <c r="DF76" s="238" t="n"/>
      <c r="DG76" s="238" t="n"/>
      <c r="DH76" s="238" t="n"/>
      <c r="DI76" s="238" t="n"/>
      <c r="DJ76" s="238" t="n"/>
      <c r="DK76" s="238" t="n"/>
      <c r="DL76" s="238" t="n"/>
      <c r="DM76" s="238" t="n"/>
      <c r="DN76" s="238" t="n"/>
      <c r="DO76" s="238" t="n"/>
      <c r="DP76" s="238" t="n"/>
      <c r="DQ76" s="238" t="n"/>
      <c r="DR76" s="238" t="n"/>
      <c r="DS76" s="238" t="n"/>
      <c r="DT76" s="238" t="n"/>
      <c r="DU76" s="238" t="n"/>
      <c r="DV76" s="238" t="n"/>
      <c r="DW76" s="238" t="n"/>
      <c r="DX76" s="238" t="n"/>
      <c r="DY76" s="238" t="n"/>
      <c r="DZ76" s="23" t="n"/>
      <c r="FQ76" s="212" t="n"/>
      <c r="FR76" s="212" t="n"/>
      <c r="FS76" s="212" t="n"/>
      <c r="FT76" s="212" t="n"/>
      <c r="FU76" s="212" t="n"/>
      <c r="FV76" s="212" t="n"/>
      <c r="FW76" s="212" t="n"/>
      <c r="FX76" s="212" t="n"/>
      <c r="FY76" s="212" t="n"/>
      <c r="FZ76" s="212" t="n"/>
    </row>
    <row r="77" ht="39.95" customFormat="1" customHeight="1" s="5">
      <c r="A77" s="182" t="n">
        <v>0.083</v>
      </c>
      <c r="B77" s="7" t="inlineStr">
        <is>
          <t>-18 IN</t>
        </is>
      </c>
      <c r="C77" s="456" t="n"/>
      <c r="D77" s="13" t="n"/>
      <c r="H77" s="592" t="n"/>
      <c r="I77" s="593" t="n"/>
      <c r="M77" s="592" t="n"/>
      <c r="N77" s="593" t="n"/>
      <c r="R77" s="592" t="n"/>
      <c r="S77" s="593" t="n"/>
      <c r="W77" s="592" t="n"/>
      <c r="X77" s="593" t="n"/>
      <c r="AB77" s="592" t="n"/>
      <c r="AC77" s="593" t="n"/>
      <c r="AG77" s="592" t="n"/>
      <c r="AH77" s="593" t="n"/>
      <c r="AL77" s="592" t="n"/>
      <c r="AM77" s="593" t="n"/>
      <c r="AQ77" s="592" t="n"/>
      <c r="AR77" s="593" t="n"/>
      <c r="AV77" s="592" t="n"/>
      <c r="AW77" s="593" t="n"/>
      <c r="BA77" s="592" t="n"/>
      <c r="BB77" s="593" t="n"/>
      <c r="BF77" s="592" t="n"/>
      <c r="BG77" s="593" t="n"/>
      <c r="BK77" s="592" t="n"/>
      <c r="BL77" s="593" t="n"/>
      <c r="BP77" s="592" t="n"/>
      <c r="BQ77" s="593" t="n"/>
      <c r="BT77" s="592" t="n"/>
      <c r="BU77" s="455" t="n"/>
      <c r="BV77" s="455" t="n"/>
      <c r="BW77" s="238" t="n"/>
      <c r="BX77" s="238" t="n"/>
      <c r="BY77" s="238" t="n"/>
      <c r="BZ77" s="238" t="n"/>
      <c r="CA77" s="238" t="n"/>
      <c r="CB77" s="238" t="n"/>
      <c r="CC77" s="238" t="n"/>
      <c r="CD77" s="238" t="n"/>
      <c r="CE77" s="238" t="n"/>
      <c r="CF77" s="238" t="n"/>
      <c r="CG77" s="238" t="n"/>
      <c r="CH77" s="238" t="n"/>
      <c r="CI77" s="238" t="n"/>
      <c r="CJ77" s="238" t="n"/>
      <c r="CK77" s="238" t="n"/>
      <c r="CL77" s="238" t="n"/>
      <c r="CM77" s="238" t="n"/>
      <c r="CN77" s="238" t="n"/>
      <c r="CO77" s="238" t="n"/>
      <c r="CP77" s="238" t="n"/>
      <c r="CQ77" s="238" t="n"/>
      <c r="CR77" s="238" t="n"/>
      <c r="CS77" s="238" t="n"/>
      <c r="CT77" s="238" t="n"/>
      <c r="CU77" s="238" t="n"/>
      <c r="CV77" s="238" t="n"/>
      <c r="CW77" s="238" t="n"/>
      <c r="CX77" s="238" t="n"/>
      <c r="CY77" s="238" t="n"/>
      <c r="CZ77" s="238" t="n"/>
      <c r="DA77" s="238" t="n"/>
      <c r="DB77" s="238" t="n"/>
      <c r="DC77" s="238" t="n"/>
      <c r="DD77" s="238" t="n"/>
      <c r="DE77" s="238" t="n"/>
      <c r="DF77" s="238" t="n"/>
      <c r="DG77" s="238" t="n"/>
      <c r="DH77" s="238" t="n"/>
      <c r="DI77" s="238" t="n"/>
      <c r="DJ77" s="238" t="n"/>
      <c r="DK77" s="238" t="n"/>
      <c r="DL77" s="238" t="n"/>
      <c r="DM77" s="238" t="n"/>
      <c r="DN77" s="238" t="n"/>
      <c r="DO77" s="238" t="n"/>
      <c r="DP77" s="238" t="n"/>
      <c r="DQ77" s="238" t="n"/>
      <c r="DR77" s="238" t="n"/>
      <c r="DS77" s="238" t="n"/>
      <c r="DT77" s="238" t="n"/>
      <c r="DU77" s="238" t="n"/>
      <c r="DV77" s="238" t="n"/>
      <c r="DW77" s="238" t="n"/>
      <c r="DX77" s="238" t="n"/>
      <c r="DY77" s="238" t="n"/>
      <c r="DZ77" s="23" t="n"/>
      <c r="FQ77" s="212" t="n"/>
      <c r="FR77" s="212" t="n"/>
      <c r="FS77" s="212" t="n"/>
      <c r="FT77" s="212" t="n"/>
      <c r="FU77" s="212" t="n"/>
      <c r="FV77" s="212" t="n"/>
      <c r="FW77" s="212" t="n"/>
      <c r="FX77" s="212" t="n"/>
      <c r="FY77" s="212" t="n"/>
      <c r="FZ77" s="212" t="n"/>
    </row>
    <row r="78" ht="39.95" customFormat="1" customHeight="1" s="5">
      <c r="A78" s="456" t="n"/>
      <c r="B78" s="8" t="n"/>
      <c r="C78" s="456" t="n"/>
      <c r="D78" s="594" t="n"/>
      <c r="E78" s="595" t="n"/>
      <c r="F78" s="595" t="n"/>
      <c r="G78" s="595" t="n"/>
      <c r="H78" s="596" t="n"/>
      <c r="I78" s="597" t="n"/>
      <c r="J78" s="595" t="n"/>
      <c r="K78" s="595" t="n"/>
      <c r="L78" s="595" t="n"/>
      <c r="M78" s="596" t="n"/>
      <c r="N78" s="597" t="n"/>
      <c r="O78" s="595" t="n"/>
      <c r="P78" s="595" t="n"/>
      <c r="Q78" s="595" t="n"/>
      <c r="R78" s="596" t="n"/>
      <c r="S78" s="597" t="n"/>
      <c r="T78" s="595" t="n"/>
      <c r="U78" s="595" t="n"/>
      <c r="V78" s="595" t="n"/>
      <c r="W78" s="596" t="n"/>
      <c r="X78" s="597" t="n"/>
      <c r="Y78" s="595" t="n"/>
      <c r="Z78" s="595" t="n"/>
      <c r="AA78" s="595" t="n"/>
      <c r="AB78" s="596" t="n"/>
      <c r="AC78" s="597" t="n"/>
      <c r="AD78" s="595" t="n"/>
      <c r="AE78" s="595" t="n"/>
      <c r="AF78" s="595" t="n"/>
      <c r="AG78" s="596" t="n"/>
      <c r="AH78" s="597" t="n"/>
      <c r="AI78" s="595" t="n"/>
      <c r="AJ78" s="595" t="n"/>
      <c r="AK78" s="595" t="n"/>
      <c r="AL78" s="596" t="n"/>
      <c r="AM78" s="597" t="n"/>
      <c r="AN78" s="595" t="n"/>
      <c r="AO78" s="595" t="n"/>
      <c r="AP78" s="595" t="n"/>
      <c r="AQ78" s="596" t="n"/>
      <c r="AR78" s="597" t="n"/>
      <c r="AS78" s="595" t="n"/>
      <c r="AT78" s="595" t="n"/>
      <c r="AU78" s="595" t="n"/>
      <c r="AV78" s="596" t="n"/>
      <c r="AW78" s="597" t="n"/>
      <c r="AX78" s="595" t="n"/>
      <c r="AY78" s="595" t="n"/>
      <c r="AZ78" s="595" t="n"/>
      <c r="BA78" s="596" t="n"/>
      <c r="BB78" s="597" t="n"/>
      <c r="BC78" s="595" t="n"/>
      <c r="BD78" s="595" t="n"/>
      <c r="BE78" s="595" t="n"/>
      <c r="BF78" s="596" t="n"/>
      <c r="BG78" s="597" t="n"/>
      <c r="BH78" s="595" t="n"/>
      <c r="BI78" s="595" t="n"/>
      <c r="BJ78" s="595" t="n"/>
      <c r="BK78" s="596" t="n"/>
      <c r="BL78" s="597" t="n"/>
      <c r="BM78" s="595" t="n"/>
      <c r="BN78" s="595" t="n"/>
      <c r="BO78" s="595" t="n"/>
      <c r="BP78" s="596" t="n"/>
      <c r="BQ78" s="597" t="n"/>
      <c r="BR78" s="595" t="n"/>
      <c r="BS78" s="595" t="n"/>
      <c r="BT78" s="596" t="n"/>
      <c r="BU78" s="457" t="n"/>
      <c r="BV78" s="457" t="n"/>
      <c r="BW78" s="238" t="n"/>
      <c r="BX78" s="238" t="n"/>
      <c r="BY78" s="238" t="n"/>
      <c r="BZ78" s="238" t="n"/>
      <c r="CA78" s="238" t="n"/>
      <c r="CB78" s="238" t="n"/>
      <c r="CC78" s="238" t="n"/>
      <c r="CD78" s="238" t="n"/>
      <c r="CE78" s="238" t="n"/>
      <c r="CF78" s="238" t="n"/>
      <c r="CG78" s="238" t="n"/>
      <c r="CH78" s="238" t="n"/>
      <c r="CI78" s="238" t="n"/>
      <c r="CJ78" s="238" t="n"/>
      <c r="CK78" s="238" t="n"/>
      <c r="CL78" s="238" t="n"/>
      <c r="CM78" s="238" t="n"/>
      <c r="CN78" s="238" t="n"/>
      <c r="CO78" s="238" t="n"/>
      <c r="CP78" s="238" t="n"/>
      <c r="CQ78" s="238" t="n"/>
      <c r="CR78" s="238" t="n"/>
      <c r="CS78" s="238" t="n"/>
      <c r="CT78" s="238" t="n"/>
      <c r="CU78" s="238" t="n"/>
      <c r="CV78" s="238" t="n"/>
      <c r="CW78" s="238" t="n"/>
      <c r="CX78" s="238" t="n"/>
      <c r="CY78" s="238" t="n"/>
      <c r="CZ78" s="238" t="n"/>
      <c r="DA78" s="238" t="n"/>
      <c r="DB78" s="238" t="n"/>
      <c r="DC78" s="238" t="n"/>
      <c r="DD78" s="238" t="n"/>
      <c r="DE78" s="238" t="n"/>
      <c r="DF78" s="238" t="n"/>
      <c r="DG78" s="238" t="n"/>
      <c r="DH78" s="238" t="n"/>
      <c r="DI78" s="238" t="n"/>
      <c r="DJ78" s="238" t="n"/>
      <c r="DK78" s="238" t="n"/>
      <c r="DL78" s="238" t="n"/>
      <c r="DM78" s="238" t="n"/>
      <c r="DN78" s="238" t="n"/>
      <c r="DO78" s="238" t="n"/>
      <c r="DP78" s="238" t="n"/>
      <c r="DQ78" s="238" t="n"/>
      <c r="DR78" s="238" t="n"/>
      <c r="DS78" s="238" t="n"/>
      <c r="DT78" s="238" t="n"/>
      <c r="DU78" s="238" t="n"/>
      <c r="DV78" s="238" t="n"/>
      <c r="DW78" s="238" t="n"/>
      <c r="DX78" s="238" t="n"/>
      <c r="DY78" s="238" t="n"/>
      <c r="DZ78" s="23" t="n"/>
      <c r="FQ78" s="212" t="n"/>
      <c r="FR78" s="212" t="n"/>
      <c r="FS78" s="212" t="n"/>
      <c r="FT78" s="212" t="n"/>
      <c r="FU78" s="212" t="n"/>
      <c r="FV78" s="212" t="n"/>
      <c r="FW78" s="212" t="n"/>
      <c r="FX78" s="212" t="n"/>
      <c r="FY78" s="212" t="n"/>
      <c r="FZ78" s="212" t="n"/>
    </row>
    <row r="79" ht="39.95" customFormat="1" customHeight="1" s="5">
      <c r="A79" s="10" t="inlineStr">
        <is>
          <t>A</t>
        </is>
      </c>
      <c r="B79" s="6" t="n"/>
      <c r="C79" s="415" t="inlineStr">
        <is>
          <t>LOWEST</t>
        </is>
      </c>
      <c r="D79" s="613">
        <f>MIN(Thickness!D79:D81)</f>
        <v/>
      </c>
      <c r="E79" s="614">
        <f>MIN(Thickness!E79:E81)</f>
        <v/>
      </c>
      <c r="F79" s="614">
        <f>MIN(Thickness!F79:F81)</f>
        <v/>
      </c>
      <c r="G79" s="614">
        <f>MIN(Thickness!G79:G81)</f>
        <v/>
      </c>
      <c r="H79" s="615">
        <f>MIN(Thickness!H79:H81)</f>
        <v/>
      </c>
      <c r="I79" s="616">
        <f>MIN(Thickness!I79:I81)</f>
        <v/>
      </c>
      <c r="J79" s="614">
        <f>MIN(Thickness!J79:J81)</f>
        <v/>
      </c>
      <c r="K79" s="614">
        <f>MIN(Thickness!K79:K81)</f>
        <v/>
      </c>
      <c r="L79" s="614">
        <f>MIN(Thickness!L79:L81)</f>
        <v/>
      </c>
      <c r="M79" s="615">
        <f>MIN(Thickness!M79:M81)</f>
        <v/>
      </c>
      <c r="N79" s="616">
        <f>MIN(Thickness!N79:N81)</f>
        <v/>
      </c>
      <c r="O79" s="614">
        <f>MIN(Thickness!O79:O81)</f>
        <v/>
      </c>
      <c r="P79" s="614">
        <f>MIN(Thickness!P79:P81)</f>
        <v/>
      </c>
      <c r="Q79" s="614">
        <f>MIN(Thickness!Q79:Q81)</f>
        <v/>
      </c>
      <c r="R79" s="615">
        <f>MIN(Thickness!R79:R81)</f>
        <v/>
      </c>
      <c r="S79" s="616">
        <f>MIN(Thickness!S79:S81)</f>
        <v/>
      </c>
      <c r="T79" s="614">
        <f>MIN(Thickness!T79:T81)</f>
        <v/>
      </c>
      <c r="U79" s="614">
        <f>MIN(Thickness!U79:U81)</f>
        <v/>
      </c>
      <c r="V79" s="614">
        <f>MIN(Thickness!V79:V81)</f>
        <v/>
      </c>
      <c r="W79" s="615">
        <f>MIN(Thickness!W79:W81)</f>
        <v/>
      </c>
      <c r="X79" s="616">
        <f>MIN(Thickness!X79:X81)</f>
        <v/>
      </c>
      <c r="Y79" s="614">
        <f>MIN(Thickness!Y79:Y81)</f>
        <v/>
      </c>
      <c r="Z79" s="614">
        <f>MIN(Thickness!Z79:Z81)</f>
        <v/>
      </c>
      <c r="AA79" s="614">
        <f>MIN(Thickness!AA79:AA81)</f>
        <v/>
      </c>
      <c r="AB79" s="615">
        <f>MIN(Thickness!AB79:AB81)</f>
        <v/>
      </c>
      <c r="AC79" s="616">
        <f>MIN(Thickness!AC79:AC81)</f>
        <v/>
      </c>
      <c r="AD79" s="614">
        <f>MIN(Thickness!AD79:AD81)</f>
        <v/>
      </c>
      <c r="AE79" s="614">
        <f>MIN(Thickness!AE79:AE81)</f>
        <v/>
      </c>
      <c r="AF79" s="614">
        <f>MIN(Thickness!AF79:AF81)</f>
        <v/>
      </c>
      <c r="AG79" s="615">
        <f>MIN(Thickness!AG79:AG81)</f>
        <v/>
      </c>
      <c r="AH79" s="616">
        <f>MIN(Thickness!AH79:AH81)</f>
        <v/>
      </c>
      <c r="AI79" s="614">
        <f>MIN(Thickness!AI79:AI81)</f>
        <v/>
      </c>
      <c r="AJ79" s="614">
        <f>MIN(Thickness!AJ79:AJ81)</f>
        <v/>
      </c>
      <c r="AK79" s="614">
        <f>MIN(Thickness!AK79:AK81)</f>
        <v/>
      </c>
      <c r="AL79" s="615">
        <f>MIN(Thickness!AL79:AL81)</f>
        <v/>
      </c>
      <c r="AM79" s="616">
        <f>MIN(Thickness!AM79:AM81)</f>
        <v/>
      </c>
      <c r="AN79" s="614">
        <f>MIN(Thickness!AN79:AN81)</f>
        <v/>
      </c>
      <c r="AO79" s="614">
        <f>MIN(Thickness!AO79:AO81)</f>
        <v/>
      </c>
      <c r="AP79" s="614">
        <f>MIN(Thickness!AP79:AP81)</f>
        <v/>
      </c>
      <c r="AQ79" s="615">
        <f>MIN(Thickness!AQ79:AQ81)</f>
        <v/>
      </c>
      <c r="AR79" s="616">
        <f>MIN(Thickness!AR79:AR81)</f>
        <v/>
      </c>
      <c r="AS79" s="614">
        <f>MIN(Thickness!AS79:AS81)</f>
        <v/>
      </c>
      <c r="AT79" s="614">
        <f>MIN(Thickness!AT79:AT81)</f>
        <v/>
      </c>
      <c r="AU79" s="614">
        <f>MIN(Thickness!AU79:AU81)</f>
        <v/>
      </c>
      <c r="AV79" s="615">
        <f>MIN(Thickness!AV79:AV81)</f>
        <v/>
      </c>
      <c r="AW79" s="616">
        <f>MIN(Thickness!AW79:AW81)</f>
        <v/>
      </c>
      <c r="AX79" s="614">
        <f>MIN(Thickness!AX79:AX81)</f>
        <v/>
      </c>
      <c r="AY79" s="614">
        <f>MIN(Thickness!AY79:AY81)</f>
        <v/>
      </c>
      <c r="AZ79" s="614">
        <f>MIN(Thickness!AZ79:AZ81)</f>
        <v/>
      </c>
      <c r="BA79" s="615">
        <f>MIN(Thickness!BA79:BA81)</f>
        <v/>
      </c>
      <c r="BB79" s="616">
        <f>MIN(Thickness!BB79:BB81)</f>
        <v/>
      </c>
      <c r="BC79" s="614">
        <f>MIN(Thickness!BC79:BC81)</f>
        <v/>
      </c>
      <c r="BD79" s="614">
        <f>MIN(Thickness!BD79:BD81)</f>
        <v/>
      </c>
      <c r="BE79" s="614">
        <f>MIN(Thickness!BE79:BE81)</f>
        <v/>
      </c>
      <c r="BF79" s="615">
        <f>MIN(Thickness!BF79:BF81)</f>
        <v/>
      </c>
      <c r="BG79" s="616">
        <f>MIN(Thickness!BG79:BG81)</f>
        <v/>
      </c>
      <c r="BH79" s="614">
        <f>MIN(Thickness!BH79:BH81)</f>
        <v/>
      </c>
      <c r="BI79" s="614">
        <f>MIN(Thickness!BI79:BI81)</f>
        <v/>
      </c>
      <c r="BJ79" s="614">
        <f>MIN(Thickness!BJ79:BJ81)</f>
        <v/>
      </c>
      <c r="BK79" s="615">
        <f>MIN(Thickness!BK79:BK81)</f>
        <v/>
      </c>
      <c r="BL79" s="616">
        <f>MIN(Thickness!BL79:BL81)</f>
        <v/>
      </c>
      <c r="BM79" s="614">
        <f>MIN(Thickness!BM79:BM81)</f>
        <v/>
      </c>
      <c r="BN79" s="614">
        <f>MIN(Thickness!BN79:BN81)</f>
        <v/>
      </c>
      <c r="BO79" s="614">
        <f>MIN(Thickness!BO79:BO81)</f>
        <v/>
      </c>
      <c r="BP79" s="615">
        <f>MIN(Thickness!BP79:BP81)</f>
        <v/>
      </c>
      <c r="BQ79" s="616">
        <f>MIN(Thickness!BQ79:BQ81)</f>
        <v/>
      </c>
      <c r="BR79" s="614">
        <f>MIN(Thickness!BR79:BR81)</f>
        <v/>
      </c>
      <c r="BS79" s="614">
        <f>MIN(Thickness!BS79:BS81)</f>
        <v/>
      </c>
      <c r="BT79" s="615">
        <f>MIN(Thickness!BT79:BT81)</f>
        <v/>
      </c>
      <c r="BU79" s="454">
        <f>IFERROR(AVERAGE(D79:BT81),0)</f>
        <v/>
      </c>
      <c r="BV79" s="454">
        <f>MIN(D79:BT81)</f>
        <v/>
      </c>
      <c r="BW79" s="238" t="n"/>
      <c r="BX79" s="238" t="n"/>
      <c r="BY79" s="238" t="n"/>
      <c r="BZ79" s="238" t="n"/>
      <c r="CA79" s="238" t="n"/>
      <c r="CB79" s="238" t="n"/>
      <c r="CC79" s="238" t="n"/>
      <c r="CD79" s="238" t="n"/>
      <c r="CE79" s="238" t="n"/>
      <c r="CF79" s="238" t="n"/>
      <c r="CG79" s="238" t="n"/>
      <c r="CH79" s="238" t="n"/>
      <c r="CI79" s="238" t="n"/>
      <c r="CJ79" s="238" t="n"/>
      <c r="CK79" s="238" t="n"/>
      <c r="CL79" s="238" t="n"/>
      <c r="CM79" s="238" t="n"/>
      <c r="CN79" s="238" t="n"/>
      <c r="CO79" s="238" t="n"/>
      <c r="CP79" s="238" t="n"/>
      <c r="CQ79" s="238" t="n"/>
      <c r="CR79" s="238" t="n"/>
      <c r="CS79" s="238" t="n"/>
      <c r="CT79" s="238" t="n"/>
      <c r="CU79" s="238" t="n"/>
      <c r="CV79" s="238" t="n"/>
      <c r="CW79" s="238" t="n"/>
      <c r="CX79" s="238" t="n"/>
      <c r="CY79" s="238" t="n"/>
      <c r="CZ79" s="238" t="n"/>
      <c r="DA79" s="238" t="n"/>
      <c r="DB79" s="238" t="n"/>
      <c r="DC79" s="238" t="n"/>
      <c r="DD79" s="238" t="n"/>
      <c r="DE79" s="238" t="n"/>
      <c r="DF79" s="238" t="n"/>
      <c r="DG79" s="238" t="n"/>
      <c r="DH79" s="238" t="n"/>
      <c r="DI79" s="238" t="n"/>
      <c r="DJ79" s="238" t="n"/>
      <c r="DK79" s="238" t="n"/>
      <c r="DL79" s="238" t="n"/>
      <c r="DM79" s="238" t="n"/>
      <c r="DN79" s="238" t="n"/>
      <c r="DO79" s="238" t="n"/>
      <c r="DP79" s="238" t="n"/>
      <c r="DQ79" s="238" t="n"/>
      <c r="DR79" s="238" t="n"/>
      <c r="DS79" s="238" t="n"/>
      <c r="DT79" s="238" t="n"/>
      <c r="DU79" s="238" t="n"/>
      <c r="DV79" s="238" t="n"/>
      <c r="DW79" s="238" t="n"/>
      <c r="DX79" s="238" t="n"/>
      <c r="DY79" s="238" t="n"/>
      <c r="DZ79" s="23" t="n"/>
      <c r="FQ79" s="212" t="n"/>
      <c r="FR79" s="212" t="n"/>
      <c r="FS79" s="212" t="n"/>
      <c r="FT79" s="212" t="n"/>
      <c r="FU79" s="212" t="n"/>
      <c r="FV79" s="212" t="n"/>
      <c r="FW79" s="212" t="n"/>
      <c r="FX79" s="212" t="n"/>
      <c r="FY79" s="212" t="n"/>
      <c r="FZ79" s="212" t="n"/>
    </row>
    <row r="80" ht="39.95" customFormat="1" customHeight="1" s="5">
      <c r="A80" s="182" t="n">
        <v>0.083</v>
      </c>
      <c r="B80" s="7" t="inlineStr">
        <is>
          <t>-27 IN</t>
        </is>
      </c>
      <c r="C80" s="456" t="n"/>
      <c r="D80" s="13" t="n"/>
      <c r="H80" s="592" t="n"/>
      <c r="I80" s="593" t="n"/>
      <c r="M80" s="592" t="n"/>
      <c r="N80" s="593" t="n"/>
      <c r="R80" s="592" t="n"/>
      <c r="S80" s="593" t="n"/>
      <c r="W80" s="592" t="n"/>
      <c r="X80" s="593" t="n"/>
      <c r="AB80" s="592" t="n"/>
      <c r="AC80" s="593" t="n"/>
      <c r="AG80" s="592" t="n"/>
      <c r="AH80" s="593" t="n"/>
      <c r="AL80" s="592" t="n"/>
      <c r="AM80" s="593" t="n"/>
      <c r="AQ80" s="592" t="n"/>
      <c r="AR80" s="593" t="n"/>
      <c r="AV80" s="592" t="n"/>
      <c r="AW80" s="593" t="n"/>
      <c r="BA80" s="592" t="n"/>
      <c r="BB80" s="593" t="n"/>
      <c r="BF80" s="592" t="n"/>
      <c r="BG80" s="593" t="n"/>
      <c r="BK80" s="592" t="n"/>
      <c r="BL80" s="593" t="n"/>
      <c r="BP80" s="592" t="n"/>
      <c r="BQ80" s="593" t="n"/>
      <c r="BT80" s="592" t="n"/>
      <c r="BU80" s="455" t="n"/>
      <c r="BV80" s="455" t="n"/>
      <c r="BW80" s="238" t="n"/>
      <c r="BX80" s="238" t="n"/>
      <c r="BY80" s="238" t="n"/>
      <c r="BZ80" s="238" t="n"/>
      <c r="CA80" s="238" t="n"/>
      <c r="CB80" s="238" t="n"/>
      <c r="CC80" s="238" t="n"/>
      <c r="CD80" s="238" t="n"/>
      <c r="CE80" s="238" t="n"/>
      <c r="CF80" s="238" t="n"/>
      <c r="CG80" s="238" t="n"/>
      <c r="CH80" s="238" t="n"/>
      <c r="CI80" s="238" t="n"/>
      <c r="CJ80" s="238" t="n"/>
      <c r="CK80" s="238" t="n"/>
      <c r="CL80" s="238" t="n"/>
      <c r="CM80" s="238" t="n"/>
      <c r="CN80" s="238" t="n"/>
      <c r="CO80" s="238" t="n"/>
      <c r="CP80" s="238" t="n"/>
      <c r="CQ80" s="238" t="n"/>
      <c r="CR80" s="238" t="n"/>
      <c r="CS80" s="238" t="n"/>
      <c r="CT80" s="238" t="n"/>
      <c r="CU80" s="238" t="n"/>
      <c r="CV80" s="238" t="n"/>
      <c r="CW80" s="238" t="n"/>
      <c r="CX80" s="238" t="n"/>
      <c r="CY80" s="238" t="n"/>
      <c r="CZ80" s="238" t="n"/>
      <c r="DA80" s="238" t="n"/>
      <c r="DB80" s="238" t="n"/>
      <c r="DC80" s="238" t="n"/>
      <c r="DD80" s="238" t="n"/>
      <c r="DE80" s="238" t="n"/>
      <c r="DF80" s="238" t="n"/>
      <c r="DG80" s="238" t="n"/>
      <c r="DH80" s="238" t="n"/>
      <c r="DI80" s="238" t="n"/>
      <c r="DJ80" s="238" t="n"/>
      <c r="DK80" s="238" t="n"/>
      <c r="DL80" s="238" t="n"/>
      <c r="DM80" s="238" t="n"/>
      <c r="DN80" s="238" t="n"/>
      <c r="DO80" s="238" t="n"/>
      <c r="DP80" s="238" t="n"/>
      <c r="DQ80" s="238" t="n"/>
      <c r="DR80" s="238" t="n"/>
      <c r="DS80" s="238" t="n"/>
      <c r="DT80" s="238" t="n"/>
      <c r="DU80" s="238" t="n"/>
      <c r="DV80" s="238" t="n"/>
      <c r="DW80" s="238" t="n"/>
      <c r="DX80" s="238" t="n"/>
      <c r="DY80" s="238" t="n"/>
      <c r="DZ80" s="23" t="n"/>
      <c r="FQ80" s="212" t="n"/>
      <c r="FR80" s="212" t="n"/>
      <c r="FS80" s="212" t="n"/>
      <c r="FT80" s="212" t="n"/>
      <c r="FU80" s="212" t="n"/>
      <c r="FV80" s="212" t="n"/>
      <c r="FW80" s="212" t="n"/>
      <c r="FX80" s="212" t="n"/>
      <c r="FY80" s="212" t="n"/>
      <c r="FZ80" s="212" t="n"/>
    </row>
    <row r="81" ht="39.95" customFormat="1" customHeight="1" s="5">
      <c r="A81" s="456" t="n"/>
      <c r="B81" s="8" t="n"/>
      <c r="C81" s="456" t="n"/>
      <c r="D81" s="594" t="n"/>
      <c r="E81" s="595" t="n"/>
      <c r="F81" s="595" t="n"/>
      <c r="G81" s="595" t="n"/>
      <c r="H81" s="596" t="n"/>
      <c r="I81" s="597" t="n"/>
      <c r="J81" s="595" t="n"/>
      <c r="K81" s="595" t="n"/>
      <c r="L81" s="595" t="n"/>
      <c r="M81" s="596" t="n"/>
      <c r="N81" s="597" t="n"/>
      <c r="O81" s="595" t="n"/>
      <c r="P81" s="595" t="n"/>
      <c r="Q81" s="595" t="n"/>
      <c r="R81" s="596" t="n"/>
      <c r="S81" s="597" t="n"/>
      <c r="T81" s="595" t="n"/>
      <c r="U81" s="595" t="n"/>
      <c r="V81" s="595" t="n"/>
      <c r="W81" s="596" t="n"/>
      <c r="X81" s="597" t="n"/>
      <c r="Y81" s="595" t="n"/>
      <c r="Z81" s="595" t="n"/>
      <c r="AA81" s="595" t="n"/>
      <c r="AB81" s="596" t="n"/>
      <c r="AC81" s="597" t="n"/>
      <c r="AD81" s="595" t="n"/>
      <c r="AE81" s="595" t="n"/>
      <c r="AF81" s="595" t="n"/>
      <c r="AG81" s="596" t="n"/>
      <c r="AH81" s="597" t="n"/>
      <c r="AI81" s="595" t="n"/>
      <c r="AJ81" s="595" t="n"/>
      <c r="AK81" s="595" t="n"/>
      <c r="AL81" s="596" t="n"/>
      <c r="AM81" s="597" t="n"/>
      <c r="AN81" s="595" t="n"/>
      <c r="AO81" s="595" t="n"/>
      <c r="AP81" s="595" t="n"/>
      <c r="AQ81" s="596" t="n"/>
      <c r="AR81" s="597" t="n"/>
      <c r="AS81" s="595" t="n"/>
      <c r="AT81" s="595" t="n"/>
      <c r="AU81" s="595" t="n"/>
      <c r="AV81" s="596" t="n"/>
      <c r="AW81" s="597" t="n"/>
      <c r="AX81" s="595" t="n"/>
      <c r="AY81" s="595" t="n"/>
      <c r="AZ81" s="595" t="n"/>
      <c r="BA81" s="596" t="n"/>
      <c r="BB81" s="597" t="n"/>
      <c r="BC81" s="595" t="n"/>
      <c r="BD81" s="595" t="n"/>
      <c r="BE81" s="595" t="n"/>
      <c r="BF81" s="596" t="n"/>
      <c r="BG81" s="597" t="n"/>
      <c r="BH81" s="595" t="n"/>
      <c r="BI81" s="595" t="n"/>
      <c r="BJ81" s="595" t="n"/>
      <c r="BK81" s="596" t="n"/>
      <c r="BL81" s="597" t="n"/>
      <c r="BM81" s="595" t="n"/>
      <c r="BN81" s="595" t="n"/>
      <c r="BO81" s="595" t="n"/>
      <c r="BP81" s="596" t="n"/>
      <c r="BQ81" s="597" t="n"/>
      <c r="BR81" s="595" t="n"/>
      <c r="BS81" s="595" t="n"/>
      <c r="BT81" s="596" t="n"/>
      <c r="BU81" s="457" t="n"/>
      <c r="BV81" s="457" t="n"/>
      <c r="BW81" s="238" t="n"/>
      <c r="BX81" s="238" t="n"/>
      <c r="BY81" s="238" t="n"/>
      <c r="BZ81" s="238" t="n"/>
      <c r="CA81" s="238" t="n"/>
      <c r="CB81" s="238" t="n"/>
      <c r="CC81" s="238" t="n"/>
      <c r="CD81" s="238" t="n"/>
      <c r="CE81" s="238" t="n"/>
      <c r="CF81" s="238" t="n"/>
      <c r="CG81" s="238" t="n"/>
      <c r="CH81" s="238" t="n"/>
      <c r="CI81" s="238" t="n"/>
      <c r="CJ81" s="238" t="n"/>
      <c r="CK81" s="238" t="n"/>
      <c r="CL81" s="238" t="n"/>
      <c r="CM81" s="238" t="n"/>
      <c r="CN81" s="238" t="n"/>
      <c r="CO81" s="238" t="n"/>
      <c r="CP81" s="238" t="n"/>
      <c r="CQ81" s="238" t="n"/>
      <c r="CR81" s="238" t="n"/>
      <c r="CS81" s="238" t="n"/>
      <c r="CT81" s="238" t="n"/>
      <c r="CU81" s="238" t="n"/>
      <c r="CV81" s="238" t="n"/>
      <c r="CW81" s="238" t="n"/>
      <c r="CX81" s="238" t="n"/>
      <c r="CY81" s="238" t="n"/>
      <c r="CZ81" s="238" t="n"/>
      <c r="DA81" s="238" t="n"/>
      <c r="DB81" s="238" t="n"/>
      <c r="DC81" s="238" t="n"/>
      <c r="DD81" s="238" t="n"/>
      <c r="DE81" s="238" t="n"/>
      <c r="DF81" s="238" t="n"/>
      <c r="DG81" s="238" t="n"/>
      <c r="DH81" s="238" t="n"/>
      <c r="DI81" s="238" t="n"/>
      <c r="DJ81" s="238" t="n"/>
      <c r="DK81" s="238" t="n"/>
      <c r="DL81" s="238" t="n"/>
      <c r="DM81" s="238" t="n"/>
      <c r="DN81" s="238" t="n"/>
      <c r="DO81" s="238" t="n"/>
      <c r="DP81" s="238" t="n"/>
      <c r="DQ81" s="238" t="n"/>
      <c r="DR81" s="238" t="n"/>
      <c r="DS81" s="238" t="n"/>
      <c r="DT81" s="238" t="n"/>
      <c r="DU81" s="238" t="n"/>
      <c r="DV81" s="238" t="n"/>
      <c r="DW81" s="238" t="n"/>
      <c r="DX81" s="238" t="n"/>
      <c r="DY81" s="238" t="n"/>
      <c r="DZ81" s="23" t="n"/>
      <c r="FQ81" s="212" t="n"/>
      <c r="FR81" s="212" t="n"/>
      <c r="FS81" s="212" t="n"/>
      <c r="FT81" s="212" t="n"/>
      <c r="FU81" s="212" t="n"/>
      <c r="FV81" s="212" t="n"/>
      <c r="FW81" s="212" t="n"/>
      <c r="FX81" s="212" t="n"/>
      <c r="FY81" s="212" t="n"/>
      <c r="FZ81" s="212" t="n"/>
    </row>
    <row r="82" ht="39.95" customFormat="1" customHeight="1" s="5">
      <c r="A82" s="10" t="inlineStr">
        <is>
          <t>A</t>
        </is>
      </c>
      <c r="B82" s="6" t="n"/>
      <c r="C82" s="415" t="inlineStr">
        <is>
          <t>LOWEST</t>
        </is>
      </c>
      <c r="D82" s="613">
        <f>MIN(Thickness!D82:D84)</f>
        <v/>
      </c>
      <c r="E82" s="614">
        <f>MIN(Thickness!E82:E84)</f>
        <v/>
      </c>
      <c r="F82" s="614">
        <f>MIN(Thickness!F82:F84)</f>
        <v/>
      </c>
      <c r="G82" s="614">
        <f>MIN(Thickness!G82:G84)</f>
        <v/>
      </c>
      <c r="H82" s="615">
        <f>MIN(Thickness!H82:H84)</f>
        <v/>
      </c>
      <c r="I82" s="616">
        <f>MIN(Thickness!I82:I84)</f>
        <v/>
      </c>
      <c r="J82" s="614">
        <f>MIN(Thickness!J82:J84)</f>
        <v/>
      </c>
      <c r="K82" s="614">
        <f>MIN(Thickness!K82:K84)</f>
        <v/>
      </c>
      <c r="L82" s="614">
        <f>MIN(Thickness!L82:L84)</f>
        <v/>
      </c>
      <c r="M82" s="615">
        <f>MIN(Thickness!M82:M84)</f>
        <v/>
      </c>
      <c r="N82" s="616">
        <f>MIN(Thickness!N82:N84)</f>
        <v/>
      </c>
      <c r="O82" s="614">
        <f>MIN(Thickness!O82:O84)</f>
        <v/>
      </c>
      <c r="P82" s="614">
        <f>MIN(Thickness!P82:P84)</f>
        <v/>
      </c>
      <c r="Q82" s="614">
        <f>MIN(Thickness!Q82:Q84)</f>
        <v/>
      </c>
      <c r="R82" s="615">
        <f>MIN(Thickness!R82:R84)</f>
        <v/>
      </c>
      <c r="S82" s="616">
        <f>MIN(Thickness!S82:S84)</f>
        <v/>
      </c>
      <c r="T82" s="614">
        <f>MIN(Thickness!T82:T84)</f>
        <v/>
      </c>
      <c r="U82" s="614">
        <f>MIN(Thickness!U82:U84)</f>
        <v/>
      </c>
      <c r="V82" s="614">
        <f>MIN(Thickness!V82:V84)</f>
        <v/>
      </c>
      <c r="W82" s="615">
        <f>MIN(Thickness!W82:W84)</f>
        <v/>
      </c>
      <c r="X82" s="616">
        <f>MIN(Thickness!X82:X84)</f>
        <v/>
      </c>
      <c r="Y82" s="614">
        <f>MIN(Thickness!Y82:Y84)</f>
        <v/>
      </c>
      <c r="Z82" s="614">
        <f>MIN(Thickness!Z82:Z84)</f>
        <v/>
      </c>
      <c r="AA82" s="614">
        <f>MIN(Thickness!AA82:AA84)</f>
        <v/>
      </c>
      <c r="AB82" s="615">
        <f>MIN(Thickness!AB82:AB84)</f>
        <v/>
      </c>
      <c r="AC82" s="616">
        <f>MIN(Thickness!AC82:AC84)</f>
        <v/>
      </c>
      <c r="AD82" s="614">
        <f>MIN(Thickness!AD82:AD84)</f>
        <v/>
      </c>
      <c r="AE82" s="614">
        <f>MIN(Thickness!AE82:AE84)</f>
        <v/>
      </c>
      <c r="AF82" s="614">
        <f>MIN(Thickness!AF82:AF84)</f>
        <v/>
      </c>
      <c r="AG82" s="615">
        <f>MIN(Thickness!AG82:AG84)</f>
        <v/>
      </c>
      <c r="AH82" s="616">
        <f>MIN(Thickness!AH82:AH84)</f>
        <v/>
      </c>
      <c r="AI82" s="614">
        <f>MIN(Thickness!AI82:AI84)</f>
        <v/>
      </c>
      <c r="AJ82" s="614">
        <f>MIN(Thickness!AJ82:AJ84)</f>
        <v/>
      </c>
      <c r="AK82" s="614">
        <f>MIN(Thickness!AK82:AK84)</f>
        <v/>
      </c>
      <c r="AL82" s="615">
        <f>MIN(Thickness!AL82:AL84)</f>
        <v/>
      </c>
      <c r="AM82" s="616">
        <f>MIN(Thickness!AM82:AM84)</f>
        <v/>
      </c>
      <c r="AN82" s="614">
        <f>MIN(Thickness!AN82:AN84)</f>
        <v/>
      </c>
      <c r="AO82" s="614">
        <f>MIN(Thickness!AO82:AO84)</f>
        <v/>
      </c>
      <c r="AP82" s="614">
        <f>MIN(Thickness!AP82:AP84)</f>
        <v/>
      </c>
      <c r="AQ82" s="615">
        <f>MIN(Thickness!AQ82:AQ84)</f>
        <v/>
      </c>
      <c r="AR82" s="616">
        <f>MIN(Thickness!AR82:AR84)</f>
        <v/>
      </c>
      <c r="AS82" s="614">
        <f>MIN(Thickness!AS82:AS84)</f>
        <v/>
      </c>
      <c r="AT82" s="614">
        <f>MIN(Thickness!AT82:AT84)</f>
        <v/>
      </c>
      <c r="AU82" s="614">
        <f>MIN(Thickness!AU82:AU84)</f>
        <v/>
      </c>
      <c r="AV82" s="615">
        <f>MIN(Thickness!AV82:AV84)</f>
        <v/>
      </c>
      <c r="AW82" s="616">
        <f>MIN(Thickness!AW82:AW84)</f>
        <v/>
      </c>
      <c r="AX82" s="614">
        <f>MIN(Thickness!AX82:AX84)</f>
        <v/>
      </c>
      <c r="AY82" s="614">
        <f>MIN(Thickness!AY82:AY84)</f>
        <v/>
      </c>
      <c r="AZ82" s="614">
        <f>MIN(Thickness!AZ82:AZ84)</f>
        <v/>
      </c>
      <c r="BA82" s="615">
        <f>MIN(Thickness!BA82:BA84)</f>
        <v/>
      </c>
      <c r="BB82" s="616">
        <f>MIN(Thickness!BB82:BB84)</f>
        <v/>
      </c>
      <c r="BC82" s="614">
        <f>MIN(Thickness!BC82:BC84)</f>
        <v/>
      </c>
      <c r="BD82" s="614">
        <f>MIN(Thickness!BD82:BD84)</f>
        <v/>
      </c>
      <c r="BE82" s="614">
        <f>MIN(Thickness!BE82:BE84)</f>
        <v/>
      </c>
      <c r="BF82" s="615">
        <f>MIN(Thickness!BF82:BF84)</f>
        <v/>
      </c>
      <c r="BG82" s="616">
        <f>MIN(Thickness!BG82:BG84)</f>
        <v/>
      </c>
      <c r="BH82" s="614">
        <f>MIN(Thickness!BH82:BH84)</f>
        <v/>
      </c>
      <c r="BI82" s="614">
        <f>MIN(Thickness!BI82:BI84)</f>
        <v/>
      </c>
      <c r="BJ82" s="614">
        <f>MIN(Thickness!BJ82:BJ84)</f>
        <v/>
      </c>
      <c r="BK82" s="615">
        <f>MIN(Thickness!BK82:BK84)</f>
        <v/>
      </c>
      <c r="BL82" s="616">
        <f>MIN(Thickness!BL82:BL84)</f>
        <v/>
      </c>
      <c r="BM82" s="614">
        <f>MIN(Thickness!BM82:BM84)</f>
        <v/>
      </c>
      <c r="BN82" s="614">
        <f>MIN(Thickness!BN82:BN84)</f>
        <v/>
      </c>
      <c r="BO82" s="614">
        <f>MIN(Thickness!BO82:BO84)</f>
        <v/>
      </c>
      <c r="BP82" s="615">
        <f>MIN(Thickness!BP82:BP84)</f>
        <v/>
      </c>
      <c r="BQ82" s="616">
        <f>MIN(Thickness!BQ82:BQ84)</f>
        <v/>
      </c>
      <c r="BR82" s="614">
        <f>MIN(Thickness!BR82:BR84)</f>
        <v/>
      </c>
      <c r="BS82" s="614">
        <f>MIN(Thickness!BS82:BS84)</f>
        <v/>
      </c>
      <c r="BT82" s="615">
        <f>MIN(Thickness!BT82:BT84)</f>
        <v/>
      </c>
      <c r="BU82" s="454">
        <f>IFERROR(AVERAGE(D82:BT84),0)</f>
        <v/>
      </c>
      <c r="BV82" s="454">
        <f>MIN(D82:BT84)</f>
        <v/>
      </c>
      <c r="BW82" s="437" t="n"/>
      <c r="BX82" s="437" t="n"/>
      <c r="BY82" s="437" t="n"/>
      <c r="BZ82" s="437" t="n"/>
      <c r="CA82" s="437" t="n"/>
      <c r="CB82" s="437" t="n"/>
      <c r="CC82" s="437" t="n"/>
      <c r="CD82" s="437" t="n"/>
      <c r="CE82" s="437" t="n"/>
      <c r="CF82" s="437" t="n"/>
      <c r="CG82" s="437" t="n"/>
      <c r="CH82" s="437" t="n"/>
      <c r="CI82" s="437" t="n"/>
      <c r="CJ82" s="437" t="n"/>
      <c r="CK82" s="437" t="n"/>
      <c r="CL82" s="437" t="n"/>
      <c r="CM82" s="437" t="n"/>
      <c r="CN82" s="437" t="n"/>
      <c r="CO82" s="437" t="n"/>
      <c r="CP82" s="437" t="n"/>
      <c r="CQ82" s="437" t="n"/>
      <c r="CR82" s="437" t="n"/>
      <c r="CS82" s="437" t="n"/>
      <c r="CT82" s="437" t="n"/>
      <c r="CU82" s="437" t="n"/>
      <c r="CV82" s="437" t="n"/>
      <c r="CW82" s="437" t="n"/>
      <c r="CX82" s="437" t="n"/>
      <c r="CY82" s="437" t="n"/>
      <c r="CZ82" s="437" t="n"/>
      <c r="DA82" s="437" t="n"/>
      <c r="DB82" s="437" t="n"/>
      <c r="DC82" s="437" t="n"/>
      <c r="DD82" s="437" t="n"/>
      <c r="DE82" s="437" t="n"/>
      <c r="DF82" s="437" t="n"/>
      <c r="DG82" s="437" t="n"/>
      <c r="DH82" s="437" t="n"/>
      <c r="DI82" s="437" t="n"/>
      <c r="DJ82" s="437" t="n"/>
      <c r="DK82" s="437" t="n"/>
      <c r="DL82" s="437" t="n"/>
      <c r="DM82" s="437" t="n"/>
      <c r="DN82" s="437" t="n"/>
      <c r="DO82" s="437" t="n"/>
      <c r="DP82" s="437" t="n"/>
      <c r="DQ82" s="437" t="n"/>
      <c r="DR82" s="437" t="n"/>
      <c r="DS82" s="437" t="n"/>
      <c r="DT82" s="437" t="n"/>
      <c r="DU82" s="437" t="n"/>
      <c r="DV82" s="437" t="n"/>
      <c r="DW82" s="437" t="n"/>
      <c r="DX82" s="437" t="n"/>
      <c r="DY82" s="238" t="n"/>
      <c r="DZ82" s="23" t="n"/>
      <c r="FQ82" s="212" t="n"/>
      <c r="FR82" s="212" t="n"/>
      <c r="FS82" s="212" t="n"/>
      <c r="FT82" s="212" t="n"/>
      <c r="FU82" s="212" t="n"/>
      <c r="FV82" s="212" t="n"/>
      <c r="FW82" s="212" t="n"/>
      <c r="FX82" s="212" t="n"/>
      <c r="FY82" s="212" t="n"/>
      <c r="FZ82" s="212" t="n"/>
    </row>
    <row r="83" ht="39.95" customFormat="1" customHeight="1" s="5">
      <c r="A83" s="182" t="n">
        <v>0.083</v>
      </c>
      <c r="B83" s="7" t="inlineStr">
        <is>
          <t>-36 IN</t>
        </is>
      </c>
      <c r="C83" s="456" t="n"/>
      <c r="D83" s="13" t="n"/>
      <c r="H83" s="592" t="n"/>
      <c r="I83" s="593" t="n"/>
      <c r="M83" s="592" t="n"/>
      <c r="N83" s="593" t="n"/>
      <c r="R83" s="592" t="n"/>
      <c r="S83" s="593" t="n"/>
      <c r="W83" s="592" t="n"/>
      <c r="X83" s="593" t="n"/>
      <c r="AB83" s="592" t="n"/>
      <c r="AC83" s="593" t="n"/>
      <c r="AG83" s="592" t="n"/>
      <c r="AH83" s="593" t="n"/>
      <c r="AL83" s="592" t="n"/>
      <c r="AM83" s="593" t="n"/>
      <c r="AQ83" s="592" t="n"/>
      <c r="AR83" s="593" t="n"/>
      <c r="AV83" s="592" t="n"/>
      <c r="AW83" s="593" t="n"/>
      <c r="BA83" s="592" t="n"/>
      <c r="BB83" s="593" t="n"/>
      <c r="BF83" s="592" t="n"/>
      <c r="BG83" s="593" t="n"/>
      <c r="BK83" s="592" t="n"/>
      <c r="BL83" s="593" t="n"/>
      <c r="BP83" s="592" t="n"/>
      <c r="BQ83" s="593" t="n"/>
      <c r="BT83" s="592" t="n"/>
      <c r="BU83" s="455" t="n"/>
      <c r="BV83" s="455" t="n"/>
      <c r="BW83" s="437" t="n"/>
      <c r="BX83" s="437" t="n"/>
      <c r="BY83" s="437" t="n"/>
      <c r="BZ83" s="437" t="n"/>
      <c r="CA83" s="437" t="n"/>
      <c r="CB83" s="437" t="n"/>
      <c r="CC83" s="437" t="n"/>
      <c r="CD83" s="437" t="n"/>
      <c r="CE83" s="437" t="n"/>
      <c r="CF83" s="437" t="n"/>
      <c r="CG83" s="437" t="n"/>
      <c r="CH83" s="437" t="n"/>
      <c r="CI83" s="437" t="n"/>
      <c r="CJ83" s="437" t="n"/>
      <c r="CK83" s="437" t="n"/>
      <c r="CL83" s="437" t="n"/>
      <c r="CM83" s="437" t="n"/>
      <c r="CN83" s="437" t="n"/>
      <c r="CO83" s="437" t="n"/>
      <c r="CP83" s="437" t="n"/>
      <c r="CQ83" s="437" t="n"/>
      <c r="CR83" s="437" t="n"/>
      <c r="CS83" s="437" t="n"/>
      <c r="CT83" s="437" t="n"/>
      <c r="CU83" s="437" t="n"/>
      <c r="CV83" s="437" t="n"/>
      <c r="CW83" s="437" t="n"/>
      <c r="CX83" s="437" t="n"/>
      <c r="CY83" s="437" t="n"/>
      <c r="CZ83" s="437" t="n"/>
      <c r="DA83" s="437" t="n"/>
      <c r="DB83" s="437" t="n"/>
      <c r="DC83" s="437" t="n"/>
      <c r="DD83" s="437" t="n"/>
      <c r="DE83" s="437" t="n"/>
      <c r="DF83" s="437" t="n"/>
      <c r="DG83" s="437" t="n"/>
      <c r="DH83" s="437" t="n"/>
      <c r="DI83" s="437" t="n"/>
      <c r="DJ83" s="437" t="n"/>
      <c r="DK83" s="437" t="n"/>
      <c r="DL83" s="437" t="n"/>
      <c r="DM83" s="437" t="n"/>
      <c r="DN83" s="437" t="n"/>
      <c r="DO83" s="437" t="n"/>
      <c r="DP83" s="437" t="n"/>
      <c r="DQ83" s="437" t="n"/>
      <c r="DR83" s="437" t="n"/>
      <c r="DS83" s="437" t="n"/>
      <c r="DT83" s="437" t="n"/>
      <c r="DU83" s="437" t="n"/>
      <c r="DV83" s="437" t="n"/>
      <c r="DW83" s="437" t="n"/>
      <c r="DX83" s="437" t="n"/>
      <c r="DY83" s="238" t="n"/>
      <c r="DZ83" s="23" t="n"/>
      <c r="FQ83" s="212" t="n"/>
      <c r="FR83" s="212" t="n"/>
      <c r="FS83" s="212" t="n"/>
      <c r="FT83" s="212" t="n"/>
      <c r="FU83" s="212" t="n"/>
      <c r="FV83" s="212" t="n"/>
      <c r="FW83" s="212" t="n"/>
      <c r="FX83" s="212" t="n"/>
      <c r="FY83" s="212" t="n"/>
      <c r="FZ83" s="212" t="n"/>
    </row>
    <row r="84" ht="39.95" customFormat="1" customHeight="1" s="5">
      <c r="A84" s="456" t="n"/>
      <c r="B84" s="8" t="n"/>
      <c r="C84" s="456" t="n"/>
      <c r="D84" s="594" t="n"/>
      <c r="E84" s="595" t="n"/>
      <c r="F84" s="595" t="n"/>
      <c r="G84" s="595" t="n"/>
      <c r="H84" s="596" t="n"/>
      <c r="I84" s="597" t="n"/>
      <c r="J84" s="595" t="n"/>
      <c r="K84" s="595" t="n"/>
      <c r="L84" s="595" t="n"/>
      <c r="M84" s="596" t="n"/>
      <c r="N84" s="597" t="n"/>
      <c r="O84" s="595" t="n"/>
      <c r="P84" s="595" t="n"/>
      <c r="Q84" s="595" t="n"/>
      <c r="R84" s="596" t="n"/>
      <c r="S84" s="597" t="n"/>
      <c r="T84" s="595" t="n"/>
      <c r="U84" s="595" t="n"/>
      <c r="V84" s="595" t="n"/>
      <c r="W84" s="596" t="n"/>
      <c r="X84" s="597" t="n"/>
      <c r="Y84" s="595" t="n"/>
      <c r="Z84" s="595" t="n"/>
      <c r="AA84" s="595" t="n"/>
      <c r="AB84" s="596" t="n"/>
      <c r="AC84" s="597" t="n"/>
      <c r="AD84" s="595" t="n"/>
      <c r="AE84" s="595" t="n"/>
      <c r="AF84" s="595" t="n"/>
      <c r="AG84" s="596" t="n"/>
      <c r="AH84" s="597" t="n"/>
      <c r="AI84" s="595" t="n"/>
      <c r="AJ84" s="595" t="n"/>
      <c r="AK84" s="595" t="n"/>
      <c r="AL84" s="596" t="n"/>
      <c r="AM84" s="597" t="n"/>
      <c r="AN84" s="595" t="n"/>
      <c r="AO84" s="595" t="n"/>
      <c r="AP84" s="595" t="n"/>
      <c r="AQ84" s="596" t="n"/>
      <c r="AR84" s="597" t="n"/>
      <c r="AS84" s="595" t="n"/>
      <c r="AT84" s="595" t="n"/>
      <c r="AU84" s="595" t="n"/>
      <c r="AV84" s="596" t="n"/>
      <c r="AW84" s="597" t="n"/>
      <c r="AX84" s="595" t="n"/>
      <c r="AY84" s="595" t="n"/>
      <c r="AZ84" s="595" t="n"/>
      <c r="BA84" s="596" t="n"/>
      <c r="BB84" s="597" t="n"/>
      <c r="BC84" s="595" t="n"/>
      <c r="BD84" s="595" t="n"/>
      <c r="BE84" s="595" t="n"/>
      <c r="BF84" s="596" t="n"/>
      <c r="BG84" s="597" t="n"/>
      <c r="BH84" s="595" t="n"/>
      <c r="BI84" s="595" t="n"/>
      <c r="BJ84" s="595" t="n"/>
      <c r="BK84" s="596" t="n"/>
      <c r="BL84" s="597" t="n"/>
      <c r="BM84" s="595" t="n"/>
      <c r="BN84" s="595" t="n"/>
      <c r="BO84" s="595" t="n"/>
      <c r="BP84" s="596" t="n"/>
      <c r="BQ84" s="597" t="n"/>
      <c r="BR84" s="595" t="n"/>
      <c r="BS84" s="595" t="n"/>
      <c r="BT84" s="596" t="n"/>
      <c r="BU84" s="457" t="n"/>
      <c r="BV84" s="457" t="n"/>
      <c r="BW84" s="437" t="n"/>
      <c r="BX84" s="437" t="n"/>
      <c r="BY84" s="437" t="n"/>
      <c r="BZ84" s="437" t="n"/>
      <c r="CA84" s="437" t="n"/>
      <c r="CB84" s="437" t="n"/>
      <c r="CC84" s="437" t="n"/>
      <c r="CD84" s="437" t="n"/>
      <c r="CE84" s="437" t="n"/>
      <c r="CF84" s="437" t="n"/>
      <c r="CG84" s="437" t="n"/>
      <c r="CH84" s="437" t="n"/>
      <c r="CI84" s="437" t="n"/>
      <c r="CJ84" s="437" t="n"/>
      <c r="CK84" s="437" t="n"/>
      <c r="CL84" s="437" t="n"/>
      <c r="CM84" s="437" t="n"/>
      <c r="CN84" s="437" t="n"/>
      <c r="CO84" s="437" t="n"/>
      <c r="CP84" s="437" t="n"/>
      <c r="CQ84" s="437" t="n"/>
      <c r="CR84" s="437" t="n"/>
      <c r="CS84" s="437" t="n"/>
      <c r="CT84" s="437" t="n"/>
      <c r="CU84" s="437" t="n"/>
      <c r="CV84" s="437" t="n"/>
      <c r="CW84" s="437" t="n"/>
      <c r="CX84" s="437" t="n"/>
      <c r="CY84" s="437" t="n"/>
      <c r="CZ84" s="437" t="n"/>
      <c r="DA84" s="437" t="n"/>
      <c r="DB84" s="437" t="n"/>
      <c r="DC84" s="437" t="n"/>
      <c r="DD84" s="437" t="n"/>
      <c r="DE84" s="437" t="n"/>
      <c r="DF84" s="437" t="n"/>
      <c r="DG84" s="437" t="n"/>
      <c r="DH84" s="437" t="n"/>
      <c r="DI84" s="437" t="n"/>
      <c r="DJ84" s="437" t="n"/>
      <c r="DK84" s="437" t="n"/>
      <c r="DL84" s="437" t="n"/>
      <c r="DM84" s="437" t="n"/>
      <c r="DN84" s="437" t="n"/>
      <c r="DO84" s="437" t="n"/>
      <c r="DP84" s="437" t="n"/>
      <c r="DQ84" s="437" t="n"/>
      <c r="DR84" s="437" t="n"/>
      <c r="DS84" s="437" t="n"/>
      <c r="DT84" s="437" t="n"/>
      <c r="DU84" s="437" t="n"/>
      <c r="DV84" s="437" t="n"/>
      <c r="DW84" s="437" t="n"/>
      <c r="DX84" s="437" t="n"/>
      <c r="DY84" s="238" t="n"/>
      <c r="DZ84" s="23" t="n"/>
      <c r="FQ84" s="212" t="n"/>
      <c r="FR84" s="212" t="n"/>
      <c r="FS84" s="212" t="n"/>
      <c r="FT84" s="212" t="n"/>
      <c r="FU84" s="212" t="n"/>
      <c r="FV84" s="212" t="n"/>
      <c r="FW84" s="212" t="n"/>
      <c r="FX84" s="212" t="n"/>
      <c r="FY84" s="212" t="n"/>
      <c r="FZ84" s="212" t="n"/>
    </row>
    <row r="85" ht="39.95" customFormat="1" customHeight="1" s="5">
      <c r="A85" s="10" t="inlineStr">
        <is>
          <t>A</t>
        </is>
      </c>
      <c r="B85" s="6" t="n"/>
      <c r="C85" s="415" t="inlineStr">
        <is>
          <t>LOWEST</t>
        </is>
      </c>
      <c r="D85" s="613">
        <f>MIN(Thickness!D85:D87)</f>
        <v/>
      </c>
      <c r="E85" s="614">
        <f>MIN(Thickness!E85:E87)</f>
        <v/>
      </c>
      <c r="F85" s="614">
        <f>MIN(Thickness!F85:F87)</f>
        <v/>
      </c>
      <c r="G85" s="614">
        <f>MIN(Thickness!G85:G87)</f>
        <v/>
      </c>
      <c r="H85" s="615">
        <f>MIN(Thickness!H85:H87)</f>
        <v/>
      </c>
      <c r="I85" s="616">
        <f>MIN(Thickness!I85:I87)</f>
        <v/>
      </c>
      <c r="J85" s="614">
        <f>MIN(Thickness!J85:J87)</f>
        <v/>
      </c>
      <c r="K85" s="614">
        <f>MIN(Thickness!K85:K87)</f>
        <v/>
      </c>
      <c r="L85" s="614">
        <f>MIN(Thickness!L85:L87)</f>
        <v/>
      </c>
      <c r="M85" s="615">
        <f>MIN(Thickness!M85:M87)</f>
        <v/>
      </c>
      <c r="N85" s="616">
        <f>MIN(Thickness!N85:N87)</f>
        <v/>
      </c>
      <c r="O85" s="614">
        <f>MIN(Thickness!O85:O87)</f>
        <v/>
      </c>
      <c r="P85" s="614">
        <f>MIN(Thickness!P85:P87)</f>
        <v/>
      </c>
      <c r="Q85" s="614">
        <f>MIN(Thickness!Q85:Q87)</f>
        <v/>
      </c>
      <c r="R85" s="615">
        <f>MIN(Thickness!R85:R87)</f>
        <v/>
      </c>
      <c r="S85" s="616">
        <f>MIN(Thickness!S85:S87)</f>
        <v/>
      </c>
      <c r="T85" s="614">
        <f>MIN(Thickness!T85:T87)</f>
        <v/>
      </c>
      <c r="U85" s="614">
        <f>MIN(Thickness!U85:U87)</f>
        <v/>
      </c>
      <c r="V85" s="614">
        <f>MIN(Thickness!V85:V87)</f>
        <v/>
      </c>
      <c r="W85" s="615">
        <f>MIN(Thickness!W85:W87)</f>
        <v/>
      </c>
      <c r="X85" s="616">
        <f>MIN(Thickness!X85:X87)</f>
        <v/>
      </c>
      <c r="Y85" s="614">
        <f>MIN(Thickness!Y85:Y87)</f>
        <v/>
      </c>
      <c r="Z85" s="614">
        <f>MIN(Thickness!Z85:Z87)</f>
        <v/>
      </c>
      <c r="AA85" s="614">
        <f>MIN(Thickness!AA85:AA87)</f>
        <v/>
      </c>
      <c r="AB85" s="615">
        <f>MIN(Thickness!AB85:AB87)</f>
        <v/>
      </c>
      <c r="AC85" s="616">
        <f>MIN(Thickness!AC85:AC87)</f>
        <v/>
      </c>
      <c r="AD85" s="614">
        <f>MIN(Thickness!AD85:AD87)</f>
        <v/>
      </c>
      <c r="AE85" s="614">
        <f>MIN(Thickness!AE85:AE87)</f>
        <v/>
      </c>
      <c r="AF85" s="614">
        <f>MIN(Thickness!AF85:AF87)</f>
        <v/>
      </c>
      <c r="AG85" s="615">
        <f>MIN(Thickness!AG85:AG87)</f>
        <v/>
      </c>
      <c r="AH85" s="616">
        <f>MIN(Thickness!AH85:AH87)</f>
        <v/>
      </c>
      <c r="AI85" s="614">
        <f>MIN(Thickness!AI85:AI87)</f>
        <v/>
      </c>
      <c r="AJ85" s="614">
        <f>MIN(Thickness!AJ85:AJ87)</f>
        <v/>
      </c>
      <c r="AK85" s="614">
        <f>MIN(Thickness!AK85:AK87)</f>
        <v/>
      </c>
      <c r="AL85" s="615">
        <f>MIN(Thickness!AL85:AL87)</f>
        <v/>
      </c>
      <c r="AM85" s="616">
        <f>MIN(Thickness!AM85:AM87)</f>
        <v/>
      </c>
      <c r="AN85" s="614">
        <f>MIN(Thickness!AN85:AN87)</f>
        <v/>
      </c>
      <c r="AO85" s="614">
        <f>MIN(Thickness!AO85:AO87)</f>
        <v/>
      </c>
      <c r="AP85" s="614">
        <f>MIN(Thickness!AP85:AP87)</f>
        <v/>
      </c>
      <c r="AQ85" s="615">
        <f>MIN(Thickness!AQ85:AQ87)</f>
        <v/>
      </c>
      <c r="AR85" s="616">
        <f>MIN(Thickness!AR85:AR87)</f>
        <v/>
      </c>
      <c r="AS85" s="614">
        <f>MIN(Thickness!AS85:AS87)</f>
        <v/>
      </c>
      <c r="AT85" s="614">
        <f>MIN(Thickness!AT85:AT87)</f>
        <v/>
      </c>
      <c r="AU85" s="614">
        <f>MIN(Thickness!AU85:AU87)</f>
        <v/>
      </c>
      <c r="AV85" s="615">
        <f>MIN(Thickness!AV85:AV87)</f>
        <v/>
      </c>
      <c r="AW85" s="616">
        <f>MIN(Thickness!AW85:AW87)</f>
        <v/>
      </c>
      <c r="AX85" s="614">
        <f>MIN(Thickness!AX85:AX87)</f>
        <v/>
      </c>
      <c r="AY85" s="614">
        <f>MIN(Thickness!AY85:AY87)</f>
        <v/>
      </c>
      <c r="AZ85" s="614">
        <f>MIN(Thickness!AZ85:AZ87)</f>
        <v/>
      </c>
      <c r="BA85" s="615">
        <f>MIN(Thickness!BA85:BA87)</f>
        <v/>
      </c>
      <c r="BB85" s="616">
        <f>MIN(Thickness!BB85:BB87)</f>
        <v/>
      </c>
      <c r="BC85" s="614">
        <f>MIN(Thickness!BC85:BC87)</f>
        <v/>
      </c>
      <c r="BD85" s="614">
        <f>MIN(Thickness!BD85:BD87)</f>
        <v/>
      </c>
      <c r="BE85" s="614">
        <f>MIN(Thickness!BE85:BE87)</f>
        <v/>
      </c>
      <c r="BF85" s="615">
        <f>MIN(Thickness!BF85:BF87)</f>
        <v/>
      </c>
      <c r="BG85" s="616">
        <f>MIN(Thickness!BG85:BG87)</f>
        <v/>
      </c>
      <c r="BH85" s="614">
        <f>MIN(Thickness!BH85:BH87)</f>
        <v/>
      </c>
      <c r="BI85" s="614">
        <f>MIN(Thickness!BI85:BI87)</f>
        <v/>
      </c>
      <c r="BJ85" s="614">
        <f>MIN(Thickness!BJ85:BJ87)</f>
        <v/>
      </c>
      <c r="BK85" s="615">
        <f>MIN(Thickness!BK85:BK87)</f>
        <v/>
      </c>
      <c r="BL85" s="616">
        <f>MIN(Thickness!BL85:BL87)</f>
        <v/>
      </c>
      <c r="BM85" s="614">
        <f>MIN(Thickness!BM85:BM87)</f>
        <v/>
      </c>
      <c r="BN85" s="614">
        <f>MIN(Thickness!BN85:BN87)</f>
        <v/>
      </c>
      <c r="BO85" s="614">
        <f>MIN(Thickness!BO85:BO87)</f>
        <v/>
      </c>
      <c r="BP85" s="615">
        <f>MIN(Thickness!BP85:BP87)</f>
        <v/>
      </c>
      <c r="BQ85" s="616">
        <f>MIN(Thickness!BQ85:BQ87)</f>
        <v/>
      </c>
      <c r="BR85" s="614">
        <f>MIN(Thickness!BR85:BR87)</f>
        <v/>
      </c>
      <c r="BS85" s="614">
        <f>MIN(Thickness!BS85:BS87)</f>
        <v/>
      </c>
      <c r="BT85" s="615">
        <f>MIN(Thickness!BT85:BT87)</f>
        <v/>
      </c>
      <c r="BU85" s="454">
        <f>IFERROR(AVERAGE(D85:BT87),0)</f>
        <v/>
      </c>
      <c r="BV85" s="454">
        <f>MIN(D85:BT87)</f>
        <v/>
      </c>
      <c r="BW85" s="437" t="n"/>
      <c r="BX85" s="437" t="n"/>
      <c r="BY85" s="437" t="n"/>
      <c r="BZ85" s="437" t="n"/>
      <c r="CA85" s="437" t="n"/>
      <c r="CB85" s="437" t="n"/>
      <c r="CC85" s="437" t="n"/>
      <c r="CD85" s="437" t="n"/>
      <c r="CE85" s="437" t="n"/>
      <c r="CF85" s="437" t="n"/>
      <c r="CG85" s="437" t="n"/>
      <c r="CH85" s="437" t="n"/>
      <c r="CI85" s="437" t="n"/>
      <c r="CJ85" s="437" t="n"/>
      <c r="CK85" s="437" t="n"/>
      <c r="CL85" s="437" t="n"/>
      <c r="CM85" s="437" t="n"/>
      <c r="CN85" s="437" t="n"/>
      <c r="CO85" s="437" t="n"/>
      <c r="CP85" s="437" t="n"/>
      <c r="CQ85" s="437" t="n"/>
      <c r="CR85" s="437" t="n"/>
      <c r="CS85" s="437" t="n"/>
      <c r="CT85" s="437" t="n"/>
      <c r="CU85" s="437" t="n"/>
      <c r="CV85" s="437" t="n"/>
      <c r="CW85" s="437" t="n"/>
      <c r="CX85" s="437" t="n"/>
      <c r="CY85" s="437" t="n"/>
      <c r="CZ85" s="437" t="n"/>
      <c r="DA85" s="437" t="n"/>
      <c r="DB85" s="437" t="n"/>
      <c r="DC85" s="437" t="n"/>
      <c r="DD85" s="437" t="n"/>
      <c r="DE85" s="437" t="n"/>
      <c r="DF85" s="437" t="n"/>
      <c r="DG85" s="437" t="n"/>
      <c r="DH85" s="437" t="n"/>
      <c r="DI85" s="437" t="n"/>
      <c r="DJ85" s="437" t="n"/>
      <c r="DK85" s="437" t="n"/>
      <c r="DL85" s="437" t="n"/>
      <c r="DM85" s="437" t="n"/>
      <c r="DN85" s="437" t="n"/>
      <c r="DO85" s="437" t="n"/>
      <c r="DP85" s="437" t="n"/>
      <c r="DQ85" s="437" t="n"/>
      <c r="DR85" s="437" t="n"/>
      <c r="DS85" s="437" t="n"/>
      <c r="DT85" s="437" t="n"/>
      <c r="DU85" s="437" t="n"/>
      <c r="DV85" s="437" t="n"/>
      <c r="DW85" s="437" t="n"/>
      <c r="DX85" s="437" t="n"/>
      <c r="DY85" s="238" t="n"/>
      <c r="DZ85" s="23" t="n"/>
      <c r="FQ85" s="212" t="n"/>
      <c r="FR85" s="212" t="n"/>
      <c r="FS85" s="212" t="n"/>
      <c r="FT85" s="212" t="n"/>
      <c r="FU85" s="212" t="n"/>
      <c r="FV85" s="212" t="n"/>
      <c r="FW85" s="212" t="n"/>
      <c r="FX85" s="212" t="n"/>
      <c r="FY85" s="212" t="n"/>
      <c r="FZ85" s="212" t="n"/>
    </row>
    <row r="86" ht="39.95" customFormat="1" customHeight="1" s="5">
      <c r="A86" s="182" t="n">
        <v>0.083</v>
      </c>
      <c r="B86" s="7" t="inlineStr">
        <is>
          <t>-45 IN</t>
        </is>
      </c>
      <c r="C86" s="456" t="n"/>
      <c r="D86" s="13" t="n"/>
      <c r="H86" s="592" t="n"/>
      <c r="I86" s="593" t="n"/>
      <c r="M86" s="592" t="n"/>
      <c r="N86" s="593" t="n"/>
      <c r="R86" s="592" t="n"/>
      <c r="S86" s="593" t="n"/>
      <c r="W86" s="592" t="n"/>
      <c r="X86" s="593" t="n"/>
      <c r="AB86" s="592" t="n"/>
      <c r="AC86" s="593" t="n"/>
      <c r="AG86" s="592" t="n"/>
      <c r="AH86" s="593" t="n"/>
      <c r="AL86" s="592" t="n"/>
      <c r="AM86" s="593" t="n"/>
      <c r="AQ86" s="592" t="n"/>
      <c r="AR86" s="593" t="n"/>
      <c r="AV86" s="592" t="n"/>
      <c r="AW86" s="593" t="n"/>
      <c r="BA86" s="592" t="n"/>
      <c r="BB86" s="593" t="n"/>
      <c r="BF86" s="592" t="n"/>
      <c r="BG86" s="593" t="n"/>
      <c r="BK86" s="592" t="n"/>
      <c r="BL86" s="593" t="n"/>
      <c r="BP86" s="592" t="n"/>
      <c r="BQ86" s="593" t="n"/>
      <c r="BT86" s="592" t="n"/>
      <c r="BU86" s="455" t="n"/>
      <c r="BV86" s="455" t="n"/>
      <c r="BW86" s="437" t="n"/>
      <c r="BX86" s="437" t="n"/>
      <c r="BY86" s="437" t="n"/>
      <c r="BZ86" s="437" t="n"/>
      <c r="CA86" s="437" t="n"/>
      <c r="CB86" s="437" t="n"/>
      <c r="CC86" s="437" t="n"/>
      <c r="CD86" s="437" t="n"/>
      <c r="CE86" s="437" t="n"/>
      <c r="CF86" s="437" t="n"/>
      <c r="CG86" s="437" t="n"/>
      <c r="CH86" s="437" t="n"/>
      <c r="CI86" s="437" t="n"/>
      <c r="CJ86" s="437" t="n"/>
      <c r="CK86" s="437" t="n"/>
      <c r="CL86" s="437" t="n"/>
      <c r="CM86" s="437" t="n"/>
      <c r="CN86" s="437" t="n"/>
      <c r="CO86" s="437" t="n"/>
      <c r="CP86" s="437" t="n"/>
      <c r="CQ86" s="437" t="n"/>
      <c r="CR86" s="437" t="n"/>
      <c r="CS86" s="437" t="n"/>
      <c r="CT86" s="437" t="n"/>
      <c r="CU86" s="437" t="n"/>
      <c r="CV86" s="437" t="n"/>
      <c r="CW86" s="437" t="n"/>
      <c r="CX86" s="437" t="n"/>
      <c r="CY86" s="437" t="n"/>
      <c r="CZ86" s="437" t="n"/>
      <c r="DA86" s="437" t="n"/>
      <c r="DB86" s="437" t="n"/>
      <c r="DC86" s="437" t="n"/>
      <c r="DD86" s="437" t="n"/>
      <c r="DE86" s="437" t="n"/>
      <c r="DF86" s="437" t="n"/>
      <c r="DG86" s="437" t="n"/>
      <c r="DH86" s="437" t="n"/>
      <c r="DI86" s="437" t="n"/>
      <c r="DJ86" s="437" t="n"/>
      <c r="DK86" s="437" t="n"/>
      <c r="DL86" s="437" t="n"/>
      <c r="DM86" s="437" t="n"/>
      <c r="DN86" s="437" t="n"/>
      <c r="DO86" s="437" t="n"/>
      <c r="DP86" s="437" t="n"/>
      <c r="DQ86" s="437" t="n"/>
      <c r="DR86" s="437" t="n"/>
      <c r="DS86" s="437" t="n"/>
      <c r="DT86" s="437" t="n"/>
      <c r="DU86" s="437" t="n"/>
      <c r="DV86" s="437" t="n"/>
      <c r="DW86" s="437" t="n"/>
      <c r="DX86" s="437" t="n"/>
      <c r="DY86" s="238" t="n"/>
      <c r="DZ86" s="23" t="n"/>
      <c r="FQ86" s="212" t="n"/>
      <c r="FR86" s="212" t="n"/>
      <c r="FS86" s="212" t="n"/>
      <c r="FT86" s="212" t="n"/>
      <c r="FU86" s="212" t="n"/>
      <c r="FV86" s="212" t="n"/>
      <c r="FW86" s="212" t="n"/>
      <c r="FX86" s="212" t="n"/>
      <c r="FY86" s="212" t="n"/>
      <c r="FZ86" s="212" t="n"/>
    </row>
    <row r="87" ht="39.95" customFormat="1" customHeight="1" s="5">
      <c r="A87" s="456" t="n"/>
      <c r="B87" s="8" t="n"/>
      <c r="C87" s="456" t="n"/>
      <c r="D87" s="594" t="n"/>
      <c r="E87" s="595" t="n"/>
      <c r="F87" s="595" t="n"/>
      <c r="G87" s="595" t="n"/>
      <c r="H87" s="596" t="n"/>
      <c r="I87" s="597" t="n"/>
      <c r="J87" s="595" t="n"/>
      <c r="K87" s="595" t="n"/>
      <c r="L87" s="595" t="n"/>
      <c r="M87" s="596" t="n"/>
      <c r="N87" s="597" t="n"/>
      <c r="O87" s="595" t="n"/>
      <c r="P87" s="595" t="n"/>
      <c r="Q87" s="595" t="n"/>
      <c r="R87" s="596" t="n"/>
      <c r="S87" s="597" t="n"/>
      <c r="T87" s="595" t="n"/>
      <c r="U87" s="595" t="n"/>
      <c r="V87" s="595" t="n"/>
      <c r="W87" s="596" t="n"/>
      <c r="X87" s="597" t="n"/>
      <c r="Y87" s="595" t="n"/>
      <c r="Z87" s="595" t="n"/>
      <c r="AA87" s="595" t="n"/>
      <c r="AB87" s="596" t="n"/>
      <c r="AC87" s="597" t="n"/>
      <c r="AD87" s="595" t="n"/>
      <c r="AE87" s="595" t="n"/>
      <c r="AF87" s="595" t="n"/>
      <c r="AG87" s="596" t="n"/>
      <c r="AH87" s="597" t="n"/>
      <c r="AI87" s="595" t="n"/>
      <c r="AJ87" s="595" t="n"/>
      <c r="AK87" s="595" t="n"/>
      <c r="AL87" s="596" t="n"/>
      <c r="AM87" s="597" t="n"/>
      <c r="AN87" s="595" t="n"/>
      <c r="AO87" s="595" t="n"/>
      <c r="AP87" s="595" t="n"/>
      <c r="AQ87" s="596" t="n"/>
      <c r="AR87" s="597" t="n"/>
      <c r="AS87" s="595" t="n"/>
      <c r="AT87" s="595" t="n"/>
      <c r="AU87" s="595" t="n"/>
      <c r="AV87" s="596" t="n"/>
      <c r="AW87" s="597" t="n"/>
      <c r="AX87" s="595" t="n"/>
      <c r="AY87" s="595" t="n"/>
      <c r="AZ87" s="595" t="n"/>
      <c r="BA87" s="596" t="n"/>
      <c r="BB87" s="597" t="n"/>
      <c r="BC87" s="595" t="n"/>
      <c r="BD87" s="595" t="n"/>
      <c r="BE87" s="595" t="n"/>
      <c r="BF87" s="596" t="n"/>
      <c r="BG87" s="597" t="n"/>
      <c r="BH87" s="595" t="n"/>
      <c r="BI87" s="595" t="n"/>
      <c r="BJ87" s="595" t="n"/>
      <c r="BK87" s="596" t="n"/>
      <c r="BL87" s="597" t="n"/>
      <c r="BM87" s="595" t="n"/>
      <c r="BN87" s="595" t="n"/>
      <c r="BO87" s="595" t="n"/>
      <c r="BP87" s="596" t="n"/>
      <c r="BQ87" s="597" t="n"/>
      <c r="BR87" s="595" t="n"/>
      <c r="BS87" s="595" t="n"/>
      <c r="BT87" s="596" t="n"/>
      <c r="BU87" s="457" t="n"/>
      <c r="BV87" s="457" t="n"/>
      <c r="BW87" s="437" t="n"/>
      <c r="BX87" s="437" t="n"/>
      <c r="BY87" s="437" t="n"/>
      <c r="BZ87" s="437" t="n"/>
      <c r="CA87" s="437" t="n"/>
      <c r="CB87" s="437" t="n"/>
      <c r="CC87" s="437" t="n"/>
      <c r="CD87" s="437" t="n"/>
      <c r="CE87" s="437" t="n"/>
      <c r="CF87" s="437" t="n"/>
      <c r="CG87" s="437" t="n"/>
      <c r="CH87" s="437" t="n"/>
      <c r="CI87" s="437" t="n"/>
      <c r="CJ87" s="437" t="n"/>
      <c r="CK87" s="437" t="n"/>
      <c r="CL87" s="437" t="n"/>
      <c r="CM87" s="437" t="n"/>
      <c r="CN87" s="437" t="n"/>
      <c r="CO87" s="437" t="n"/>
      <c r="CP87" s="437" t="n"/>
      <c r="CQ87" s="437" t="n"/>
      <c r="CR87" s="437" t="n"/>
      <c r="CS87" s="437" t="n"/>
      <c r="CT87" s="437" t="n"/>
      <c r="CU87" s="437" t="n"/>
      <c r="CV87" s="437" t="n"/>
      <c r="CW87" s="437" t="n"/>
      <c r="CX87" s="437" t="n"/>
      <c r="CY87" s="437" t="n"/>
      <c r="CZ87" s="437" t="n"/>
      <c r="DA87" s="437" t="n"/>
      <c r="DB87" s="437" t="n"/>
      <c r="DC87" s="437" t="n"/>
      <c r="DD87" s="437" t="n"/>
      <c r="DE87" s="437" t="n"/>
      <c r="DF87" s="437" t="n"/>
      <c r="DG87" s="437" t="n"/>
      <c r="DH87" s="437" t="n"/>
      <c r="DI87" s="437" t="n"/>
      <c r="DJ87" s="437" t="n"/>
      <c r="DK87" s="437" t="n"/>
      <c r="DL87" s="437" t="n"/>
      <c r="DM87" s="437" t="n"/>
      <c r="DN87" s="437" t="n"/>
      <c r="DO87" s="437" t="n"/>
      <c r="DP87" s="437" t="n"/>
      <c r="DQ87" s="437" t="n"/>
      <c r="DR87" s="437" t="n"/>
      <c r="DS87" s="437" t="n"/>
      <c r="DT87" s="437" t="n"/>
      <c r="DU87" s="437" t="n"/>
      <c r="DV87" s="437" t="n"/>
      <c r="DW87" s="437" t="n"/>
      <c r="DX87" s="437" t="n"/>
      <c r="DY87" s="238" t="n"/>
      <c r="DZ87" s="23" t="n"/>
      <c r="FQ87" s="212" t="n"/>
      <c r="FR87" s="212" t="n"/>
      <c r="FS87" s="212" t="n"/>
      <c r="FT87" s="212" t="n"/>
      <c r="FU87" s="212" t="n"/>
      <c r="FV87" s="212" t="n"/>
      <c r="FW87" s="212" t="n"/>
      <c r="FX87" s="212" t="n"/>
      <c r="FY87" s="212" t="n"/>
      <c r="FZ87" s="212" t="n"/>
    </row>
    <row r="88" ht="39.95" customFormat="1" customHeight="1" s="5">
      <c r="A88" s="10" t="inlineStr">
        <is>
          <t>A</t>
        </is>
      </c>
      <c r="B88" s="6" t="n"/>
      <c r="C88" s="415" t="inlineStr">
        <is>
          <t>LOWEST</t>
        </is>
      </c>
      <c r="D88" s="613">
        <f>MIN(Thickness!D88:D90)</f>
        <v/>
      </c>
      <c r="E88" s="614">
        <f>MIN(Thickness!E88:E90)</f>
        <v/>
      </c>
      <c r="F88" s="614">
        <f>MIN(Thickness!F88:F90)</f>
        <v/>
      </c>
      <c r="G88" s="614">
        <f>MIN(Thickness!G88:G90)</f>
        <v/>
      </c>
      <c r="H88" s="615">
        <f>MIN(Thickness!H88:H90)</f>
        <v/>
      </c>
      <c r="I88" s="616">
        <f>MIN(Thickness!I88:I90)</f>
        <v/>
      </c>
      <c r="J88" s="614">
        <f>MIN(Thickness!J88:J90)</f>
        <v/>
      </c>
      <c r="K88" s="614">
        <f>MIN(Thickness!K88:K90)</f>
        <v/>
      </c>
      <c r="L88" s="614">
        <f>MIN(Thickness!L88:L90)</f>
        <v/>
      </c>
      <c r="M88" s="615">
        <f>MIN(Thickness!M88:M90)</f>
        <v/>
      </c>
      <c r="N88" s="616">
        <f>MIN(Thickness!N88:N90)</f>
        <v/>
      </c>
      <c r="O88" s="614">
        <f>MIN(Thickness!O88:O90)</f>
        <v/>
      </c>
      <c r="P88" s="614">
        <f>MIN(Thickness!P88:P90)</f>
        <v/>
      </c>
      <c r="Q88" s="614">
        <f>MIN(Thickness!Q88:Q90)</f>
        <v/>
      </c>
      <c r="R88" s="615">
        <f>MIN(Thickness!R88:R90)</f>
        <v/>
      </c>
      <c r="S88" s="616">
        <f>MIN(Thickness!S88:S90)</f>
        <v/>
      </c>
      <c r="T88" s="614">
        <f>MIN(Thickness!T88:T90)</f>
        <v/>
      </c>
      <c r="U88" s="614">
        <f>MIN(Thickness!U88:U90)</f>
        <v/>
      </c>
      <c r="V88" s="614">
        <f>MIN(Thickness!V88:V90)</f>
        <v/>
      </c>
      <c r="W88" s="615">
        <f>MIN(Thickness!W88:W90)</f>
        <v/>
      </c>
      <c r="X88" s="616">
        <f>MIN(Thickness!X88:X90)</f>
        <v/>
      </c>
      <c r="Y88" s="614">
        <f>MIN(Thickness!Y88:Y90)</f>
        <v/>
      </c>
      <c r="Z88" s="614">
        <f>MIN(Thickness!Z88:Z90)</f>
        <v/>
      </c>
      <c r="AA88" s="614">
        <f>MIN(Thickness!AA88:AA90)</f>
        <v/>
      </c>
      <c r="AB88" s="615">
        <f>MIN(Thickness!AB88:AB90)</f>
        <v/>
      </c>
      <c r="AC88" s="616">
        <f>MIN(Thickness!AC88:AC90)</f>
        <v/>
      </c>
      <c r="AD88" s="614">
        <f>MIN(Thickness!AD88:AD90)</f>
        <v/>
      </c>
      <c r="AE88" s="614">
        <f>MIN(Thickness!AE88:AE90)</f>
        <v/>
      </c>
      <c r="AF88" s="614">
        <f>MIN(Thickness!AF88:AF90)</f>
        <v/>
      </c>
      <c r="AG88" s="615">
        <f>MIN(Thickness!AG88:AG90)</f>
        <v/>
      </c>
      <c r="AH88" s="616">
        <f>MIN(Thickness!AH88:AH90)</f>
        <v/>
      </c>
      <c r="AI88" s="614">
        <f>MIN(Thickness!AI88:AI90)</f>
        <v/>
      </c>
      <c r="AJ88" s="614">
        <f>MIN(Thickness!AJ88:AJ90)</f>
        <v/>
      </c>
      <c r="AK88" s="614">
        <f>MIN(Thickness!AK88:AK90)</f>
        <v/>
      </c>
      <c r="AL88" s="615">
        <f>MIN(Thickness!AL88:AL90)</f>
        <v/>
      </c>
      <c r="AM88" s="616">
        <f>MIN(Thickness!AM88:AM90)</f>
        <v/>
      </c>
      <c r="AN88" s="614">
        <f>MIN(Thickness!AN88:AN90)</f>
        <v/>
      </c>
      <c r="AO88" s="614">
        <f>MIN(Thickness!AO88:AO90)</f>
        <v/>
      </c>
      <c r="AP88" s="614">
        <f>MIN(Thickness!AP88:AP90)</f>
        <v/>
      </c>
      <c r="AQ88" s="615">
        <f>MIN(Thickness!AQ88:AQ90)</f>
        <v/>
      </c>
      <c r="AR88" s="616">
        <f>MIN(Thickness!AR88:AR90)</f>
        <v/>
      </c>
      <c r="AS88" s="614">
        <f>MIN(Thickness!AS88:AS90)</f>
        <v/>
      </c>
      <c r="AT88" s="614">
        <f>MIN(Thickness!AT88:AT90)</f>
        <v/>
      </c>
      <c r="AU88" s="614">
        <f>MIN(Thickness!AU88:AU90)</f>
        <v/>
      </c>
      <c r="AV88" s="615">
        <f>MIN(Thickness!AV88:AV90)</f>
        <v/>
      </c>
      <c r="AW88" s="616">
        <f>MIN(Thickness!AW88:AW90)</f>
        <v/>
      </c>
      <c r="AX88" s="614">
        <f>MIN(Thickness!AX88:AX90)</f>
        <v/>
      </c>
      <c r="AY88" s="614">
        <f>MIN(Thickness!AY88:AY90)</f>
        <v/>
      </c>
      <c r="AZ88" s="614">
        <f>MIN(Thickness!AZ88:AZ90)</f>
        <v/>
      </c>
      <c r="BA88" s="615">
        <f>MIN(Thickness!BA88:BA90)</f>
        <v/>
      </c>
      <c r="BB88" s="616">
        <f>MIN(Thickness!BB88:BB90)</f>
        <v/>
      </c>
      <c r="BC88" s="614">
        <f>MIN(Thickness!BC88:BC90)</f>
        <v/>
      </c>
      <c r="BD88" s="614">
        <f>MIN(Thickness!BD88:BD90)</f>
        <v/>
      </c>
      <c r="BE88" s="614">
        <f>MIN(Thickness!BE88:BE90)</f>
        <v/>
      </c>
      <c r="BF88" s="615">
        <f>MIN(Thickness!BF88:BF90)</f>
        <v/>
      </c>
      <c r="BG88" s="616">
        <f>MIN(Thickness!BG88:BG90)</f>
        <v/>
      </c>
      <c r="BH88" s="614">
        <f>MIN(Thickness!BH88:BH90)</f>
        <v/>
      </c>
      <c r="BI88" s="614">
        <f>MIN(Thickness!BI88:BI90)</f>
        <v/>
      </c>
      <c r="BJ88" s="614">
        <f>MIN(Thickness!BJ88:BJ90)</f>
        <v/>
      </c>
      <c r="BK88" s="615">
        <f>MIN(Thickness!BK88:BK90)</f>
        <v/>
      </c>
      <c r="BL88" s="616">
        <f>MIN(Thickness!BL88:BL90)</f>
        <v/>
      </c>
      <c r="BM88" s="614">
        <f>MIN(Thickness!BM88:BM90)</f>
        <v/>
      </c>
      <c r="BN88" s="614">
        <f>MIN(Thickness!BN88:BN90)</f>
        <v/>
      </c>
      <c r="BO88" s="614">
        <f>MIN(Thickness!BO88:BO90)</f>
        <v/>
      </c>
      <c r="BP88" s="615">
        <f>MIN(Thickness!BP88:BP90)</f>
        <v/>
      </c>
      <c r="BQ88" s="616">
        <f>MIN(Thickness!BQ88:BQ90)</f>
        <v/>
      </c>
      <c r="BR88" s="614">
        <f>MIN(Thickness!BR88:BR90)</f>
        <v/>
      </c>
      <c r="BS88" s="614">
        <f>MIN(Thickness!BS88:BS90)</f>
        <v/>
      </c>
      <c r="BT88" s="615">
        <f>MIN(Thickness!BT88:BT90)</f>
        <v/>
      </c>
      <c r="BU88" s="454">
        <f>IFERROR(AVERAGE(D88:BT90),0)</f>
        <v/>
      </c>
      <c r="BV88" s="454">
        <f>MIN(D88:BT90)</f>
        <v/>
      </c>
      <c r="BW88" s="437" t="n"/>
      <c r="BX88" s="437" t="n"/>
      <c r="BY88" s="437" t="n"/>
      <c r="BZ88" s="437" t="n"/>
      <c r="CA88" s="437" t="n"/>
      <c r="CB88" s="437" t="n"/>
      <c r="CC88" s="437" t="n"/>
      <c r="CD88" s="437" t="n"/>
      <c r="CE88" s="437" t="n"/>
      <c r="CF88" s="437" t="n"/>
      <c r="CG88" s="437" t="n"/>
      <c r="CH88" s="437" t="n"/>
      <c r="CI88" s="437" t="n"/>
      <c r="CJ88" s="437" t="n"/>
      <c r="CK88" s="437" t="n"/>
      <c r="CL88" s="437" t="n"/>
      <c r="CM88" s="437" t="n"/>
      <c r="CN88" s="437" t="n"/>
      <c r="CO88" s="437" t="n"/>
      <c r="CP88" s="437" t="n"/>
      <c r="CQ88" s="437" t="n"/>
      <c r="CR88" s="437" t="n"/>
      <c r="CS88" s="437" t="n"/>
      <c r="CT88" s="437" t="n"/>
      <c r="CU88" s="437" t="n"/>
      <c r="CV88" s="437" t="n"/>
      <c r="CW88" s="437" t="n"/>
      <c r="CX88" s="437" t="n"/>
      <c r="CY88" s="437" t="n"/>
      <c r="CZ88" s="437" t="n"/>
      <c r="DA88" s="437" t="n"/>
      <c r="DB88" s="437" t="n"/>
      <c r="DC88" s="437" t="n"/>
      <c r="DD88" s="437" t="n"/>
      <c r="DE88" s="437" t="n"/>
      <c r="DF88" s="437" t="n"/>
      <c r="DG88" s="437" t="n"/>
      <c r="DH88" s="437" t="n"/>
      <c r="DI88" s="437" t="n"/>
      <c r="DJ88" s="437" t="n"/>
      <c r="DK88" s="437" t="n"/>
      <c r="DL88" s="437" t="n"/>
      <c r="DM88" s="437" t="n"/>
      <c r="DN88" s="437" t="n"/>
      <c r="DO88" s="437" t="n"/>
      <c r="DP88" s="437" t="n"/>
      <c r="DQ88" s="437" t="n"/>
      <c r="DR88" s="437" t="n"/>
      <c r="DS88" s="437" t="n"/>
      <c r="DT88" s="437" t="n"/>
      <c r="DU88" s="437" t="n"/>
      <c r="DV88" s="437" t="n"/>
      <c r="DW88" s="437" t="n"/>
      <c r="DX88" s="437" t="n"/>
      <c r="DY88" s="238" t="n"/>
      <c r="DZ88" s="23" t="n"/>
      <c r="FQ88" s="212" t="n"/>
      <c r="FR88" s="212" t="n"/>
      <c r="FS88" s="212" t="n"/>
      <c r="FT88" s="212" t="n"/>
      <c r="FU88" s="212" t="n"/>
      <c r="FV88" s="212" t="n"/>
      <c r="FW88" s="212" t="n"/>
      <c r="FX88" s="212" t="n"/>
      <c r="FY88" s="212" t="n"/>
      <c r="FZ88" s="212" t="n"/>
    </row>
    <row r="89" ht="39.95" customFormat="1" customHeight="1" s="5">
      <c r="A89" s="182" t="n">
        <v>0.083</v>
      </c>
      <c r="B89" s="7" t="inlineStr">
        <is>
          <t>-54 IN</t>
        </is>
      </c>
      <c r="C89" s="456" t="n"/>
      <c r="D89" s="13" t="n"/>
      <c r="H89" s="592" t="n"/>
      <c r="I89" s="593" t="n"/>
      <c r="M89" s="592" t="n"/>
      <c r="N89" s="593" t="n"/>
      <c r="R89" s="592" t="n"/>
      <c r="S89" s="593" t="n"/>
      <c r="W89" s="592" t="n"/>
      <c r="X89" s="593" t="n"/>
      <c r="AB89" s="592" t="n"/>
      <c r="AC89" s="593" t="n"/>
      <c r="AG89" s="592" t="n"/>
      <c r="AH89" s="593" t="n"/>
      <c r="AL89" s="592" t="n"/>
      <c r="AM89" s="593" t="n"/>
      <c r="AQ89" s="592" t="n"/>
      <c r="AR89" s="593" t="n"/>
      <c r="AV89" s="592" t="n"/>
      <c r="AW89" s="593" t="n"/>
      <c r="BA89" s="592" t="n"/>
      <c r="BB89" s="593" t="n"/>
      <c r="BF89" s="592" t="n"/>
      <c r="BG89" s="593" t="n"/>
      <c r="BK89" s="592" t="n"/>
      <c r="BL89" s="593" t="n"/>
      <c r="BP89" s="592" t="n"/>
      <c r="BQ89" s="593" t="n"/>
      <c r="BT89" s="592" t="n"/>
      <c r="BU89" s="455" t="n"/>
      <c r="BV89" s="455" t="n"/>
      <c r="BW89" s="437" t="n"/>
      <c r="BX89" s="437" t="n"/>
      <c r="BY89" s="437" t="n"/>
      <c r="BZ89" s="437" t="n"/>
      <c r="CA89" s="437" t="n"/>
      <c r="CB89" s="437" t="n"/>
      <c r="CC89" s="437" t="n"/>
      <c r="CD89" s="437" t="n"/>
      <c r="CE89" s="437" t="n"/>
      <c r="CF89" s="437" t="n"/>
      <c r="CG89" s="437" t="n"/>
      <c r="CH89" s="437" t="n"/>
      <c r="CI89" s="437" t="n"/>
      <c r="CJ89" s="437" t="n"/>
      <c r="CK89" s="437" t="n"/>
      <c r="CL89" s="437" t="n"/>
      <c r="CM89" s="437" t="n"/>
      <c r="CN89" s="437" t="n"/>
      <c r="CO89" s="437" t="n"/>
      <c r="CP89" s="437" t="n"/>
      <c r="CQ89" s="437" t="n"/>
      <c r="CR89" s="437" t="n"/>
      <c r="CS89" s="437" t="n"/>
      <c r="CT89" s="437" t="n"/>
      <c r="CU89" s="437" t="n"/>
      <c r="CV89" s="437" t="n"/>
      <c r="CW89" s="437" t="n"/>
      <c r="CX89" s="437" t="n"/>
      <c r="CY89" s="437" t="n"/>
      <c r="CZ89" s="437" t="n"/>
      <c r="DA89" s="437" t="n"/>
      <c r="DB89" s="437" t="n"/>
      <c r="DC89" s="437" t="n"/>
      <c r="DD89" s="437" t="n"/>
      <c r="DE89" s="437" t="n"/>
      <c r="DF89" s="437" t="n"/>
      <c r="DG89" s="437" t="n"/>
      <c r="DH89" s="437" t="n"/>
      <c r="DI89" s="437" t="n"/>
      <c r="DJ89" s="437" t="n"/>
      <c r="DK89" s="437" t="n"/>
      <c r="DL89" s="437" t="n"/>
      <c r="DM89" s="437" t="n"/>
      <c r="DN89" s="437" t="n"/>
      <c r="DO89" s="437" t="n"/>
      <c r="DP89" s="437" t="n"/>
      <c r="DQ89" s="437" t="n"/>
      <c r="DR89" s="437" t="n"/>
      <c r="DS89" s="437" t="n"/>
      <c r="DT89" s="437" t="n"/>
      <c r="DU89" s="437" t="n"/>
      <c r="DV89" s="437" t="n"/>
      <c r="DW89" s="437" t="n"/>
      <c r="DX89" s="437" t="n"/>
      <c r="DY89" s="238" t="n"/>
      <c r="DZ89" s="23" t="n"/>
      <c r="FQ89" s="212" t="n"/>
      <c r="FR89" s="212" t="n"/>
      <c r="FS89" s="212" t="n"/>
      <c r="FT89" s="212" t="n"/>
      <c r="FU89" s="212" t="n"/>
      <c r="FV89" s="212" t="n"/>
      <c r="FW89" s="212" t="n"/>
      <c r="FX89" s="212" t="n"/>
      <c r="FY89" s="212" t="n"/>
      <c r="FZ89" s="212" t="n"/>
    </row>
    <row r="90" ht="39.95" customFormat="1" customHeight="1" s="5">
      <c r="A90" s="456" t="n"/>
      <c r="B90" s="8" t="n"/>
      <c r="C90" s="456" t="n"/>
      <c r="D90" s="594" t="n"/>
      <c r="E90" s="595" t="n"/>
      <c r="F90" s="595" t="n"/>
      <c r="G90" s="595" t="n"/>
      <c r="H90" s="596" t="n"/>
      <c r="I90" s="597" t="n"/>
      <c r="J90" s="595" t="n"/>
      <c r="K90" s="595" t="n"/>
      <c r="L90" s="595" t="n"/>
      <c r="M90" s="596" t="n"/>
      <c r="N90" s="597" t="n"/>
      <c r="O90" s="595" t="n"/>
      <c r="P90" s="595" t="n"/>
      <c r="Q90" s="595" t="n"/>
      <c r="R90" s="596" t="n"/>
      <c r="S90" s="597" t="n"/>
      <c r="T90" s="595" t="n"/>
      <c r="U90" s="595" t="n"/>
      <c r="V90" s="595" t="n"/>
      <c r="W90" s="596" t="n"/>
      <c r="X90" s="597" t="n"/>
      <c r="Y90" s="595" t="n"/>
      <c r="Z90" s="595" t="n"/>
      <c r="AA90" s="595" t="n"/>
      <c r="AB90" s="596" t="n"/>
      <c r="AC90" s="597" t="n"/>
      <c r="AD90" s="595" t="n"/>
      <c r="AE90" s="595" t="n"/>
      <c r="AF90" s="595" t="n"/>
      <c r="AG90" s="596" t="n"/>
      <c r="AH90" s="597" t="n"/>
      <c r="AI90" s="595" t="n"/>
      <c r="AJ90" s="595" t="n"/>
      <c r="AK90" s="595" t="n"/>
      <c r="AL90" s="596" t="n"/>
      <c r="AM90" s="597" t="n"/>
      <c r="AN90" s="595" t="n"/>
      <c r="AO90" s="595" t="n"/>
      <c r="AP90" s="595" t="n"/>
      <c r="AQ90" s="596" t="n"/>
      <c r="AR90" s="597" t="n"/>
      <c r="AS90" s="595" t="n"/>
      <c r="AT90" s="595" t="n"/>
      <c r="AU90" s="595" t="n"/>
      <c r="AV90" s="596" t="n"/>
      <c r="AW90" s="597" t="n"/>
      <c r="AX90" s="595" t="n"/>
      <c r="AY90" s="595" t="n"/>
      <c r="AZ90" s="595" t="n"/>
      <c r="BA90" s="596" t="n"/>
      <c r="BB90" s="597" t="n"/>
      <c r="BC90" s="595" t="n"/>
      <c r="BD90" s="595" t="n"/>
      <c r="BE90" s="595" t="n"/>
      <c r="BF90" s="596" t="n"/>
      <c r="BG90" s="597" t="n"/>
      <c r="BH90" s="595" t="n"/>
      <c r="BI90" s="595" t="n"/>
      <c r="BJ90" s="595" t="n"/>
      <c r="BK90" s="596" t="n"/>
      <c r="BL90" s="597" t="n"/>
      <c r="BM90" s="595" t="n"/>
      <c r="BN90" s="595" t="n"/>
      <c r="BO90" s="595" t="n"/>
      <c r="BP90" s="596" t="n"/>
      <c r="BQ90" s="597" t="n"/>
      <c r="BR90" s="595" t="n"/>
      <c r="BS90" s="595" t="n"/>
      <c r="BT90" s="596" t="n"/>
      <c r="BU90" s="457" t="n"/>
      <c r="BV90" s="457" t="n"/>
      <c r="BW90" s="437" t="n"/>
      <c r="BX90" s="437" t="n"/>
      <c r="BY90" s="437" t="n"/>
      <c r="BZ90" s="437" t="n"/>
      <c r="CA90" s="437" t="n"/>
      <c r="CB90" s="437" t="n"/>
      <c r="CC90" s="437" t="n"/>
      <c r="CD90" s="437" t="n"/>
      <c r="CE90" s="437" t="n"/>
      <c r="CF90" s="437" t="n"/>
      <c r="CG90" s="437" t="n"/>
      <c r="CH90" s="437" t="n"/>
      <c r="CI90" s="437" t="n"/>
      <c r="CJ90" s="437" t="n"/>
      <c r="CK90" s="437" t="n"/>
      <c r="CL90" s="437" t="n"/>
      <c r="CM90" s="437" t="n"/>
      <c r="CN90" s="437" t="n"/>
      <c r="CO90" s="437" t="n"/>
      <c r="CP90" s="437" t="n"/>
      <c r="CQ90" s="437" t="n"/>
      <c r="CR90" s="437" t="n"/>
      <c r="CS90" s="437" t="n"/>
      <c r="CT90" s="437" t="n"/>
      <c r="CU90" s="437" t="n"/>
      <c r="CV90" s="437" t="n"/>
      <c r="CW90" s="437" t="n"/>
      <c r="CX90" s="437" t="n"/>
      <c r="CY90" s="437" t="n"/>
      <c r="CZ90" s="437" t="n"/>
      <c r="DA90" s="437" t="n"/>
      <c r="DB90" s="437" t="n"/>
      <c r="DC90" s="437" t="n"/>
      <c r="DD90" s="437" t="n"/>
      <c r="DE90" s="437" t="n"/>
      <c r="DF90" s="437" t="n"/>
      <c r="DG90" s="437" t="n"/>
      <c r="DH90" s="437" t="n"/>
      <c r="DI90" s="437" t="n"/>
      <c r="DJ90" s="437" t="n"/>
      <c r="DK90" s="437" t="n"/>
      <c r="DL90" s="437" t="n"/>
      <c r="DM90" s="437" t="n"/>
      <c r="DN90" s="437" t="n"/>
      <c r="DO90" s="437" t="n"/>
      <c r="DP90" s="437" t="n"/>
      <c r="DQ90" s="437" t="n"/>
      <c r="DR90" s="437" t="n"/>
      <c r="DS90" s="437" t="n"/>
      <c r="DT90" s="437" t="n"/>
      <c r="DU90" s="437" t="n"/>
      <c r="DV90" s="437" t="n"/>
      <c r="DW90" s="437" t="n"/>
      <c r="DX90" s="437" t="n"/>
      <c r="DY90" s="238" t="n"/>
      <c r="DZ90" s="23" t="n"/>
      <c r="FQ90" s="212" t="n"/>
      <c r="FR90" s="212" t="n"/>
      <c r="FS90" s="212" t="n"/>
      <c r="FT90" s="212" t="n"/>
      <c r="FU90" s="212" t="n"/>
      <c r="FV90" s="212" t="n"/>
      <c r="FW90" s="212" t="n"/>
      <c r="FX90" s="212" t="n"/>
      <c r="FY90" s="212" t="n"/>
      <c r="FZ90" s="212" t="n"/>
    </row>
    <row r="91" ht="39.95" customFormat="1" customHeight="1" s="5">
      <c r="A91" s="10" t="inlineStr">
        <is>
          <t>A</t>
        </is>
      </c>
      <c r="B91" s="6" t="inlineStr">
        <is>
          <t>POSITION 'A'</t>
        </is>
      </c>
      <c r="C91" s="415" t="inlineStr">
        <is>
          <t>LOWEST</t>
        </is>
      </c>
      <c r="D91" s="613" t="inlineStr"/>
      <c r="E91" s="614" t="inlineStr"/>
      <c r="F91" s="614">
        <f>MIN(Thickness!F91:F93)</f>
        <v/>
      </c>
      <c r="G91" s="614">
        <f>MIN(Thickness!G91:G93)</f>
        <v/>
      </c>
      <c r="H91" s="615" t="inlineStr"/>
      <c r="I91" s="616">
        <f>MIN(Thickness!I91:I93)</f>
        <v/>
      </c>
      <c r="J91" s="614">
        <f>MIN(Thickness!J91:J93)</f>
        <v/>
      </c>
      <c r="K91" s="614" t="inlineStr"/>
      <c r="L91" s="614">
        <f>MIN(Thickness!L91:L93)</f>
        <v/>
      </c>
      <c r="M91" s="615">
        <f>MIN(Thickness!M91:M93)</f>
        <v/>
      </c>
      <c r="N91" s="616" t="inlineStr"/>
      <c r="O91" s="614">
        <f>MIN(Thickness!O91:O93)</f>
        <v/>
      </c>
      <c r="P91" s="614">
        <f>MIN(Thickness!P91:P93)</f>
        <v/>
      </c>
      <c r="Q91" s="614" t="inlineStr"/>
      <c r="R91" s="615">
        <f>MIN(Thickness!R91:R93)</f>
        <v/>
      </c>
      <c r="S91" s="616">
        <f>MIN(Thickness!S91:S93)</f>
        <v/>
      </c>
      <c r="T91" s="614" t="inlineStr"/>
      <c r="U91" s="614">
        <f>MIN(Thickness!U91:U93)</f>
        <v/>
      </c>
      <c r="V91" s="614">
        <f>MIN(Thickness!V91:V93)</f>
        <v/>
      </c>
      <c r="W91" s="615" t="inlineStr"/>
      <c r="X91" s="616">
        <f>MIN(Thickness!X91:X93)</f>
        <v/>
      </c>
      <c r="Y91" s="614">
        <f>MIN(Thickness!Y91:Y93)</f>
        <v/>
      </c>
      <c r="Z91" s="614" t="inlineStr"/>
      <c r="AA91" s="614">
        <f>MIN(Thickness!AA91:AA93)</f>
        <v/>
      </c>
      <c r="AB91" s="615">
        <f>MIN(Thickness!AB91:AB93)</f>
        <v/>
      </c>
      <c r="AC91" s="616" t="inlineStr"/>
      <c r="AD91" s="614">
        <f>MIN(Thickness!AD91:AD93)</f>
        <v/>
      </c>
      <c r="AE91" s="614">
        <f>MIN(Thickness!AE91:AE93)</f>
        <v/>
      </c>
      <c r="AF91" s="614" t="inlineStr"/>
      <c r="AG91" s="615">
        <f>MIN(Thickness!AG91:AG93)</f>
        <v/>
      </c>
      <c r="AH91" s="616">
        <f>MIN(Thickness!AH91:AH93)</f>
        <v/>
      </c>
      <c r="AI91" s="614" t="inlineStr"/>
      <c r="AJ91" s="614">
        <f>MIN(Thickness!AJ91:AJ93)</f>
        <v/>
      </c>
      <c r="AK91" s="614">
        <f>MIN(Thickness!AK91:AK93)</f>
        <v/>
      </c>
      <c r="AL91" s="615" t="inlineStr"/>
      <c r="AM91" s="616">
        <f>MIN(Thickness!AM91:AM93)</f>
        <v/>
      </c>
      <c r="AN91" s="614">
        <f>MIN(Thickness!AN91:AN93)</f>
        <v/>
      </c>
      <c r="AO91" s="614" t="inlineStr"/>
      <c r="AP91" s="614">
        <f>MIN(Thickness!AP91:AP93)</f>
        <v/>
      </c>
      <c r="AQ91" s="615">
        <f>MIN(Thickness!AQ91:AQ93)</f>
        <v/>
      </c>
      <c r="AR91" s="616" t="inlineStr"/>
      <c r="AS91" s="614">
        <f>MIN(Thickness!AS91:AS93)</f>
        <v/>
      </c>
      <c r="AT91" s="614">
        <f>MIN(Thickness!AT91:AT93)</f>
        <v/>
      </c>
      <c r="AU91" s="614" t="inlineStr"/>
      <c r="AV91" s="615">
        <f>MIN(Thickness!AV91:AV93)</f>
        <v/>
      </c>
      <c r="AW91" s="616">
        <f>MIN(Thickness!AW91:AW93)</f>
        <v/>
      </c>
      <c r="AX91" s="614" t="inlineStr"/>
      <c r="AY91" s="614">
        <f>MIN(Thickness!AY91:AY93)</f>
        <v/>
      </c>
      <c r="AZ91" s="614">
        <f>MIN(Thickness!AZ91:AZ93)</f>
        <v/>
      </c>
      <c r="BA91" s="615" t="inlineStr"/>
      <c r="BB91" s="616">
        <f>MIN(Thickness!BB91:BB93)</f>
        <v/>
      </c>
      <c r="BC91" s="614">
        <f>MIN(Thickness!BC91:BC93)</f>
        <v/>
      </c>
      <c r="BD91" s="614" t="inlineStr"/>
      <c r="BE91" s="614">
        <f>MIN(Thickness!BE91:BE93)</f>
        <v/>
      </c>
      <c r="BF91" s="615">
        <f>MIN(Thickness!BF91:BF93)</f>
        <v/>
      </c>
      <c r="BG91" s="616" t="inlineStr"/>
      <c r="BH91" s="614">
        <f>MIN(Thickness!BH91:BH93)</f>
        <v/>
      </c>
      <c r="BI91" s="614">
        <f>MIN(Thickness!BI91:BI93)</f>
        <v/>
      </c>
      <c r="BJ91" s="614" t="inlineStr"/>
      <c r="BK91" s="615">
        <f>MIN(Thickness!BK91:BK93)</f>
        <v/>
      </c>
      <c r="BL91" s="616">
        <f>MIN(Thickness!BL91:BL93)</f>
        <v/>
      </c>
      <c r="BM91" s="614" t="inlineStr"/>
      <c r="BN91" s="614">
        <f>MIN(Thickness!BN91:BN93)</f>
        <v/>
      </c>
      <c r="BO91" s="614">
        <f>MIN(Thickness!BO91:BO93)</f>
        <v/>
      </c>
      <c r="BP91" s="615" t="inlineStr"/>
      <c r="BQ91" s="616">
        <f>MIN(Thickness!BQ91:BQ93)</f>
        <v/>
      </c>
      <c r="BR91" s="614">
        <f>MIN(Thickness!BR91:BR93)</f>
        <v/>
      </c>
      <c r="BS91" s="614" t="inlineStr"/>
      <c r="BT91" s="615" t="inlineStr"/>
      <c r="BU91" s="454">
        <f>IFERROR(AVERAGE(D91:BT93),0)</f>
        <v/>
      </c>
      <c r="BV91" s="454">
        <f>MIN(D91:BT93)</f>
        <v/>
      </c>
      <c r="BW91" s="437" t="n"/>
      <c r="BX91" s="437" t="n"/>
      <c r="BY91" s="437" t="n"/>
      <c r="BZ91" s="437" t="n"/>
      <c r="CA91" s="437" t="n"/>
      <c r="CB91" s="437" t="n"/>
      <c r="CC91" s="437" t="n"/>
      <c r="CD91" s="437" t="n"/>
      <c r="CE91" s="437" t="n"/>
      <c r="CF91" s="437" t="n"/>
      <c r="CG91" s="437" t="n"/>
      <c r="CH91" s="437" t="n"/>
      <c r="CI91" s="437" t="n"/>
      <c r="CJ91" s="437" t="n"/>
      <c r="CK91" s="437" t="n"/>
      <c r="CL91" s="437" t="n"/>
      <c r="CM91" s="437" t="n"/>
      <c r="CN91" s="437" t="n"/>
      <c r="CO91" s="437" t="n"/>
      <c r="CP91" s="437" t="n"/>
      <c r="CQ91" s="437" t="n"/>
      <c r="CR91" s="437" t="n"/>
      <c r="CS91" s="437" t="n"/>
      <c r="CT91" s="437" t="n"/>
      <c r="CU91" s="437" t="n"/>
      <c r="CV91" s="437" t="n"/>
      <c r="CW91" s="437" t="n"/>
      <c r="CX91" s="437" t="n"/>
      <c r="CY91" s="437" t="n"/>
      <c r="CZ91" s="437" t="n"/>
      <c r="DA91" s="437" t="n"/>
      <c r="DB91" s="437" t="n"/>
      <c r="DC91" s="437" t="n"/>
      <c r="DD91" s="437" t="n"/>
      <c r="DE91" s="437" t="n"/>
      <c r="DF91" s="437" t="n"/>
      <c r="DG91" s="437" t="n"/>
      <c r="DH91" s="437" t="n"/>
      <c r="DI91" s="437" t="n"/>
      <c r="DJ91" s="437" t="n"/>
      <c r="DK91" s="437" t="n"/>
      <c r="DL91" s="437" t="n"/>
      <c r="DM91" s="437" t="n"/>
      <c r="DN91" s="437" t="n"/>
      <c r="DO91" s="437" t="n"/>
      <c r="DP91" s="437" t="n"/>
      <c r="DQ91" s="437" t="n"/>
      <c r="DR91" s="437" t="n"/>
      <c r="DS91" s="437" t="n"/>
      <c r="DT91" s="437" t="n"/>
      <c r="DU91" s="437" t="n"/>
      <c r="DV91" s="437" t="n"/>
      <c r="DW91" s="437" t="n"/>
      <c r="DX91" s="437" t="n"/>
      <c r="DY91" s="238" t="n"/>
      <c r="DZ91" s="23" t="n"/>
      <c r="FQ91" s="212" t="n"/>
      <c r="FR91" s="212" t="n"/>
      <c r="FS91" s="212" t="n"/>
      <c r="FT91" s="212" t="n"/>
      <c r="FU91" s="212" t="n"/>
      <c r="FV91" s="212" t="n"/>
      <c r="FW91" s="212" t="n"/>
      <c r="FX91" s="212" t="n"/>
      <c r="FY91" s="212" t="n"/>
      <c r="FZ91" s="212" t="n"/>
    </row>
    <row r="92" ht="39.95" customFormat="1" customHeight="1" s="5">
      <c r="A92" s="182" t="n">
        <v>0.083</v>
      </c>
      <c r="B92" s="7" t="inlineStr">
        <is>
          <t xml:space="preserve">OF THE </t>
        </is>
      </c>
      <c r="C92" s="456" t="n"/>
      <c r="D92" s="13" t="n"/>
      <c r="H92" s="592" t="n"/>
      <c r="I92" s="593" t="n"/>
      <c r="M92" s="592" t="n"/>
      <c r="N92" s="593" t="n"/>
      <c r="R92" s="592" t="n"/>
      <c r="S92" s="593" t="n"/>
      <c r="W92" s="592" t="n"/>
      <c r="X92" s="593" t="n"/>
      <c r="AB92" s="592" t="n"/>
      <c r="AC92" s="593" t="n"/>
      <c r="AG92" s="592" t="n"/>
      <c r="AH92" s="593" t="n"/>
      <c r="AL92" s="592" t="n"/>
      <c r="AM92" s="593" t="n"/>
      <c r="AQ92" s="592" t="n"/>
      <c r="AR92" s="593" t="n"/>
      <c r="AV92" s="592" t="n"/>
      <c r="AW92" s="593" t="n"/>
      <c r="BA92" s="592" t="n"/>
      <c r="BB92" s="593" t="n"/>
      <c r="BF92" s="592" t="n"/>
      <c r="BG92" s="593" t="n"/>
      <c r="BK92" s="592" t="n"/>
      <c r="BL92" s="593" t="n"/>
      <c r="BP92" s="592" t="n"/>
      <c r="BQ92" s="593" t="n"/>
      <c r="BT92" s="592" t="n"/>
      <c r="BU92" s="455" t="n"/>
      <c r="BV92" s="455" t="n"/>
      <c r="BW92" s="437" t="n"/>
      <c r="BX92" s="437" t="n"/>
      <c r="BY92" s="437" t="n"/>
      <c r="BZ92" s="437" t="n"/>
      <c r="CA92" s="437" t="n"/>
      <c r="CB92" s="437" t="n"/>
      <c r="CC92" s="437" t="n"/>
      <c r="CD92" s="437" t="n"/>
      <c r="CE92" s="437" t="n"/>
      <c r="CF92" s="437" t="n"/>
      <c r="CG92" s="437" t="n"/>
      <c r="CH92" s="437" t="n"/>
      <c r="CI92" s="437" t="n"/>
      <c r="CJ92" s="437" t="n"/>
      <c r="CK92" s="437" t="n"/>
      <c r="CL92" s="437" t="n"/>
      <c r="CM92" s="437" t="n"/>
      <c r="CN92" s="437" t="n"/>
      <c r="CO92" s="437" t="n"/>
      <c r="CP92" s="437" t="n"/>
      <c r="CQ92" s="437" t="n"/>
      <c r="CR92" s="437" t="n"/>
      <c r="CS92" s="437" t="n"/>
      <c r="CT92" s="437" t="n"/>
      <c r="CU92" s="437" t="n"/>
      <c r="CV92" s="437" t="n"/>
      <c r="CW92" s="437" t="n"/>
      <c r="CX92" s="437" t="n"/>
      <c r="CY92" s="437" t="n"/>
      <c r="CZ92" s="437" t="n"/>
      <c r="DA92" s="437" t="n"/>
      <c r="DB92" s="437" t="n"/>
      <c r="DC92" s="437" t="n"/>
      <c r="DD92" s="437" t="n"/>
      <c r="DE92" s="437" t="n"/>
      <c r="DF92" s="437" t="n"/>
      <c r="DG92" s="437" t="n"/>
      <c r="DH92" s="437" t="n"/>
      <c r="DI92" s="437" t="n"/>
      <c r="DJ92" s="437" t="n"/>
      <c r="DK92" s="437" t="n"/>
      <c r="DL92" s="437" t="n"/>
      <c r="DM92" s="437" t="n"/>
      <c r="DN92" s="437" t="n"/>
      <c r="DO92" s="437" t="n"/>
      <c r="DP92" s="437" t="n"/>
      <c r="DQ92" s="437" t="n"/>
      <c r="DR92" s="437" t="n"/>
      <c r="DS92" s="437" t="n"/>
      <c r="DT92" s="437" t="n"/>
      <c r="DU92" s="437" t="n"/>
      <c r="DV92" s="437" t="n"/>
      <c r="DW92" s="437" t="n"/>
      <c r="DX92" s="437" t="n"/>
      <c r="DY92" s="238" t="n"/>
      <c r="DZ92" s="23" t="n"/>
      <c r="FQ92" s="212" t="n"/>
      <c r="FR92" s="212" t="n"/>
      <c r="FS92" s="212" t="n"/>
      <c r="FT92" s="212" t="n"/>
      <c r="FU92" s="212" t="n"/>
      <c r="FV92" s="212" t="n"/>
      <c r="FW92" s="212" t="n"/>
      <c r="FX92" s="212" t="n"/>
      <c r="FY92" s="212" t="n"/>
      <c r="FZ92" s="212" t="n"/>
    </row>
    <row r="93" ht="39.95" customFormat="1" customHeight="1" s="5">
      <c r="A93" s="456" t="n"/>
      <c r="B93" s="8" t="inlineStr">
        <is>
          <t>PRIMARIES</t>
        </is>
      </c>
      <c r="C93" s="456" t="n"/>
      <c r="D93" s="594" t="n"/>
      <c r="E93" s="595" t="n"/>
      <c r="F93" s="595" t="n"/>
      <c r="G93" s="595" t="n"/>
      <c r="H93" s="596" t="n"/>
      <c r="I93" s="597" t="n"/>
      <c r="J93" s="595" t="n"/>
      <c r="K93" s="595" t="n"/>
      <c r="L93" s="595" t="n"/>
      <c r="M93" s="596" t="n"/>
      <c r="N93" s="597" t="n"/>
      <c r="O93" s="595" t="n"/>
      <c r="P93" s="595" t="n"/>
      <c r="Q93" s="595" t="n"/>
      <c r="R93" s="596" t="n"/>
      <c r="S93" s="597" t="n"/>
      <c r="T93" s="595" t="n"/>
      <c r="U93" s="595" t="n"/>
      <c r="V93" s="595" t="n"/>
      <c r="W93" s="596" t="n"/>
      <c r="X93" s="597" t="n"/>
      <c r="Y93" s="595" t="n"/>
      <c r="Z93" s="595" t="n"/>
      <c r="AA93" s="595" t="n"/>
      <c r="AB93" s="596" t="n"/>
      <c r="AC93" s="597" t="n"/>
      <c r="AD93" s="595" t="n"/>
      <c r="AE93" s="595" t="n"/>
      <c r="AF93" s="595" t="n"/>
      <c r="AG93" s="596" t="n"/>
      <c r="AH93" s="597" t="n"/>
      <c r="AI93" s="595" t="n"/>
      <c r="AJ93" s="595" t="n"/>
      <c r="AK93" s="595" t="n"/>
      <c r="AL93" s="596" t="n"/>
      <c r="AM93" s="597" t="n"/>
      <c r="AN93" s="595" t="n"/>
      <c r="AO93" s="595" t="n"/>
      <c r="AP93" s="595" t="n"/>
      <c r="AQ93" s="596" t="n"/>
      <c r="AR93" s="597" t="n"/>
      <c r="AS93" s="595" t="n"/>
      <c r="AT93" s="595" t="n"/>
      <c r="AU93" s="595" t="n"/>
      <c r="AV93" s="596" t="n"/>
      <c r="AW93" s="597" t="n"/>
      <c r="AX93" s="595" t="n"/>
      <c r="AY93" s="595" t="n"/>
      <c r="AZ93" s="595" t="n"/>
      <c r="BA93" s="596" t="n"/>
      <c r="BB93" s="597" t="n"/>
      <c r="BC93" s="595" t="n"/>
      <c r="BD93" s="595" t="n"/>
      <c r="BE93" s="595" t="n"/>
      <c r="BF93" s="596" t="n"/>
      <c r="BG93" s="597" t="n"/>
      <c r="BH93" s="595" t="n"/>
      <c r="BI93" s="595" t="n"/>
      <c r="BJ93" s="595" t="n"/>
      <c r="BK93" s="596" t="n"/>
      <c r="BL93" s="597" t="n"/>
      <c r="BM93" s="595" t="n"/>
      <c r="BN93" s="595" t="n"/>
      <c r="BO93" s="595" t="n"/>
      <c r="BP93" s="596" t="n"/>
      <c r="BQ93" s="597" t="n"/>
      <c r="BR93" s="595" t="n"/>
      <c r="BS93" s="595" t="n"/>
      <c r="BT93" s="596" t="n"/>
      <c r="BU93" s="457" t="n"/>
      <c r="BV93" s="457" t="n"/>
      <c r="BW93" s="437" t="n"/>
      <c r="BX93" s="437" t="n"/>
      <c r="BY93" s="437" t="n"/>
      <c r="BZ93" s="437" t="n"/>
      <c r="CA93" s="437" t="n"/>
      <c r="CB93" s="437" t="n"/>
      <c r="CC93" s="437" t="n"/>
      <c r="CD93" s="437" t="n"/>
      <c r="CE93" s="437" t="n"/>
      <c r="CF93" s="437" t="n"/>
      <c r="CG93" s="437" t="n"/>
      <c r="CH93" s="437" t="n"/>
      <c r="CI93" s="437" t="n"/>
      <c r="CJ93" s="437" t="n"/>
      <c r="CK93" s="437" t="n"/>
      <c r="CL93" s="437" t="n"/>
      <c r="CM93" s="437" t="n"/>
      <c r="CN93" s="437" t="n"/>
      <c r="CO93" s="437" t="n"/>
      <c r="CP93" s="437" t="n"/>
      <c r="CQ93" s="437" t="n"/>
      <c r="CR93" s="437" t="n"/>
      <c r="CS93" s="437" t="n"/>
      <c r="CT93" s="437" t="n"/>
      <c r="CU93" s="437" t="n"/>
      <c r="CV93" s="437" t="n"/>
      <c r="CW93" s="437" t="n"/>
      <c r="CX93" s="437" t="n"/>
      <c r="CY93" s="437" t="n"/>
      <c r="CZ93" s="437" t="n"/>
      <c r="DA93" s="437" t="n"/>
      <c r="DB93" s="437" t="n"/>
      <c r="DC93" s="437" t="n"/>
      <c r="DD93" s="437" t="n"/>
      <c r="DE93" s="437" t="n"/>
      <c r="DF93" s="437" t="n"/>
      <c r="DG93" s="437" t="n"/>
      <c r="DH93" s="437" t="n"/>
      <c r="DI93" s="437" t="n"/>
      <c r="DJ93" s="437" t="n"/>
      <c r="DK93" s="437" t="n"/>
      <c r="DL93" s="437" t="n"/>
      <c r="DM93" s="437" t="n"/>
      <c r="DN93" s="437" t="n"/>
      <c r="DO93" s="437" t="n"/>
      <c r="DP93" s="437" t="n"/>
      <c r="DQ93" s="437" t="n"/>
      <c r="DR93" s="437" t="n"/>
      <c r="DS93" s="437" t="n"/>
      <c r="DT93" s="437" t="n"/>
      <c r="DU93" s="437" t="n"/>
      <c r="DV93" s="437" t="n"/>
      <c r="DW93" s="437" t="n"/>
      <c r="DX93" s="437" t="n"/>
      <c r="DY93" s="238" t="n"/>
      <c r="DZ93" s="23" t="n"/>
      <c r="FQ93" s="212" t="n"/>
      <c r="FR93" s="212" t="n"/>
      <c r="FS93" s="212" t="n"/>
      <c r="FT93" s="212" t="n"/>
      <c r="FU93" s="212" t="n"/>
      <c r="FV93" s="212" t="n"/>
      <c r="FW93" s="212" t="n"/>
      <c r="FX93" s="212" t="n"/>
      <c r="FY93" s="212" t="n"/>
      <c r="FZ93" s="212" t="n"/>
    </row>
    <row r="94" ht="39.95" customFormat="1" customHeight="1" s="5">
      <c r="A94" s="10" t="inlineStr">
        <is>
          <t>A</t>
        </is>
      </c>
      <c r="B94" s="6" t="inlineStr">
        <is>
          <t>POSITION 'B'</t>
        </is>
      </c>
      <c r="C94" s="415" t="inlineStr">
        <is>
          <t>LOWEST</t>
        </is>
      </c>
      <c r="D94" s="613" t="inlineStr"/>
      <c r="E94" s="614" t="inlineStr"/>
      <c r="F94" s="614">
        <f>MIN(Thickness!F94:F96)</f>
        <v/>
      </c>
      <c r="G94" s="614">
        <f>MIN(Thickness!G94:G96)</f>
        <v/>
      </c>
      <c r="H94" s="615" t="inlineStr"/>
      <c r="I94" s="616">
        <f>MIN(Thickness!I94:I96)</f>
        <v/>
      </c>
      <c r="J94" s="614">
        <f>MIN(Thickness!J94:J96)</f>
        <v/>
      </c>
      <c r="K94" s="614" t="inlineStr"/>
      <c r="L94" s="614">
        <f>MIN(Thickness!L94:L96)</f>
        <v/>
      </c>
      <c r="M94" s="615">
        <f>MIN(Thickness!M94:M96)</f>
        <v/>
      </c>
      <c r="N94" s="616" t="inlineStr"/>
      <c r="O94" s="614">
        <f>MIN(Thickness!O94:O96)</f>
        <v/>
      </c>
      <c r="P94" s="614">
        <f>MIN(Thickness!P94:P96)</f>
        <v/>
      </c>
      <c r="Q94" s="614" t="inlineStr"/>
      <c r="R94" s="615">
        <f>MIN(Thickness!R94:R96)</f>
        <v/>
      </c>
      <c r="S94" s="616">
        <f>MIN(Thickness!S94:S96)</f>
        <v/>
      </c>
      <c r="T94" s="614" t="inlineStr"/>
      <c r="U94" s="614">
        <f>MIN(Thickness!U94:U96)</f>
        <v/>
      </c>
      <c r="V94" s="614">
        <f>MIN(Thickness!V94:V96)</f>
        <v/>
      </c>
      <c r="W94" s="615" t="inlineStr"/>
      <c r="X94" s="616">
        <f>MIN(Thickness!X94:X96)</f>
        <v/>
      </c>
      <c r="Y94" s="614">
        <f>MIN(Thickness!Y94:Y96)</f>
        <v/>
      </c>
      <c r="Z94" s="614" t="inlineStr"/>
      <c r="AA94" s="614">
        <f>MIN(Thickness!AA94:AA96)</f>
        <v/>
      </c>
      <c r="AB94" s="615">
        <f>MIN(Thickness!AB94:AB96)</f>
        <v/>
      </c>
      <c r="AC94" s="616" t="inlineStr"/>
      <c r="AD94" s="614">
        <f>MIN(Thickness!AD94:AD96)</f>
        <v/>
      </c>
      <c r="AE94" s="614">
        <f>MIN(Thickness!AE94:AE96)</f>
        <v/>
      </c>
      <c r="AF94" s="614" t="inlineStr"/>
      <c r="AG94" s="615">
        <f>MIN(Thickness!AG94:AG96)</f>
        <v/>
      </c>
      <c r="AH94" s="616">
        <f>MIN(Thickness!AH94:AH96)</f>
        <v/>
      </c>
      <c r="AI94" s="614" t="inlineStr"/>
      <c r="AJ94" s="614">
        <f>MIN(Thickness!AJ94:AJ96)</f>
        <v/>
      </c>
      <c r="AK94" s="614">
        <f>MIN(Thickness!AK94:AK96)</f>
        <v/>
      </c>
      <c r="AL94" s="615" t="inlineStr"/>
      <c r="AM94" s="616">
        <f>MIN(Thickness!AM94:AM96)</f>
        <v/>
      </c>
      <c r="AN94" s="614">
        <f>MIN(Thickness!AN94:AN96)</f>
        <v/>
      </c>
      <c r="AO94" s="614" t="inlineStr"/>
      <c r="AP94" s="614">
        <f>MIN(Thickness!AP94:AP96)</f>
        <v/>
      </c>
      <c r="AQ94" s="615">
        <f>MIN(Thickness!AQ94:AQ96)</f>
        <v/>
      </c>
      <c r="AR94" s="616" t="inlineStr"/>
      <c r="AS94" s="614">
        <f>MIN(Thickness!AS94:AS96)</f>
        <v/>
      </c>
      <c r="AT94" s="614">
        <f>MIN(Thickness!AT94:AT96)</f>
        <v/>
      </c>
      <c r="AU94" s="614" t="inlineStr"/>
      <c r="AV94" s="615">
        <f>MIN(Thickness!AV94:AV96)</f>
        <v/>
      </c>
      <c r="AW94" s="616">
        <f>MIN(Thickness!AW94:AW96)</f>
        <v/>
      </c>
      <c r="AX94" s="614" t="inlineStr"/>
      <c r="AY94" s="614">
        <f>MIN(Thickness!AY94:AY96)</f>
        <v/>
      </c>
      <c r="AZ94" s="614">
        <f>MIN(Thickness!AZ94:AZ96)</f>
        <v/>
      </c>
      <c r="BA94" s="615" t="inlineStr"/>
      <c r="BB94" s="616">
        <f>MIN(Thickness!BB94:BB96)</f>
        <v/>
      </c>
      <c r="BC94" s="614">
        <f>MIN(Thickness!BC94:BC96)</f>
        <v/>
      </c>
      <c r="BD94" s="614" t="inlineStr"/>
      <c r="BE94" s="614">
        <f>MIN(Thickness!BE94:BE96)</f>
        <v/>
      </c>
      <c r="BF94" s="615">
        <f>MIN(Thickness!BF94:BF96)</f>
        <v/>
      </c>
      <c r="BG94" s="616" t="inlineStr"/>
      <c r="BH94" s="614">
        <f>MIN(Thickness!BH94:BH96)</f>
        <v/>
      </c>
      <c r="BI94" s="614">
        <f>MIN(Thickness!BI94:BI96)</f>
        <v/>
      </c>
      <c r="BJ94" s="614" t="inlineStr"/>
      <c r="BK94" s="615">
        <f>MIN(Thickness!BK94:BK96)</f>
        <v/>
      </c>
      <c r="BL94" s="616">
        <f>MIN(Thickness!BL94:BL96)</f>
        <v/>
      </c>
      <c r="BM94" s="614" t="inlineStr"/>
      <c r="BN94" s="614">
        <f>MIN(Thickness!BN94:BN96)</f>
        <v/>
      </c>
      <c r="BO94" s="614">
        <f>MIN(Thickness!BO94:BO96)</f>
        <v/>
      </c>
      <c r="BP94" s="615" t="inlineStr"/>
      <c r="BQ94" s="616">
        <f>MIN(Thickness!BQ94:BQ96)</f>
        <v/>
      </c>
      <c r="BR94" s="614">
        <f>MIN(Thickness!BR94:BR96)</f>
        <v/>
      </c>
      <c r="BS94" s="614" t="inlineStr"/>
      <c r="BT94" s="615" t="inlineStr"/>
      <c r="BU94" s="454">
        <f>IFERROR(AVERAGE(D94:BT96),0)</f>
        <v/>
      </c>
      <c r="BV94" s="454">
        <f>MIN(D94:BT96)</f>
        <v/>
      </c>
      <c r="BW94" s="437" t="n"/>
      <c r="BX94" s="437" t="n"/>
      <c r="BY94" s="437" t="n"/>
      <c r="BZ94" s="437" t="n"/>
      <c r="CA94" s="437" t="n"/>
      <c r="CB94" s="437" t="n"/>
      <c r="CC94" s="437" t="n"/>
      <c r="CD94" s="437" t="n"/>
      <c r="CE94" s="437" t="n"/>
      <c r="CF94" s="437" t="n"/>
      <c r="CG94" s="437" t="n"/>
      <c r="CH94" s="437" t="n"/>
      <c r="CI94" s="437" t="n"/>
      <c r="CJ94" s="437" t="n"/>
      <c r="CK94" s="437" t="n"/>
      <c r="CL94" s="437" t="n"/>
      <c r="CM94" s="437" t="n"/>
      <c r="CN94" s="437" t="n"/>
      <c r="CO94" s="437" t="n"/>
      <c r="CP94" s="437" t="n"/>
      <c r="CQ94" s="437" t="n"/>
      <c r="CR94" s="437" t="n"/>
      <c r="CS94" s="437" t="n"/>
      <c r="CT94" s="437" t="n"/>
      <c r="CU94" s="437" t="n"/>
      <c r="CV94" s="437" t="n"/>
      <c r="CW94" s="437" t="n"/>
      <c r="CX94" s="437" t="n"/>
      <c r="CY94" s="437" t="n"/>
      <c r="CZ94" s="437" t="n"/>
      <c r="DA94" s="437" t="n"/>
      <c r="DB94" s="437" t="n"/>
      <c r="DC94" s="437" t="n"/>
      <c r="DD94" s="437" t="n"/>
      <c r="DE94" s="437" t="n"/>
      <c r="DF94" s="437" t="n"/>
      <c r="DG94" s="437" t="n"/>
      <c r="DH94" s="437" t="n"/>
      <c r="DI94" s="437" t="n"/>
      <c r="DJ94" s="437" t="n"/>
      <c r="DK94" s="437" t="n"/>
      <c r="DL94" s="437" t="n"/>
      <c r="DM94" s="437" t="n"/>
      <c r="DN94" s="437" t="n"/>
      <c r="DO94" s="437" t="n"/>
      <c r="DP94" s="437" t="n"/>
      <c r="DQ94" s="437" t="n"/>
      <c r="DR94" s="437" t="n"/>
      <c r="DS94" s="437" t="n"/>
      <c r="DT94" s="437" t="n"/>
      <c r="DU94" s="437" t="n"/>
      <c r="DV94" s="437" t="n"/>
      <c r="DW94" s="437" t="n"/>
      <c r="DX94" s="437" t="n"/>
      <c r="DY94" s="238" t="n"/>
      <c r="DZ94" s="23" t="n"/>
      <c r="FQ94" s="212" t="n"/>
      <c r="FR94" s="212" t="n"/>
      <c r="FS94" s="212" t="n"/>
      <c r="FT94" s="212" t="n"/>
      <c r="FU94" s="212" t="n"/>
      <c r="FV94" s="212" t="n"/>
      <c r="FW94" s="212" t="n"/>
      <c r="FX94" s="212" t="n"/>
      <c r="FY94" s="212" t="n"/>
      <c r="FZ94" s="212" t="n"/>
    </row>
    <row r="95" ht="39.95" customFormat="1" customHeight="1" s="5">
      <c r="A95" s="182" t="n">
        <v>0.083</v>
      </c>
      <c r="B95" s="7" t="inlineStr">
        <is>
          <t xml:space="preserve">OF THE </t>
        </is>
      </c>
      <c r="C95" s="456" t="n"/>
      <c r="D95" s="13" t="n"/>
      <c r="H95" s="592" t="n"/>
      <c r="I95" s="593" t="n"/>
      <c r="M95" s="592" t="n"/>
      <c r="N95" s="593" t="n"/>
      <c r="R95" s="592" t="n"/>
      <c r="S95" s="593" t="n"/>
      <c r="W95" s="592" t="n"/>
      <c r="X95" s="593" t="n"/>
      <c r="AB95" s="592" t="n"/>
      <c r="AC95" s="593" t="n"/>
      <c r="AG95" s="592" t="n"/>
      <c r="AH95" s="593" t="n"/>
      <c r="AL95" s="592" t="n"/>
      <c r="AM95" s="593" t="n"/>
      <c r="AQ95" s="592" t="n"/>
      <c r="AR95" s="593" t="n"/>
      <c r="AV95" s="592" t="n"/>
      <c r="AW95" s="593" t="n"/>
      <c r="BA95" s="592" t="n"/>
      <c r="BB95" s="593" t="n"/>
      <c r="BF95" s="592" t="n"/>
      <c r="BG95" s="593" t="n"/>
      <c r="BK95" s="592" t="n"/>
      <c r="BL95" s="593" t="n"/>
      <c r="BP95" s="592" t="n"/>
      <c r="BQ95" s="593" t="n"/>
      <c r="BT95" s="592" t="n"/>
      <c r="BU95" s="455" t="n"/>
      <c r="BV95" s="455" t="n"/>
      <c r="BW95" s="437" t="n"/>
      <c r="BX95" s="437" t="n"/>
      <c r="BY95" s="437" t="n"/>
      <c r="BZ95" s="437" t="n"/>
      <c r="CA95" s="437" t="n"/>
      <c r="CB95" s="437" t="n"/>
      <c r="CC95" s="437" t="n"/>
      <c r="CD95" s="437" t="n"/>
      <c r="CE95" s="437" t="n"/>
      <c r="CF95" s="437" t="n"/>
      <c r="CG95" s="437" t="n"/>
      <c r="CH95" s="437" t="n"/>
      <c r="CI95" s="437" t="n"/>
      <c r="CJ95" s="437" t="n"/>
      <c r="CK95" s="437" t="n"/>
      <c r="CL95" s="437" t="n"/>
      <c r="CM95" s="437" t="n"/>
      <c r="CN95" s="437" t="n"/>
      <c r="CO95" s="437" t="n"/>
      <c r="CP95" s="437" t="n"/>
      <c r="CQ95" s="437" t="n"/>
      <c r="CR95" s="437" t="n"/>
      <c r="CS95" s="437" t="n"/>
      <c r="CT95" s="437" t="n"/>
      <c r="CU95" s="437" t="n"/>
      <c r="CV95" s="437" t="n"/>
      <c r="CW95" s="437" t="n"/>
      <c r="CX95" s="437" t="n"/>
      <c r="CY95" s="437" t="n"/>
      <c r="CZ95" s="437" t="n"/>
      <c r="DA95" s="437" t="n"/>
      <c r="DB95" s="437" t="n"/>
      <c r="DC95" s="437" t="n"/>
      <c r="DD95" s="437" t="n"/>
      <c r="DE95" s="437" t="n"/>
      <c r="DF95" s="437" t="n"/>
      <c r="DG95" s="437" t="n"/>
      <c r="DH95" s="437" t="n"/>
      <c r="DI95" s="437" t="n"/>
      <c r="DJ95" s="437" t="n"/>
      <c r="DK95" s="437" t="n"/>
      <c r="DL95" s="437" t="n"/>
      <c r="DM95" s="437" t="n"/>
      <c r="DN95" s="437" t="n"/>
      <c r="DO95" s="437" t="n"/>
      <c r="DP95" s="437" t="n"/>
      <c r="DQ95" s="437" t="n"/>
      <c r="DR95" s="437" t="n"/>
      <c r="DS95" s="437" t="n"/>
      <c r="DT95" s="437" t="n"/>
      <c r="DU95" s="437" t="n"/>
      <c r="DV95" s="437" t="n"/>
      <c r="DW95" s="437" t="n"/>
      <c r="DX95" s="437" t="n"/>
      <c r="DY95" s="238" t="n"/>
      <c r="DZ95" s="23" t="n"/>
      <c r="FQ95" s="212" t="n"/>
      <c r="FR95" s="212" t="n"/>
      <c r="FS95" s="212" t="n"/>
      <c r="FT95" s="212" t="n"/>
      <c r="FU95" s="212" t="n"/>
      <c r="FV95" s="212" t="n"/>
      <c r="FW95" s="212" t="n"/>
      <c r="FX95" s="212" t="n"/>
      <c r="FY95" s="212" t="n"/>
      <c r="FZ95" s="212" t="n"/>
    </row>
    <row r="96" ht="39.95" customFormat="1" customHeight="1" s="5">
      <c r="A96" s="456" t="n"/>
      <c r="B96" s="8" t="inlineStr">
        <is>
          <t>PRIMARIES</t>
        </is>
      </c>
      <c r="C96" s="456" t="n"/>
      <c r="D96" s="594" t="n"/>
      <c r="E96" s="595" t="n"/>
      <c r="F96" s="595" t="n"/>
      <c r="G96" s="595" t="n"/>
      <c r="H96" s="596" t="n"/>
      <c r="I96" s="597" t="n"/>
      <c r="J96" s="595" t="n"/>
      <c r="K96" s="595" t="n"/>
      <c r="L96" s="595" t="n"/>
      <c r="M96" s="596" t="n"/>
      <c r="N96" s="597" t="n"/>
      <c r="O96" s="595" t="n"/>
      <c r="P96" s="595" t="n"/>
      <c r="Q96" s="595" t="n"/>
      <c r="R96" s="596" t="n"/>
      <c r="S96" s="597" t="n"/>
      <c r="T96" s="595" t="n"/>
      <c r="U96" s="595" t="n"/>
      <c r="V96" s="595" t="n"/>
      <c r="W96" s="596" t="n"/>
      <c r="X96" s="597" t="n"/>
      <c r="Y96" s="595" t="n"/>
      <c r="Z96" s="595" t="n"/>
      <c r="AA96" s="595" t="n"/>
      <c r="AB96" s="596" t="n"/>
      <c r="AC96" s="597" t="n"/>
      <c r="AD96" s="595" t="n"/>
      <c r="AE96" s="595" t="n"/>
      <c r="AF96" s="595" t="n"/>
      <c r="AG96" s="596" t="n"/>
      <c r="AH96" s="597" t="n"/>
      <c r="AI96" s="595" t="n"/>
      <c r="AJ96" s="595" t="n"/>
      <c r="AK96" s="595" t="n"/>
      <c r="AL96" s="596" t="n"/>
      <c r="AM96" s="597" t="n"/>
      <c r="AN96" s="595" t="n"/>
      <c r="AO96" s="595" t="n"/>
      <c r="AP96" s="595" t="n"/>
      <c r="AQ96" s="596" t="n"/>
      <c r="AR96" s="597" t="n"/>
      <c r="AS96" s="595" t="n"/>
      <c r="AT96" s="595" t="n"/>
      <c r="AU96" s="595" t="n"/>
      <c r="AV96" s="596" t="n"/>
      <c r="AW96" s="597" t="n"/>
      <c r="AX96" s="595" t="n"/>
      <c r="AY96" s="595" t="n"/>
      <c r="AZ96" s="595" t="n"/>
      <c r="BA96" s="596" t="n"/>
      <c r="BB96" s="597" t="n"/>
      <c r="BC96" s="595" t="n"/>
      <c r="BD96" s="595" t="n"/>
      <c r="BE96" s="595" t="n"/>
      <c r="BF96" s="596" t="n"/>
      <c r="BG96" s="597" t="n"/>
      <c r="BH96" s="595" t="n"/>
      <c r="BI96" s="595" t="n"/>
      <c r="BJ96" s="595" t="n"/>
      <c r="BK96" s="596" t="n"/>
      <c r="BL96" s="597" t="n"/>
      <c r="BM96" s="595" t="n"/>
      <c r="BN96" s="595" t="n"/>
      <c r="BO96" s="595" t="n"/>
      <c r="BP96" s="596" t="n"/>
      <c r="BQ96" s="597" t="n"/>
      <c r="BR96" s="595" t="n"/>
      <c r="BS96" s="595" t="n"/>
      <c r="BT96" s="596" t="n"/>
      <c r="BU96" s="457" t="n"/>
      <c r="BV96" s="457" t="n"/>
      <c r="BW96" s="437" t="n"/>
      <c r="BX96" s="437" t="n"/>
      <c r="BY96" s="437" t="n"/>
      <c r="BZ96" s="437" t="n"/>
      <c r="CA96" s="437" t="n"/>
      <c r="CB96" s="437" t="n"/>
      <c r="CC96" s="437" t="n"/>
      <c r="CD96" s="437" t="n"/>
      <c r="CE96" s="437" t="n"/>
      <c r="CF96" s="437" t="n"/>
      <c r="CG96" s="437" t="n"/>
      <c r="CH96" s="437" t="n"/>
      <c r="CI96" s="437" t="n"/>
      <c r="CJ96" s="437" t="n"/>
      <c r="CK96" s="437" t="n"/>
      <c r="CL96" s="437" t="n"/>
      <c r="CM96" s="437" t="n"/>
      <c r="CN96" s="437" t="n"/>
      <c r="CO96" s="437" t="n"/>
      <c r="CP96" s="437" t="n"/>
      <c r="CQ96" s="437" t="n"/>
      <c r="CR96" s="437" t="n"/>
      <c r="CS96" s="437" t="n"/>
      <c r="CT96" s="437" t="n"/>
      <c r="CU96" s="437" t="n"/>
      <c r="CV96" s="437" t="n"/>
      <c r="CW96" s="437" t="n"/>
      <c r="CX96" s="437" t="n"/>
      <c r="CY96" s="437" t="n"/>
      <c r="CZ96" s="437" t="n"/>
      <c r="DA96" s="437" t="n"/>
      <c r="DB96" s="437" t="n"/>
      <c r="DC96" s="437" t="n"/>
      <c r="DD96" s="437" t="n"/>
      <c r="DE96" s="437" t="n"/>
      <c r="DF96" s="437" t="n"/>
      <c r="DG96" s="437" t="n"/>
      <c r="DH96" s="437" t="n"/>
      <c r="DI96" s="437" t="n"/>
      <c r="DJ96" s="437" t="n"/>
      <c r="DK96" s="437" t="n"/>
      <c r="DL96" s="437" t="n"/>
      <c r="DM96" s="437" t="n"/>
      <c r="DN96" s="437" t="n"/>
      <c r="DO96" s="437" t="n"/>
      <c r="DP96" s="437" t="n"/>
      <c r="DQ96" s="437" t="n"/>
      <c r="DR96" s="437" t="n"/>
      <c r="DS96" s="437" t="n"/>
      <c r="DT96" s="437" t="n"/>
      <c r="DU96" s="437" t="n"/>
      <c r="DV96" s="437" t="n"/>
      <c r="DW96" s="437" t="n"/>
      <c r="DX96" s="437" t="n"/>
      <c r="DY96" s="238" t="n"/>
      <c r="DZ96" s="23" t="n"/>
      <c r="FQ96" s="212" t="n"/>
      <c r="FR96" s="212" t="n"/>
      <c r="FS96" s="212" t="n"/>
      <c r="FT96" s="212" t="n"/>
      <c r="FU96" s="212" t="n"/>
      <c r="FV96" s="212" t="n"/>
      <c r="FW96" s="212" t="n"/>
      <c r="FX96" s="212" t="n"/>
      <c r="FY96" s="212" t="n"/>
      <c r="FZ96" s="212" t="n"/>
    </row>
    <row r="97" ht="39.95" customFormat="1" customHeight="1" s="5">
      <c r="A97" s="10" t="inlineStr">
        <is>
          <t>A</t>
        </is>
      </c>
      <c r="B97" s="6" t="inlineStr">
        <is>
          <t>POSITION 'C'</t>
        </is>
      </c>
      <c r="C97" s="415" t="inlineStr">
        <is>
          <t>LOWEST</t>
        </is>
      </c>
      <c r="D97" s="613" t="inlineStr"/>
      <c r="E97" s="614" t="inlineStr"/>
      <c r="F97" s="614">
        <f>MIN(Thickness!F97:F99)</f>
        <v/>
      </c>
      <c r="G97" s="614">
        <f>MIN(Thickness!G97:G99)</f>
        <v/>
      </c>
      <c r="H97" s="615" t="inlineStr"/>
      <c r="I97" s="616">
        <f>MIN(Thickness!I97:I99)</f>
        <v/>
      </c>
      <c r="J97" s="614">
        <f>MIN(Thickness!J97:J99)</f>
        <v/>
      </c>
      <c r="K97" s="614" t="inlineStr"/>
      <c r="L97" s="614">
        <f>MIN(Thickness!L97:L99)</f>
        <v/>
      </c>
      <c r="M97" s="615">
        <f>MIN(Thickness!M97:M99)</f>
        <v/>
      </c>
      <c r="N97" s="616" t="inlineStr"/>
      <c r="O97" s="614">
        <f>MIN(Thickness!O97:O99)</f>
        <v/>
      </c>
      <c r="P97" s="614">
        <f>MIN(Thickness!P97:P99)</f>
        <v/>
      </c>
      <c r="Q97" s="614" t="inlineStr"/>
      <c r="R97" s="615">
        <f>MIN(Thickness!R97:R99)</f>
        <v/>
      </c>
      <c r="S97" s="616">
        <f>MIN(Thickness!S97:S99)</f>
        <v/>
      </c>
      <c r="T97" s="614" t="inlineStr"/>
      <c r="U97" s="614">
        <f>MIN(Thickness!U97:U99)</f>
        <v/>
      </c>
      <c r="V97" s="614">
        <f>MIN(Thickness!V97:V99)</f>
        <v/>
      </c>
      <c r="W97" s="615" t="inlineStr"/>
      <c r="X97" s="616">
        <f>MIN(Thickness!X97:X99)</f>
        <v/>
      </c>
      <c r="Y97" s="614">
        <f>MIN(Thickness!Y97:Y99)</f>
        <v/>
      </c>
      <c r="Z97" s="614" t="inlineStr"/>
      <c r="AA97" s="614">
        <f>MIN(Thickness!AA97:AA99)</f>
        <v/>
      </c>
      <c r="AB97" s="615">
        <f>MIN(Thickness!AB97:AB99)</f>
        <v/>
      </c>
      <c r="AC97" s="616" t="inlineStr"/>
      <c r="AD97" s="614">
        <f>MIN(Thickness!AD97:AD99)</f>
        <v/>
      </c>
      <c r="AE97" s="614">
        <f>MIN(Thickness!AE97:AE99)</f>
        <v/>
      </c>
      <c r="AF97" s="614" t="inlineStr"/>
      <c r="AG97" s="615">
        <f>MIN(Thickness!AG97:AG99)</f>
        <v/>
      </c>
      <c r="AH97" s="616">
        <f>MIN(Thickness!AH97:AH99)</f>
        <v/>
      </c>
      <c r="AI97" s="614" t="inlineStr"/>
      <c r="AJ97" s="614">
        <f>MIN(Thickness!AJ97:AJ99)</f>
        <v/>
      </c>
      <c r="AK97" s="614">
        <f>MIN(Thickness!AK97:AK99)</f>
        <v/>
      </c>
      <c r="AL97" s="615" t="inlineStr"/>
      <c r="AM97" s="616">
        <f>MIN(Thickness!AM97:AM99)</f>
        <v/>
      </c>
      <c r="AN97" s="614">
        <f>MIN(Thickness!AN97:AN99)</f>
        <v/>
      </c>
      <c r="AO97" s="614" t="inlineStr"/>
      <c r="AP97" s="614">
        <f>MIN(Thickness!AP97:AP99)</f>
        <v/>
      </c>
      <c r="AQ97" s="615">
        <f>MIN(Thickness!AQ97:AQ99)</f>
        <v/>
      </c>
      <c r="AR97" s="616" t="inlineStr"/>
      <c r="AS97" s="614">
        <f>MIN(Thickness!AS97:AS99)</f>
        <v/>
      </c>
      <c r="AT97" s="614">
        <f>MIN(Thickness!AT97:AT99)</f>
        <v/>
      </c>
      <c r="AU97" s="614" t="inlineStr"/>
      <c r="AV97" s="615">
        <f>MIN(Thickness!AV97:AV99)</f>
        <v/>
      </c>
      <c r="AW97" s="616">
        <f>MIN(Thickness!AW97:AW99)</f>
        <v/>
      </c>
      <c r="AX97" s="614" t="inlineStr"/>
      <c r="AY97" s="614">
        <f>MIN(Thickness!AY97:AY99)</f>
        <v/>
      </c>
      <c r="AZ97" s="614">
        <f>MIN(Thickness!AZ97:AZ99)</f>
        <v/>
      </c>
      <c r="BA97" s="615" t="inlineStr"/>
      <c r="BB97" s="616">
        <f>MIN(Thickness!BB97:BB99)</f>
        <v/>
      </c>
      <c r="BC97" s="614">
        <f>MIN(Thickness!BC97:BC99)</f>
        <v/>
      </c>
      <c r="BD97" s="614" t="inlineStr"/>
      <c r="BE97" s="614">
        <f>MIN(Thickness!BE97:BE99)</f>
        <v/>
      </c>
      <c r="BF97" s="615">
        <f>MIN(Thickness!BF97:BF99)</f>
        <v/>
      </c>
      <c r="BG97" s="616" t="inlineStr"/>
      <c r="BH97" s="614">
        <f>MIN(Thickness!BH97:BH99)</f>
        <v/>
      </c>
      <c r="BI97" s="614">
        <f>MIN(Thickness!BI97:BI99)</f>
        <v/>
      </c>
      <c r="BJ97" s="614" t="inlineStr"/>
      <c r="BK97" s="615">
        <f>MIN(Thickness!BK97:BK99)</f>
        <v/>
      </c>
      <c r="BL97" s="616">
        <f>MIN(Thickness!BL97:BL99)</f>
        <v/>
      </c>
      <c r="BM97" s="614" t="inlineStr"/>
      <c r="BN97" s="614">
        <f>MIN(Thickness!BN97:BN99)</f>
        <v/>
      </c>
      <c r="BO97" s="614">
        <f>MIN(Thickness!BO97:BO99)</f>
        <v/>
      </c>
      <c r="BP97" s="615" t="inlineStr"/>
      <c r="BQ97" s="616">
        <f>MIN(Thickness!BQ97:BQ99)</f>
        <v/>
      </c>
      <c r="BR97" s="614">
        <f>MIN(Thickness!BR97:BR99)</f>
        <v/>
      </c>
      <c r="BS97" s="614" t="inlineStr"/>
      <c r="BT97" s="615" t="inlineStr"/>
      <c r="BU97" s="454">
        <f>IFERROR(AVERAGE(D97:BT99),0)</f>
        <v/>
      </c>
      <c r="BV97" s="454">
        <f>MIN(D97:BT99)</f>
        <v/>
      </c>
      <c r="BW97" s="437" t="n"/>
      <c r="BX97" s="437" t="n"/>
      <c r="BY97" s="437" t="n"/>
      <c r="BZ97" s="437" t="n"/>
      <c r="CA97" s="437" t="n"/>
      <c r="CB97" s="437" t="n"/>
      <c r="CC97" s="437" t="n"/>
      <c r="CD97" s="437" t="n"/>
      <c r="CE97" s="437" t="n"/>
      <c r="CF97" s="437" t="n"/>
      <c r="CG97" s="437" t="n"/>
      <c r="CH97" s="437" t="n"/>
      <c r="CI97" s="437" t="n"/>
      <c r="CJ97" s="437" t="n"/>
      <c r="CK97" s="437" t="n"/>
      <c r="CL97" s="437" t="n"/>
      <c r="CM97" s="437" t="n"/>
      <c r="CN97" s="437" t="n"/>
      <c r="CO97" s="437" t="n"/>
      <c r="CP97" s="437" t="n"/>
      <c r="CQ97" s="437" t="n"/>
      <c r="CR97" s="437" t="n"/>
      <c r="CS97" s="437" t="n"/>
      <c r="CT97" s="437" t="n"/>
      <c r="CU97" s="437" t="n"/>
      <c r="CV97" s="437" t="n"/>
      <c r="CW97" s="437" t="n"/>
      <c r="CX97" s="437" t="n"/>
      <c r="CY97" s="437" t="n"/>
      <c r="CZ97" s="437" t="n"/>
      <c r="DA97" s="437" t="n"/>
      <c r="DB97" s="437" t="n"/>
      <c r="DC97" s="437" t="n"/>
      <c r="DD97" s="437" t="n"/>
      <c r="DE97" s="437" t="n"/>
      <c r="DF97" s="437" t="n"/>
      <c r="DG97" s="437" t="n"/>
      <c r="DH97" s="437" t="n"/>
      <c r="DI97" s="437" t="n"/>
      <c r="DJ97" s="437" t="n"/>
      <c r="DK97" s="437" t="n"/>
      <c r="DL97" s="437" t="n"/>
      <c r="DM97" s="437" t="n"/>
      <c r="DN97" s="437" t="n"/>
      <c r="DO97" s="437" t="n"/>
      <c r="DP97" s="437" t="n"/>
      <c r="DQ97" s="437" t="n"/>
      <c r="DR97" s="437" t="n"/>
      <c r="DS97" s="437" t="n"/>
      <c r="DT97" s="437" t="n"/>
      <c r="DU97" s="437" t="n"/>
      <c r="DV97" s="437" t="n"/>
      <c r="DW97" s="437" t="n"/>
      <c r="DX97" s="437" t="n"/>
      <c r="DY97" s="238" t="n"/>
      <c r="DZ97" s="23" t="n"/>
      <c r="FQ97" s="212" t="n"/>
      <c r="FR97" s="212" t="n"/>
      <c r="FS97" s="212" t="n"/>
      <c r="FT97" s="212" t="n"/>
      <c r="FU97" s="212" t="n"/>
      <c r="FV97" s="212" t="n"/>
      <c r="FW97" s="212" t="n"/>
      <c r="FX97" s="212" t="n"/>
      <c r="FY97" s="212" t="n"/>
      <c r="FZ97" s="212" t="n"/>
    </row>
    <row r="98" ht="39.95" customFormat="1" customHeight="1" s="5">
      <c r="A98" s="182" t="n">
        <v>0.083</v>
      </c>
      <c r="B98" s="7" t="inlineStr">
        <is>
          <t xml:space="preserve">OF THE </t>
        </is>
      </c>
      <c r="C98" s="456" t="n"/>
      <c r="D98" s="13" t="n"/>
      <c r="H98" s="592" t="n"/>
      <c r="I98" s="593" t="n"/>
      <c r="M98" s="592" t="n"/>
      <c r="N98" s="593" t="n"/>
      <c r="R98" s="592" t="n"/>
      <c r="S98" s="593" t="n"/>
      <c r="W98" s="592" t="n"/>
      <c r="X98" s="593" t="n"/>
      <c r="AB98" s="592" t="n"/>
      <c r="AC98" s="593" t="n"/>
      <c r="AG98" s="592" t="n"/>
      <c r="AH98" s="593" t="n"/>
      <c r="AL98" s="592" t="n"/>
      <c r="AM98" s="593" t="n"/>
      <c r="AQ98" s="592" t="n"/>
      <c r="AR98" s="593" t="n"/>
      <c r="AV98" s="592" t="n"/>
      <c r="AW98" s="593" t="n"/>
      <c r="BA98" s="592" t="n"/>
      <c r="BB98" s="593" t="n"/>
      <c r="BF98" s="592" t="n"/>
      <c r="BG98" s="593" t="n"/>
      <c r="BK98" s="592" t="n"/>
      <c r="BL98" s="593" t="n"/>
      <c r="BP98" s="592" t="n"/>
      <c r="BQ98" s="593" t="n"/>
      <c r="BT98" s="592" t="n"/>
      <c r="BU98" s="455" t="n"/>
      <c r="BV98" s="455" t="n"/>
      <c r="BW98" s="437" t="n"/>
      <c r="BX98" s="437" t="n"/>
      <c r="BY98" s="437" t="n"/>
      <c r="BZ98" s="437" t="n"/>
      <c r="CA98" s="437" t="n"/>
      <c r="CB98" s="437" t="n"/>
      <c r="CC98" s="437" t="n"/>
      <c r="CD98" s="437" t="n"/>
      <c r="CE98" s="437" t="n"/>
      <c r="CF98" s="437" t="n"/>
      <c r="CG98" s="437" t="n"/>
      <c r="CH98" s="437" t="n"/>
      <c r="CI98" s="437" t="n"/>
      <c r="CJ98" s="437" t="n"/>
      <c r="CK98" s="437" t="n"/>
      <c r="CL98" s="437" t="n"/>
      <c r="CM98" s="437" t="n"/>
      <c r="CN98" s="437" t="n"/>
      <c r="CO98" s="437" t="n"/>
      <c r="CP98" s="437" t="n"/>
      <c r="CQ98" s="437" t="n"/>
      <c r="CR98" s="437" t="n"/>
      <c r="CS98" s="437" t="n"/>
      <c r="CT98" s="437" t="n"/>
      <c r="CU98" s="437" t="n"/>
      <c r="CV98" s="437" t="n"/>
      <c r="CW98" s="437" t="n"/>
      <c r="CX98" s="437" t="n"/>
      <c r="CY98" s="437" t="n"/>
      <c r="CZ98" s="437" t="n"/>
      <c r="DA98" s="437" t="n"/>
      <c r="DB98" s="437" t="n"/>
      <c r="DC98" s="437" t="n"/>
      <c r="DD98" s="437" t="n"/>
      <c r="DE98" s="437" t="n"/>
      <c r="DF98" s="437" t="n"/>
      <c r="DG98" s="437" t="n"/>
      <c r="DH98" s="437" t="n"/>
      <c r="DI98" s="437" t="n"/>
      <c r="DJ98" s="437" t="n"/>
      <c r="DK98" s="437" t="n"/>
      <c r="DL98" s="437" t="n"/>
      <c r="DM98" s="437" t="n"/>
      <c r="DN98" s="437" t="n"/>
      <c r="DO98" s="437" t="n"/>
      <c r="DP98" s="437" t="n"/>
      <c r="DQ98" s="437" t="n"/>
      <c r="DR98" s="437" t="n"/>
      <c r="DS98" s="437" t="n"/>
      <c r="DT98" s="437" t="n"/>
      <c r="DU98" s="437" t="n"/>
      <c r="DV98" s="437" t="n"/>
      <c r="DW98" s="437" t="n"/>
      <c r="DX98" s="437" t="n"/>
      <c r="DY98" s="238" t="n"/>
      <c r="DZ98" s="23" t="n"/>
      <c r="FQ98" s="212" t="n"/>
      <c r="FR98" s="212" t="n"/>
      <c r="FS98" s="212" t="n"/>
      <c r="FT98" s="212" t="n"/>
      <c r="FU98" s="212" t="n"/>
      <c r="FV98" s="212" t="n"/>
      <c r="FW98" s="212" t="n"/>
      <c r="FX98" s="212" t="n"/>
      <c r="FY98" s="212" t="n"/>
      <c r="FZ98" s="212" t="n"/>
    </row>
    <row r="99" ht="39.95" customFormat="1" customHeight="1" s="5">
      <c r="A99" s="456" t="n"/>
      <c r="B99" s="8" t="inlineStr">
        <is>
          <t>PRIMARIES</t>
        </is>
      </c>
      <c r="C99" s="456" t="n"/>
      <c r="D99" s="594" t="n"/>
      <c r="E99" s="595" t="n"/>
      <c r="F99" s="595" t="n"/>
      <c r="G99" s="595" t="n"/>
      <c r="H99" s="596" t="n"/>
      <c r="I99" s="597" t="n"/>
      <c r="J99" s="595" t="n"/>
      <c r="K99" s="595" t="n"/>
      <c r="L99" s="595" t="n"/>
      <c r="M99" s="596" t="n"/>
      <c r="N99" s="597" t="n"/>
      <c r="O99" s="595" t="n"/>
      <c r="P99" s="595" t="n"/>
      <c r="Q99" s="595" t="n"/>
      <c r="R99" s="596" t="n"/>
      <c r="S99" s="597" t="n"/>
      <c r="T99" s="595" t="n"/>
      <c r="U99" s="595" t="n"/>
      <c r="V99" s="595" t="n"/>
      <c r="W99" s="596" t="n"/>
      <c r="X99" s="597" t="n"/>
      <c r="Y99" s="595" t="n"/>
      <c r="Z99" s="595" t="n"/>
      <c r="AA99" s="595" t="n"/>
      <c r="AB99" s="596" t="n"/>
      <c r="AC99" s="597" t="n"/>
      <c r="AD99" s="595" t="n"/>
      <c r="AE99" s="595" t="n"/>
      <c r="AF99" s="595" t="n"/>
      <c r="AG99" s="596" t="n"/>
      <c r="AH99" s="597" t="n"/>
      <c r="AI99" s="595" t="n"/>
      <c r="AJ99" s="595" t="n"/>
      <c r="AK99" s="595" t="n"/>
      <c r="AL99" s="596" t="n"/>
      <c r="AM99" s="597" t="n"/>
      <c r="AN99" s="595" t="n"/>
      <c r="AO99" s="595" t="n"/>
      <c r="AP99" s="595" t="n"/>
      <c r="AQ99" s="596" t="n"/>
      <c r="AR99" s="597" t="n"/>
      <c r="AS99" s="595" t="n"/>
      <c r="AT99" s="595" t="n"/>
      <c r="AU99" s="595" t="n"/>
      <c r="AV99" s="596" t="n"/>
      <c r="AW99" s="597" t="n"/>
      <c r="AX99" s="595" t="n"/>
      <c r="AY99" s="595" t="n"/>
      <c r="AZ99" s="595" t="n"/>
      <c r="BA99" s="596" t="n"/>
      <c r="BB99" s="597" t="n"/>
      <c r="BC99" s="595" t="n"/>
      <c r="BD99" s="595" t="n"/>
      <c r="BE99" s="595" t="n"/>
      <c r="BF99" s="596" t="n"/>
      <c r="BG99" s="597" t="n"/>
      <c r="BH99" s="595" t="n"/>
      <c r="BI99" s="595" t="n"/>
      <c r="BJ99" s="595" t="n"/>
      <c r="BK99" s="596" t="n"/>
      <c r="BL99" s="597" t="n"/>
      <c r="BM99" s="595" t="n"/>
      <c r="BN99" s="595" t="n"/>
      <c r="BO99" s="595" t="n"/>
      <c r="BP99" s="596" t="n"/>
      <c r="BQ99" s="597" t="n"/>
      <c r="BR99" s="595" t="n"/>
      <c r="BS99" s="595" t="n"/>
      <c r="BT99" s="596" t="n"/>
      <c r="BU99" s="457" t="n"/>
      <c r="BV99" s="457" t="n"/>
      <c r="BW99" s="437" t="n"/>
      <c r="BX99" s="437" t="n"/>
      <c r="BY99" s="437" t="n"/>
      <c r="BZ99" s="437" t="n"/>
      <c r="CA99" s="437" t="n"/>
      <c r="CB99" s="437" t="n"/>
      <c r="CC99" s="437" t="n"/>
      <c r="CD99" s="437" t="n"/>
      <c r="CE99" s="437" t="n"/>
      <c r="CF99" s="437" t="n"/>
      <c r="CG99" s="437" t="n"/>
      <c r="CH99" s="437" t="n"/>
      <c r="CI99" s="437" t="n"/>
      <c r="CJ99" s="437" t="n"/>
      <c r="CK99" s="437" t="n"/>
      <c r="CL99" s="437" t="n"/>
      <c r="CM99" s="437" t="n"/>
      <c r="CN99" s="437" t="n"/>
      <c r="CO99" s="437" t="n"/>
      <c r="CP99" s="437" t="n"/>
      <c r="CQ99" s="437" t="n"/>
      <c r="CR99" s="437" t="n"/>
      <c r="CS99" s="437" t="n"/>
      <c r="CT99" s="437" t="n"/>
      <c r="CU99" s="437" t="n"/>
      <c r="CV99" s="437" t="n"/>
      <c r="CW99" s="437" t="n"/>
      <c r="CX99" s="437" t="n"/>
      <c r="CY99" s="437" t="n"/>
      <c r="CZ99" s="437" t="n"/>
      <c r="DA99" s="437" t="n"/>
      <c r="DB99" s="437" t="n"/>
      <c r="DC99" s="437" t="n"/>
      <c r="DD99" s="437" t="n"/>
      <c r="DE99" s="437" t="n"/>
      <c r="DF99" s="437" t="n"/>
      <c r="DG99" s="437" t="n"/>
      <c r="DH99" s="437" t="n"/>
      <c r="DI99" s="437" t="n"/>
      <c r="DJ99" s="437" t="n"/>
      <c r="DK99" s="437" t="n"/>
      <c r="DL99" s="437" t="n"/>
      <c r="DM99" s="437" t="n"/>
      <c r="DN99" s="437" t="n"/>
      <c r="DO99" s="437" t="n"/>
      <c r="DP99" s="437" t="n"/>
      <c r="DQ99" s="437" t="n"/>
      <c r="DR99" s="437" t="n"/>
      <c r="DS99" s="437" t="n"/>
      <c r="DT99" s="437" t="n"/>
      <c r="DU99" s="437" t="n"/>
      <c r="DV99" s="437" t="n"/>
      <c r="DW99" s="437" t="n"/>
      <c r="DX99" s="437" t="n"/>
      <c r="DY99" s="238" t="n"/>
      <c r="DZ99" s="23" t="n"/>
      <c r="FQ99" s="212" t="n"/>
      <c r="FR99" s="212" t="n"/>
      <c r="FS99" s="212" t="n"/>
      <c r="FT99" s="212" t="n"/>
      <c r="FU99" s="212" t="n"/>
      <c r="FV99" s="212" t="n"/>
      <c r="FW99" s="212" t="n"/>
      <c r="FX99" s="212" t="n"/>
      <c r="FY99" s="212" t="n"/>
      <c r="FZ99" s="212" t="n"/>
    </row>
    <row r="100" ht="39.95" customFormat="1" customHeight="1" s="5">
      <c r="A100" s="10" t="inlineStr">
        <is>
          <t>A</t>
        </is>
      </c>
      <c r="B100" s="6" t="n"/>
      <c r="C100" s="415" t="inlineStr">
        <is>
          <t>LOWEST</t>
        </is>
      </c>
      <c r="D100" s="613">
        <f>MIN(Thickness!D100:D102)</f>
        <v/>
      </c>
      <c r="E100" s="614">
        <f>MIN(Thickness!E100:E102)</f>
        <v/>
      </c>
      <c r="F100" s="614">
        <f>MIN(Thickness!F100:F102)</f>
        <v/>
      </c>
      <c r="G100" s="614">
        <f>MIN(Thickness!G100:G102)</f>
        <v/>
      </c>
      <c r="H100" s="615">
        <f>MIN(Thickness!H100:H102)</f>
        <v/>
      </c>
      <c r="I100" s="616">
        <f>MIN(Thickness!I100:I102)</f>
        <v/>
      </c>
      <c r="J100" s="614">
        <f>MIN(Thickness!J100:J102)</f>
        <v/>
      </c>
      <c r="K100" s="614">
        <f>MIN(Thickness!K100:K102)</f>
        <v/>
      </c>
      <c r="L100" s="614">
        <f>MIN(Thickness!L100:L102)</f>
        <v/>
      </c>
      <c r="M100" s="615">
        <f>MIN(Thickness!M100:M102)</f>
        <v/>
      </c>
      <c r="N100" s="616">
        <f>MIN(Thickness!N100:N102)</f>
        <v/>
      </c>
      <c r="O100" s="614">
        <f>MIN(Thickness!O100:O102)</f>
        <v/>
      </c>
      <c r="P100" s="614">
        <f>MIN(Thickness!P100:P102)</f>
        <v/>
      </c>
      <c r="Q100" s="614">
        <f>MIN(Thickness!Q100:Q102)</f>
        <v/>
      </c>
      <c r="R100" s="615">
        <f>MIN(Thickness!R100:R102)</f>
        <v/>
      </c>
      <c r="S100" s="616">
        <f>MIN(Thickness!S100:S102)</f>
        <v/>
      </c>
      <c r="T100" s="614">
        <f>MIN(Thickness!T100:T102)</f>
        <v/>
      </c>
      <c r="U100" s="614">
        <f>MIN(Thickness!U100:U102)</f>
        <v/>
      </c>
      <c r="V100" s="614">
        <f>MIN(Thickness!V100:V102)</f>
        <v/>
      </c>
      <c r="W100" s="615">
        <f>MIN(Thickness!W100:W102)</f>
        <v/>
      </c>
      <c r="X100" s="616">
        <f>MIN(Thickness!X100:X102)</f>
        <v/>
      </c>
      <c r="Y100" s="614">
        <f>MIN(Thickness!Y100:Y102)</f>
        <v/>
      </c>
      <c r="Z100" s="614">
        <f>MIN(Thickness!Z100:Z102)</f>
        <v/>
      </c>
      <c r="AA100" s="614">
        <f>MIN(Thickness!AA100:AA102)</f>
        <v/>
      </c>
      <c r="AB100" s="615">
        <f>MIN(Thickness!AB100:AB102)</f>
        <v/>
      </c>
      <c r="AC100" s="616">
        <f>MIN(Thickness!AC100:AC102)</f>
        <v/>
      </c>
      <c r="AD100" s="614">
        <f>MIN(Thickness!AD100:AD102)</f>
        <v/>
      </c>
      <c r="AE100" s="614">
        <f>MIN(Thickness!AE100:AE102)</f>
        <v/>
      </c>
      <c r="AF100" s="614">
        <f>MIN(Thickness!AF100:AF102)</f>
        <v/>
      </c>
      <c r="AG100" s="615">
        <f>MIN(Thickness!AG100:AG102)</f>
        <v/>
      </c>
      <c r="AH100" s="616">
        <f>MIN(Thickness!AH100:AH102)</f>
        <v/>
      </c>
      <c r="AI100" s="614">
        <f>MIN(Thickness!AI100:AI102)</f>
        <v/>
      </c>
      <c r="AJ100" s="614">
        <f>MIN(Thickness!AJ100:AJ102)</f>
        <v/>
      </c>
      <c r="AK100" s="614">
        <f>MIN(Thickness!AK100:AK102)</f>
        <v/>
      </c>
      <c r="AL100" s="615">
        <f>MIN(Thickness!AL100:AL102)</f>
        <v/>
      </c>
      <c r="AM100" s="616">
        <f>MIN(Thickness!AM100:AM102)</f>
        <v/>
      </c>
      <c r="AN100" s="614">
        <f>MIN(Thickness!AN100:AN102)</f>
        <v/>
      </c>
      <c r="AO100" s="614">
        <f>MIN(Thickness!AO100:AO102)</f>
        <v/>
      </c>
      <c r="AP100" s="614">
        <f>MIN(Thickness!AP100:AP102)</f>
        <v/>
      </c>
      <c r="AQ100" s="615">
        <f>MIN(Thickness!AQ100:AQ102)</f>
        <v/>
      </c>
      <c r="AR100" s="616">
        <f>MIN(Thickness!AR100:AR102)</f>
        <v/>
      </c>
      <c r="AS100" s="614">
        <f>MIN(Thickness!AS100:AS102)</f>
        <v/>
      </c>
      <c r="AT100" s="614">
        <f>MIN(Thickness!AT100:AT102)</f>
        <v/>
      </c>
      <c r="AU100" s="614">
        <f>MIN(Thickness!AU100:AU102)</f>
        <v/>
      </c>
      <c r="AV100" s="615">
        <f>MIN(Thickness!AV100:AV102)</f>
        <v/>
      </c>
      <c r="AW100" s="616">
        <f>MIN(Thickness!AW100:AW102)</f>
        <v/>
      </c>
      <c r="AX100" s="614">
        <f>MIN(Thickness!AX100:AX102)</f>
        <v/>
      </c>
      <c r="AY100" s="614">
        <f>MIN(Thickness!AY100:AY102)</f>
        <v/>
      </c>
      <c r="AZ100" s="614">
        <f>MIN(Thickness!AZ100:AZ102)</f>
        <v/>
      </c>
      <c r="BA100" s="615">
        <f>MIN(Thickness!BA100:BA102)</f>
        <v/>
      </c>
      <c r="BB100" s="616">
        <f>MIN(Thickness!BB100:BB102)</f>
        <v/>
      </c>
      <c r="BC100" s="614">
        <f>MIN(Thickness!BC100:BC102)</f>
        <v/>
      </c>
      <c r="BD100" s="614">
        <f>MIN(Thickness!BD100:BD102)</f>
        <v/>
      </c>
      <c r="BE100" s="614">
        <f>MIN(Thickness!BE100:BE102)</f>
        <v/>
      </c>
      <c r="BF100" s="615">
        <f>MIN(Thickness!BF100:BF102)</f>
        <v/>
      </c>
      <c r="BG100" s="616">
        <f>MIN(Thickness!BG100:BG102)</f>
        <v/>
      </c>
      <c r="BH100" s="614">
        <f>MIN(Thickness!BH100:BH102)</f>
        <v/>
      </c>
      <c r="BI100" s="614">
        <f>MIN(Thickness!BI100:BI102)</f>
        <v/>
      </c>
      <c r="BJ100" s="614">
        <f>MIN(Thickness!BJ100:BJ102)</f>
        <v/>
      </c>
      <c r="BK100" s="615">
        <f>MIN(Thickness!BK100:BK102)</f>
        <v/>
      </c>
      <c r="BL100" s="616">
        <f>MIN(Thickness!BL100:BL102)</f>
        <v/>
      </c>
      <c r="BM100" s="614">
        <f>MIN(Thickness!BM100:BM102)</f>
        <v/>
      </c>
      <c r="BN100" s="614">
        <f>MIN(Thickness!BN100:BN102)</f>
        <v/>
      </c>
      <c r="BO100" s="614">
        <f>MIN(Thickness!BO100:BO102)</f>
        <v/>
      </c>
      <c r="BP100" s="615">
        <f>MIN(Thickness!BP100:BP102)</f>
        <v/>
      </c>
      <c r="BQ100" s="616">
        <f>MIN(Thickness!BQ100:BQ102)</f>
        <v/>
      </c>
      <c r="BR100" s="614">
        <f>MIN(Thickness!BR100:BR102)</f>
        <v/>
      </c>
      <c r="BS100" s="614">
        <f>MIN(Thickness!BS100:BS102)</f>
        <v/>
      </c>
      <c r="BT100" s="615">
        <f>MIN(Thickness!BT100:BT102)</f>
        <v/>
      </c>
      <c r="BU100" s="454">
        <f>IFERROR(AVERAGE(D100:BT102),0)</f>
        <v/>
      </c>
      <c r="BV100" s="454">
        <f>MIN(D100:BT102)</f>
        <v/>
      </c>
      <c r="BW100" s="437" t="n"/>
      <c r="BX100" s="437" t="n"/>
      <c r="BY100" s="437" t="n"/>
      <c r="BZ100" s="437" t="n"/>
      <c r="CA100" s="437" t="n"/>
      <c r="CB100" s="437" t="n"/>
      <c r="CC100" s="437" t="n"/>
      <c r="CD100" s="437" t="n"/>
      <c r="CE100" s="437" t="n"/>
      <c r="CF100" s="437" t="n"/>
      <c r="CG100" s="437" t="n"/>
      <c r="CH100" s="437" t="n"/>
      <c r="CI100" s="437" t="n"/>
      <c r="CJ100" s="437" t="n"/>
      <c r="CK100" s="437" t="n"/>
      <c r="CL100" s="437" t="n"/>
      <c r="CM100" s="437" t="n"/>
      <c r="CN100" s="437" t="n"/>
      <c r="CO100" s="437" t="n"/>
      <c r="CP100" s="437" t="n"/>
      <c r="CQ100" s="437" t="n"/>
      <c r="CR100" s="437" t="n"/>
      <c r="CS100" s="437" t="n"/>
      <c r="CT100" s="437" t="n"/>
      <c r="CU100" s="437" t="n"/>
      <c r="CV100" s="437" t="n"/>
      <c r="CW100" s="437" t="n"/>
      <c r="CX100" s="437" t="n"/>
      <c r="CY100" s="437" t="n"/>
      <c r="CZ100" s="437" t="n"/>
      <c r="DA100" s="437" t="n"/>
      <c r="DB100" s="437" t="n"/>
      <c r="DC100" s="437" t="n"/>
      <c r="DD100" s="437" t="n"/>
      <c r="DE100" s="437" t="n"/>
      <c r="DF100" s="437" t="n"/>
      <c r="DG100" s="437" t="n"/>
      <c r="DH100" s="437" t="n"/>
      <c r="DI100" s="437" t="n"/>
      <c r="DJ100" s="437" t="n"/>
      <c r="DK100" s="437" t="n"/>
      <c r="DL100" s="437" t="n"/>
      <c r="DM100" s="437" t="n"/>
      <c r="DN100" s="437" t="n"/>
      <c r="DO100" s="437" t="n"/>
      <c r="DP100" s="437" t="n"/>
      <c r="DQ100" s="437" t="n"/>
      <c r="DR100" s="437" t="n"/>
      <c r="DS100" s="437" t="n"/>
      <c r="DT100" s="437" t="n"/>
      <c r="DU100" s="437" t="n"/>
      <c r="DV100" s="437" t="n"/>
      <c r="DW100" s="437" t="n"/>
      <c r="DX100" s="437" t="n"/>
      <c r="DY100" s="238" t="n"/>
      <c r="DZ100" s="23" t="n"/>
      <c r="FQ100" s="212" t="n"/>
      <c r="FR100" s="212" t="n"/>
      <c r="FS100" s="212" t="n"/>
      <c r="FT100" s="212" t="n"/>
      <c r="FU100" s="212" t="n"/>
      <c r="FV100" s="212" t="n"/>
      <c r="FW100" s="212" t="n"/>
      <c r="FX100" s="212" t="n"/>
      <c r="FY100" s="212" t="n"/>
      <c r="FZ100" s="212" t="n"/>
    </row>
    <row r="101" ht="39.95" customFormat="1" customHeight="1" s="5">
      <c r="A101" s="182" t="n">
        <v>0.083</v>
      </c>
      <c r="B101" s="7" t="inlineStr">
        <is>
          <t>-63 IN</t>
        </is>
      </c>
      <c r="C101" s="456" t="n"/>
      <c r="D101" s="13" t="n"/>
      <c r="H101" s="592" t="n"/>
      <c r="I101" s="593" t="n"/>
      <c r="M101" s="592" t="n"/>
      <c r="N101" s="593" t="n"/>
      <c r="R101" s="592" t="n"/>
      <c r="S101" s="593" t="n"/>
      <c r="W101" s="592" t="n"/>
      <c r="X101" s="593" t="n"/>
      <c r="AB101" s="592" t="n"/>
      <c r="AC101" s="593" t="n"/>
      <c r="AG101" s="592" t="n"/>
      <c r="AH101" s="593" t="n"/>
      <c r="AL101" s="592" t="n"/>
      <c r="AM101" s="593" t="n"/>
      <c r="AQ101" s="592" t="n"/>
      <c r="AR101" s="593" t="n"/>
      <c r="AV101" s="592" t="n"/>
      <c r="AW101" s="593" t="n"/>
      <c r="BA101" s="592" t="n"/>
      <c r="BB101" s="593" t="n"/>
      <c r="BF101" s="592" t="n"/>
      <c r="BG101" s="593" t="n"/>
      <c r="BK101" s="592" t="n"/>
      <c r="BL101" s="593" t="n"/>
      <c r="BP101" s="592" t="n"/>
      <c r="BQ101" s="593" t="n"/>
      <c r="BT101" s="592" t="n"/>
      <c r="BU101" s="455" t="n"/>
      <c r="BV101" s="455" t="n"/>
      <c r="BW101" s="437" t="n"/>
      <c r="BX101" s="437" t="n"/>
      <c r="BY101" s="437" t="n"/>
      <c r="BZ101" s="437" t="n"/>
      <c r="CA101" s="437" t="n"/>
      <c r="CB101" s="437" t="n"/>
      <c r="CC101" s="437" t="n"/>
      <c r="CD101" s="437" t="n"/>
      <c r="CE101" s="437" t="n"/>
      <c r="CF101" s="437" t="n"/>
      <c r="CG101" s="437" t="n"/>
      <c r="CH101" s="437" t="n"/>
      <c r="CI101" s="437" t="n"/>
      <c r="CJ101" s="437" t="n"/>
      <c r="CK101" s="437" t="n"/>
      <c r="CL101" s="437" t="n"/>
      <c r="CM101" s="437" t="n"/>
      <c r="CN101" s="437" t="n"/>
      <c r="CO101" s="437" t="n"/>
      <c r="CP101" s="437" t="n"/>
      <c r="CQ101" s="437" t="n"/>
      <c r="CR101" s="437" t="n"/>
      <c r="CS101" s="437" t="n"/>
      <c r="CT101" s="437" t="n"/>
      <c r="CU101" s="437" t="n"/>
      <c r="CV101" s="437" t="n"/>
      <c r="CW101" s="437" t="n"/>
      <c r="CX101" s="437" t="n"/>
      <c r="CY101" s="437" t="n"/>
      <c r="CZ101" s="437" t="n"/>
      <c r="DA101" s="437" t="n"/>
      <c r="DB101" s="437" t="n"/>
      <c r="DC101" s="437" t="n"/>
      <c r="DD101" s="437" t="n"/>
      <c r="DE101" s="437" t="n"/>
      <c r="DF101" s="437" t="n"/>
      <c r="DG101" s="437" t="n"/>
      <c r="DH101" s="437" t="n"/>
      <c r="DI101" s="437" t="n"/>
      <c r="DJ101" s="437" t="n"/>
      <c r="DK101" s="437" t="n"/>
      <c r="DL101" s="437" t="n"/>
      <c r="DM101" s="437" t="n"/>
      <c r="DN101" s="437" t="n"/>
      <c r="DO101" s="437" t="n"/>
      <c r="DP101" s="437" t="n"/>
      <c r="DQ101" s="437" t="n"/>
      <c r="DR101" s="437" t="n"/>
      <c r="DS101" s="437" t="n"/>
      <c r="DT101" s="437" t="n"/>
      <c r="DU101" s="437" t="n"/>
      <c r="DV101" s="437" t="n"/>
      <c r="DW101" s="437" t="n"/>
      <c r="DX101" s="437" t="n"/>
      <c r="DY101" s="238" t="n"/>
      <c r="DZ101" s="23" t="n"/>
      <c r="FQ101" s="212" t="n"/>
      <c r="FR101" s="212" t="n"/>
      <c r="FS101" s="212" t="n"/>
      <c r="FT101" s="212" t="n"/>
      <c r="FU101" s="212" t="n"/>
      <c r="FV101" s="212" t="n"/>
      <c r="FW101" s="212" t="n"/>
      <c r="FX101" s="212" t="n"/>
      <c r="FY101" s="212" t="n"/>
      <c r="FZ101" s="212" t="n"/>
    </row>
    <row r="102" ht="39.95" customFormat="1" customHeight="1" s="5">
      <c r="A102" s="456" t="n"/>
      <c r="B102" s="8" t="n"/>
      <c r="C102" s="456" t="n"/>
      <c r="D102" s="594" t="n"/>
      <c r="E102" s="595" t="n"/>
      <c r="F102" s="595" t="n"/>
      <c r="G102" s="595" t="n"/>
      <c r="H102" s="596" t="n"/>
      <c r="I102" s="597" t="n"/>
      <c r="J102" s="595" t="n"/>
      <c r="K102" s="595" t="n"/>
      <c r="L102" s="595" t="n"/>
      <c r="M102" s="596" t="n"/>
      <c r="N102" s="597" t="n"/>
      <c r="O102" s="595" t="n"/>
      <c r="P102" s="595" t="n"/>
      <c r="Q102" s="595" t="n"/>
      <c r="R102" s="596" t="n"/>
      <c r="S102" s="597" t="n"/>
      <c r="T102" s="595" t="n"/>
      <c r="U102" s="595" t="n"/>
      <c r="V102" s="595" t="n"/>
      <c r="W102" s="596" t="n"/>
      <c r="X102" s="597" t="n"/>
      <c r="Y102" s="595" t="n"/>
      <c r="Z102" s="595" t="n"/>
      <c r="AA102" s="595" t="n"/>
      <c r="AB102" s="596" t="n"/>
      <c r="AC102" s="597" t="n"/>
      <c r="AD102" s="595" t="n"/>
      <c r="AE102" s="595" t="n"/>
      <c r="AF102" s="595" t="n"/>
      <c r="AG102" s="596" t="n"/>
      <c r="AH102" s="597" t="n"/>
      <c r="AI102" s="595" t="n"/>
      <c r="AJ102" s="595" t="n"/>
      <c r="AK102" s="595" t="n"/>
      <c r="AL102" s="596" t="n"/>
      <c r="AM102" s="597" t="n"/>
      <c r="AN102" s="595" t="n"/>
      <c r="AO102" s="595" t="n"/>
      <c r="AP102" s="595" t="n"/>
      <c r="AQ102" s="596" t="n"/>
      <c r="AR102" s="597" t="n"/>
      <c r="AS102" s="595" t="n"/>
      <c r="AT102" s="595" t="n"/>
      <c r="AU102" s="595" t="n"/>
      <c r="AV102" s="596" t="n"/>
      <c r="AW102" s="597" t="n"/>
      <c r="AX102" s="595" t="n"/>
      <c r="AY102" s="595" t="n"/>
      <c r="AZ102" s="595" t="n"/>
      <c r="BA102" s="596" t="n"/>
      <c r="BB102" s="597" t="n"/>
      <c r="BC102" s="595" t="n"/>
      <c r="BD102" s="595" t="n"/>
      <c r="BE102" s="595" t="n"/>
      <c r="BF102" s="596" t="n"/>
      <c r="BG102" s="597" t="n"/>
      <c r="BH102" s="595" t="n"/>
      <c r="BI102" s="595" t="n"/>
      <c r="BJ102" s="595" t="n"/>
      <c r="BK102" s="596" t="n"/>
      <c r="BL102" s="597" t="n"/>
      <c r="BM102" s="595" t="n"/>
      <c r="BN102" s="595" t="n"/>
      <c r="BO102" s="595" t="n"/>
      <c r="BP102" s="596" t="n"/>
      <c r="BQ102" s="597" t="n"/>
      <c r="BR102" s="595" t="n"/>
      <c r="BS102" s="595" t="n"/>
      <c r="BT102" s="596" t="n"/>
      <c r="BU102" s="457" t="n"/>
      <c r="BV102" s="457" t="n"/>
      <c r="BW102" s="437" t="n"/>
      <c r="BX102" s="437" t="n"/>
      <c r="BY102" s="437" t="n"/>
      <c r="BZ102" s="437" t="n"/>
      <c r="CA102" s="437" t="n"/>
      <c r="CB102" s="437" t="n"/>
      <c r="CC102" s="437" t="n"/>
      <c r="CD102" s="437" t="n"/>
      <c r="CE102" s="437" t="n"/>
      <c r="CF102" s="437" t="n"/>
      <c r="CG102" s="437" t="n"/>
      <c r="CH102" s="437" t="n"/>
      <c r="CI102" s="437" t="n"/>
      <c r="CJ102" s="437" t="n"/>
      <c r="CK102" s="437" t="n"/>
      <c r="CL102" s="437" t="n"/>
      <c r="CM102" s="437" t="n"/>
      <c r="CN102" s="437" t="n"/>
      <c r="CO102" s="437" t="n"/>
      <c r="CP102" s="437" t="n"/>
      <c r="CQ102" s="437" t="n"/>
      <c r="CR102" s="437" t="n"/>
      <c r="CS102" s="437" t="n"/>
      <c r="CT102" s="437" t="n"/>
      <c r="CU102" s="437" t="n"/>
      <c r="CV102" s="437" t="n"/>
      <c r="CW102" s="437" t="n"/>
      <c r="CX102" s="437" t="n"/>
      <c r="CY102" s="437" t="n"/>
      <c r="CZ102" s="437" t="n"/>
      <c r="DA102" s="437" t="n"/>
      <c r="DB102" s="437" t="n"/>
      <c r="DC102" s="437" t="n"/>
      <c r="DD102" s="437" t="n"/>
      <c r="DE102" s="437" t="n"/>
      <c r="DF102" s="437" t="n"/>
      <c r="DG102" s="437" t="n"/>
      <c r="DH102" s="437" t="n"/>
      <c r="DI102" s="437" t="n"/>
      <c r="DJ102" s="437" t="n"/>
      <c r="DK102" s="437" t="n"/>
      <c r="DL102" s="437" t="n"/>
      <c r="DM102" s="437" t="n"/>
      <c r="DN102" s="437" t="n"/>
      <c r="DO102" s="437" t="n"/>
      <c r="DP102" s="437" t="n"/>
      <c r="DQ102" s="437" t="n"/>
      <c r="DR102" s="437" t="n"/>
      <c r="DS102" s="437" t="n"/>
      <c r="DT102" s="437" t="n"/>
      <c r="DU102" s="437" t="n"/>
      <c r="DV102" s="437" t="n"/>
      <c r="DW102" s="437" t="n"/>
      <c r="DX102" s="437" t="n"/>
      <c r="DY102" s="238" t="n"/>
      <c r="DZ102" s="23" t="n"/>
      <c r="FQ102" s="212" t="n"/>
      <c r="FR102" s="212" t="n"/>
      <c r="FS102" s="212" t="n"/>
      <c r="FT102" s="212" t="n"/>
      <c r="FU102" s="212" t="n"/>
      <c r="FV102" s="212" t="n"/>
      <c r="FW102" s="212" t="n"/>
      <c r="FX102" s="212" t="n"/>
      <c r="FY102" s="212" t="n"/>
      <c r="FZ102" s="212" t="n"/>
    </row>
    <row r="103" ht="39.95" customFormat="1" customHeight="1" s="5">
      <c r="A103" s="10" t="inlineStr">
        <is>
          <t>A</t>
        </is>
      </c>
      <c r="B103" s="6" t="n"/>
      <c r="C103" s="415" t="inlineStr">
        <is>
          <t>LOWEST</t>
        </is>
      </c>
      <c r="D103" s="613">
        <f>MIN(Thickness!D103:D105)</f>
        <v/>
      </c>
      <c r="E103" s="614">
        <f>MIN(Thickness!E103:E105)</f>
        <v/>
      </c>
      <c r="F103" s="614">
        <f>MIN(Thickness!F103:F105)</f>
        <v/>
      </c>
      <c r="G103" s="614">
        <f>MIN(Thickness!G103:G105)</f>
        <v/>
      </c>
      <c r="H103" s="615">
        <f>MIN(Thickness!H103:H105)</f>
        <v/>
      </c>
      <c r="I103" s="616">
        <f>MIN(Thickness!I103:I105)</f>
        <v/>
      </c>
      <c r="J103" s="614">
        <f>MIN(Thickness!J103:J105)</f>
        <v/>
      </c>
      <c r="K103" s="614">
        <f>MIN(Thickness!K103:K105)</f>
        <v/>
      </c>
      <c r="L103" s="614">
        <f>MIN(Thickness!L103:L105)</f>
        <v/>
      </c>
      <c r="M103" s="615">
        <f>MIN(Thickness!M103:M105)</f>
        <v/>
      </c>
      <c r="N103" s="616">
        <f>MIN(Thickness!N103:N105)</f>
        <v/>
      </c>
      <c r="O103" s="614">
        <f>MIN(Thickness!O103:O105)</f>
        <v/>
      </c>
      <c r="P103" s="614">
        <f>MIN(Thickness!P103:P105)</f>
        <v/>
      </c>
      <c r="Q103" s="614">
        <f>MIN(Thickness!Q103:Q105)</f>
        <v/>
      </c>
      <c r="R103" s="615">
        <f>MIN(Thickness!R103:R105)</f>
        <v/>
      </c>
      <c r="S103" s="616">
        <f>MIN(Thickness!S103:S105)</f>
        <v/>
      </c>
      <c r="T103" s="614">
        <f>MIN(Thickness!T103:T105)</f>
        <v/>
      </c>
      <c r="U103" s="614">
        <f>MIN(Thickness!U103:U105)</f>
        <v/>
      </c>
      <c r="V103" s="614">
        <f>MIN(Thickness!V103:V105)</f>
        <v/>
      </c>
      <c r="W103" s="615">
        <f>MIN(Thickness!W103:W105)</f>
        <v/>
      </c>
      <c r="X103" s="616">
        <f>MIN(Thickness!X103:X105)</f>
        <v/>
      </c>
      <c r="Y103" s="614">
        <f>MIN(Thickness!Y103:Y105)</f>
        <v/>
      </c>
      <c r="Z103" s="614">
        <f>MIN(Thickness!Z103:Z105)</f>
        <v/>
      </c>
      <c r="AA103" s="614">
        <f>MIN(Thickness!AA103:AA105)</f>
        <v/>
      </c>
      <c r="AB103" s="615">
        <f>MIN(Thickness!AB103:AB105)</f>
        <v/>
      </c>
      <c r="AC103" s="616">
        <f>MIN(Thickness!AC103:AC105)</f>
        <v/>
      </c>
      <c r="AD103" s="614">
        <f>MIN(Thickness!AD103:AD105)</f>
        <v/>
      </c>
      <c r="AE103" s="614">
        <f>MIN(Thickness!AE103:AE105)</f>
        <v/>
      </c>
      <c r="AF103" s="614">
        <f>MIN(Thickness!AF103:AF105)</f>
        <v/>
      </c>
      <c r="AG103" s="615">
        <f>MIN(Thickness!AG103:AG105)</f>
        <v/>
      </c>
      <c r="AH103" s="616">
        <f>MIN(Thickness!AH103:AH105)</f>
        <v/>
      </c>
      <c r="AI103" s="614">
        <f>MIN(Thickness!AI103:AI105)</f>
        <v/>
      </c>
      <c r="AJ103" s="614">
        <f>MIN(Thickness!AJ103:AJ105)</f>
        <v/>
      </c>
      <c r="AK103" s="614">
        <f>MIN(Thickness!AK103:AK105)</f>
        <v/>
      </c>
      <c r="AL103" s="615">
        <f>MIN(Thickness!AL103:AL105)</f>
        <v/>
      </c>
      <c r="AM103" s="616">
        <f>MIN(Thickness!AM103:AM105)</f>
        <v/>
      </c>
      <c r="AN103" s="614">
        <f>MIN(Thickness!AN103:AN105)</f>
        <v/>
      </c>
      <c r="AO103" s="614">
        <f>MIN(Thickness!AO103:AO105)</f>
        <v/>
      </c>
      <c r="AP103" s="614">
        <f>MIN(Thickness!AP103:AP105)</f>
        <v/>
      </c>
      <c r="AQ103" s="615">
        <f>MIN(Thickness!AQ103:AQ105)</f>
        <v/>
      </c>
      <c r="AR103" s="616">
        <f>MIN(Thickness!AR103:AR105)</f>
        <v/>
      </c>
      <c r="AS103" s="614">
        <f>MIN(Thickness!AS103:AS105)</f>
        <v/>
      </c>
      <c r="AT103" s="614">
        <f>MIN(Thickness!AT103:AT105)</f>
        <v/>
      </c>
      <c r="AU103" s="614">
        <f>MIN(Thickness!AU103:AU105)</f>
        <v/>
      </c>
      <c r="AV103" s="615">
        <f>MIN(Thickness!AV103:AV105)</f>
        <v/>
      </c>
      <c r="AW103" s="616">
        <f>MIN(Thickness!AW103:AW105)</f>
        <v/>
      </c>
      <c r="AX103" s="614">
        <f>MIN(Thickness!AX103:AX105)</f>
        <v/>
      </c>
      <c r="AY103" s="614">
        <f>MIN(Thickness!AY103:AY105)</f>
        <v/>
      </c>
      <c r="AZ103" s="614">
        <f>MIN(Thickness!AZ103:AZ105)</f>
        <v/>
      </c>
      <c r="BA103" s="615">
        <f>MIN(Thickness!BA103:BA105)</f>
        <v/>
      </c>
      <c r="BB103" s="616">
        <f>MIN(Thickness!BB103:BB105)</f>
        <v/>
      </c>
      <c r="BC103" s="614">
        <f>MIN(Thickness!BC103:BC105)</f>
        <v/>
      </c>
      <c r="BD103" s="614">
        <f>MIN(Thickness!BD103:BD105)</f>
        <v/>
      </c>
      <c r="BE103" s="614">
        <f>MIN(Thickness!BE103:BE105)</f>
        <v/>
      </c>
      <c r="BF103" s="615">
        <f>MIN(Thickness!BF103:BF105)</f>
        <v/>
      </c>
      <c r="BG103" s="616">
        <f>MIN(Thickness!BG103:BG105)</f>
        <v/>
      </c>
      <c r="BH103" s="614">
        <f>MIN(Thickness!BH103:BH105)</f>
        <v/>
      </c>
      <c r="BI103" s="614">
        <f>MIN(Thickness!BI103:BI105)</f>
        <v/>
      </c>
      <c r="BJ103" s="614">
        <f>MIN(Thickness!BJ103:BJ105)</f>
        <v/>
      </c>
      <c r="BK103" s="615">
        <f>MIN(Thickness!BK103:BK105)</f>
        <v/>
      </c>
      <c r="BL103" s="616">
        <f>MIN(Thickness!BL103:BL105)</f>
        <v/>
      </c>
      <c r="BM103" s="614">
        <f>MIN(Thickness!BM103:BM105)</f>
        <v/>
      </c>
      <c r="BN103" s="614">
        <f>MIN(Thickness!BN103:BN105)</f>
        <v/>
      </c>
      <c r="BO103" s="614">
        <f>MIN(Thickness!BO103:BO105)</f>
        <v/>
      </c>
      <c r="BP103" s="615">
        <f>MIN(Thickness!BP103:BP105)</f>
        <v/>
      </c>
      <c r="BQ103" s="616">
        <f>MIN(Thickness!BQ103:BQ105)</f>
        <v/>
      </c>
      <c r="BR103" s="614">
        <f>MIN(Thickness!BR103:BR105)</f>
        <v/>
      </c>
      <c r="BS103" s="614">
        <f>MIN(Thickness!BS103:BS105)</f>
        <v/>
      </c>
      <c r="BT103" s="615">
        <f>MIN(Thickness!BT103:BT105)</f>
        <v/>
      </c>
      <c r="BU103" s="454">
        <f>IFERROR(AVERAGE(D103:BT105),0)</f>
        <v/>
      </c>
      <c r="BV103" s="454">
        <f>MIN(D103:BT105)</f>
        <v/>
      </c>
      <c r="BW103" s="437" t="n"/>
      <c r="BX103" s="437" t="n"/>
      <c r="BY103" s="437" t="n"/>
      <c r="BZ103" s="437" t="n"/>
      <c r="CA103" s="437" t="n"/>
      <c r="CB103" s="437" t="n"/>
      <c r="CC103" s="437" t="n"/>
      <c r="CD103" s="437" t="n"/>
      <c r="CE103" s="437" t="n"/>
      <c r="CF103" s="437" t="n"/>
      <c r="CG103" s="437" t="n"/>
      <c r="CH103" s="437" t="n"/>
      <c r="CI103" s="437" t="n"/>
      <c r="CJ103" s="437" t="n"/>
      <c r="CK103" s="437" t="n"/>
      <c r="CL103" s="437" t="n"/>
      <c r="CM103" s="437" t="n"/>
      <c r="CN103" s="437" t="n"/>
      <c r="CO103" s="437" t="n"/>
      <c r="CP103" s="437" t="n"/>
      <c r="CQ103" s="437" t="n"/>
      <c r="CR103" s="437" t="n"/>
      <c r="CS103" s="437" t="n"/>
      <c r="CT103" s="437" t="n"/>
      <c r="CU103" s="437" t="n"/>
      <c r="CV103" s="437" t="n"/>
      <c r="CW103" s="437" t="n"/>
      <c r="CX103" s="437" t="n"/>
      <c r="CY103" s="437" t="n"/>
      <c r="CZ103" s="437" t="n"/>
      <c r="DA103" s="437" t="n"/>
      <c r="DB103" s="437" t="n"/>
      <c r="DC103" s="437" t="n"/>
      <c r="DD103" s="437" t="n"/>
      <c r="DE103" s="437" t="n"/>
      <c r="DF103" s="437" t="n"/>
      <c r="DG103" s="437" t="n"/>
      <c r="DH103" s="437" t="n"/>
      <c r="DI103" s="437" t="n"/>
      <c r="DJ103" s="437" t="n"/>
      <c r="DK103" s="437" t="n"/>
      <c r="DL103" s="437" t="n"/>
      <c r="DM103" s="437" t="n"/>
      <c r="DN103" s="437" t="n"/>
      <c r="DO103" s="437" t="n"/>
      <c r="DP103" s="437" t="n"/>
      <c r="DQ103" s="437" t="n"/>
      <c r="DR103" s="437" t="n"/>
      <c r="DS103" s="437" t="n"/>
      <c r="DT103" s="437" t="n"/>
      <c r="DU103" s="437" t="n"/>
      <c r="DV103" s="437" t="n"/>
      <c r="DW103" s="437" t="n"/>
      <c r="DX103" s="437" t="n"/>
      <c r="DY103" s="238" t="n"/>
      <c r="DZ103" s="23" t="n"/>
      <c r="FQ103" s="212" t="n"/>
      <c r="FR103" s="212" t="n"/>
      <c r="FS103" s="212" t="n"/>
      <c r="FT103" s="212" t="n"/>
      <c r="FU103" s="212" t="n"/>
      <c r="FV103" s="212" t="n"/>
      <c r="FW103" s="212" t="n"/>
      <c r="FX103" s="212" t="n"/>
      <c r="FY103" s="212" t="n"/>
      <c r="FZ103" s="212" t="n"/>
    </row>
    <row r="104" ht="39.95" customFormat="1" customHeight="1" s="5">
      <c r="A104" s="182" t="n">
        <v>0.083</v>
      </c>
      <c r="B104" s="7" t="inlineStr">
        <is>
          <t>-72 IN</t>
        </is>
      </c>
      <c r="C104" s="456" t="n"/>
      <c r="D104" s="13" t="n"/>
      <c r="H104" s="592" t="n"/>
      <c r="I104" s="593" t="n"/>
      <c r="M104" s="592" t="n"/>
      <c r="N104" s="593" t="n"/>
      <c r="R104" s="592" t="n"/>
      <c r="S104" s="593" t="n"/>
      <c r="W104" s="592" t="n"/>
      <c r="X104" s="593" t="n"/>
      <c r="AB104" s="592" t="n"/>
      <c r="AC104" s="593" t="n"/>
      <c r="AG104" s="592" t="n"/>
      <c r="AH104" s="593" t="n"/>
      <c r="AL104" s="592" t="n"/>
      <c r="AM104" s="593" t="n"/>
      <c r="AQ104" s="592" t="n"/>
      <c r="AR104" s="593" t="n"/>
      <c r="AV104" s="592" t="n"/>
      <c r="AW104" s="593" t="n"/>
      <c r="BA104" s="592" t="n"/>
      <c r="BB104" s="593" t="n"/>
      <c r="BF104" s="592" t="n"/>
      <c r="BG104" s="593" t="n"/>
      <c r="BK104" s="592" t="n"/>
      <c r="BL104" s="593" t="n"/>
      <c r="BP104" s="592" t="n"/>
      <c r="BQ104" s="593" t="n"/>
      <c r="BT104" s="592" t="n"/>
      <c r="BU104" s="455" t="n"/>
      <c r="BV104" s="455" t="n"/>
      <c r="BW104" s="437" t="n"/>
      <c r="BX104" s="437" t="n"/>
      <c r="BY104" s="437" t="n"/>
      <c r="BZ104" s="437" t="n"/>
      <c r="CA104" s="437" t="n"/>
      <c r="CB104" s="437" t="n"/>
      <c r="CC104" s="437" t="n"/>
      <c r="CD104" s="437" t="n"/>
      <c r="CE104" s="437" t="n"/>
      <c r="CF104" s="437" t="n"/>
      <c r="CG104" s="437" t="n"/>
      <c r="CH104" s="437" t="n"/>
      <c r="CI104" s="437" t="n"/>
      <c r="CJ104" s="437" t="n"/>
      <c r="CK104" s="437" t="n"/>
      <c r="CL104" s="437" t="n"/>
      <c r="CM104" s="437" t="n"/>
      <c r="CN104" s="437" t="n"/>
      <c r="CO104" s="437" t="n"/>
      <c r="CP104" s="437" t="n"/>
      <c r="CQ104" s="437" t="n"/>
      <c r="CR104" s="437" t="n"/>
      <c r="CS104" s="437" t="n"/>
      <c r="CT104" s="437" t="n"/>
      <c r="CU104" s="437" t="n"/>
      <c r="CV104" s="437" t="n"/>
      <c r="CW104" s="437" t="n"/>
      <c r="CX104" s="437" t="n"/>
      <c r="CY104" s="437" t="n"/>
      <c r="CZ104" s="437" t="n"/>
      <c r="DA104" s="437" t="n"/>
      <c r="DB104" s="437" t="n"/>
      <c r="DC104" s="437" t="n"/>
      <c r="DD104" s="437" t="n"/>
      <c r="DE104" s="437" t="n"/>
      <c r="DF104" s="437" t="n"/>
      <c r="DG104" s="437" t="n"/>
      <c r="DH104" s="437" t="n"/>
      <c r="DI104" s="437" t="n"/>
      <c r="DJ104" s="437" t="n"/>
      <c r="DK104" s="437" t="n"/>
      <c r="DL104" s="437" t="n"/>
      <c r="DM104" s="437" t="n"/>
      <c r="DN104" s="437" t="n"/>
      <c r="DO104" s="437" t="n"/>
      <c r="DP104" s="437" t="n"/>
      <c r="DQ104" s="437" t="n"/>
      <c r="DR104" s="437" t="n"/>
      <c r="DS104" s="437" t="n"/>
      <c r="DT104" s="437" t="n"/>
      <c r="DU104" s="437" t="n"/>
      <c r="DV104" s="437" t="n"/>
      <c r="DW104" s="437" t="n"/>
      <c r="DX104" s="437" t="n"/>
      <c r="DY104" s="238" t="n"/>
      <c r="DZ104" s="23" t="n"/>
      <c r="FQ104" s="212" t="n"/>
      <c r="FR104" s="212" t="n"/>
      <c r="FS104" s="212" t="n"/>
      <c r="FT104" s="212" t="n"/>
      <c r="FU104" s="212" t="n"/>
      <c r="FV104" s="212" t="n"/>
      <c r="FW104" s="212" t="n"/>
      <c r="FX104" s="212" t="n"/>
      <c r="FY104" s="212" t="n"/>
      <c r="FZ104" s="212" t="n"/>
    </row>
    <row r="105" ht="39.95" customFormat="1" customHeight="1" s="5">
      <c r="A105" s="456" t="n"/>
      <c r="B105" s="8" t="n"/>
      <c r="C105" s="456" t="n"/>
      <c r="D105" s="594" t="n"/>
      <c r="E105" s="595" t="n"/>
      <c r="F105" s="595" t="n"/>
      <c r="G105" s="595" t="n"/>
      <c r="H105" s="596" t="n"/>
      <c r="I105" s="597" t="n"/>
      <c r="J105" s="595" t="n"/>
      <c r="K105" s="595" t="n"/>
      <c r="L105" s="595" t="n"/>
      <c r="M105" s="596" t="n"/>
      <c r="N105" s="597" t="n"/>
      <c r="O105" s="595" t="n"/>
      <c r="P105" s="595" t="n"/>
      <c r="Q105" s="595" t="n"/>
      <c r="R105" s="596" t="n"/>
      <c r="S105" s="597" t="n"/>
      <c r="T105" s="595" t="n"/>
      <c r="U105" s="595" t="n"/>
      <c r="V105" s="595" t="n"/>
      <c r="W105" s="596" t="n"/>
      <c r="X105" s="597" t="n"/>
      <c r="Y105" s="595" t="n"/>
      <c r="Z105" s="595" t="n"/>
      <c r="AA105" s="595" t="n"/>
      <c r="AB105" s="596" t="n"/>
      <c r="AC105" s="597" t="n"/>
      <c r="AD105" s="595" t="n"/>
      <c r="AE105" s="595" t="n"/>
      <c r="AF105" s="595" t="n"/>
      <c r="AG105" s="596" t="n"/>
      <c r="AH105" s="597" t="n"/>
      <c r="AI105" s="595" t="n"/>
      <c r="AJ105" s="595" t="n"/>
      <c r="AK105" s="595" t="n"/>
      <c r="AL105" s="596" t="n"/>
      <c r="AM105" s="597" t="n"/>
      <c r="AN105" s="595" t="n"/>
      <c r="AO105" s="595" t="n"/>
      <c r="AP105" s="595" t="n"/>
      <c r="AQ105" s="596" t="n"/>
      <c r="AR105" s="597" t="n"/>
      <c r="AS105" s="595" t="n"/>
      <c r="AT105" s="595" t="n"/>
      <c r="AU105" s="595" t="n"/>
      <c r="AV105" s="596" t="n"/>
      <c r="AW105" s="597" t="n"/>
      <c r="AX105" s="595" t="n"/>
      <c r="AY105" s="595" t="n"/>
      <c r="AZ105" s="595" t="n"/>
      <c r="BA105" s="596" t="n"/>
      <c r="BB105" s="597" t="n"/>
      <c r="BC105" s="595" t="n"/>
      <c r="BD105" s="595" t="n"/>
      <c r="BE105" s="595" t="n"/>
      <c r="BF105" s="596" t="n"/>
      <c r="BG105" s="597" t="n"/>
      <c r="BH105" s="595" t="n"/>
      <c r="BI105" s="595" t="n"/>
      <c r="BJ105" s="595" t="n"/>
      <c r="BK105" s="596" t="n"/>
      <c r="BL105" s="597" t="n"/>
      <c r="BM105" s="595" t="n"/>
      <c r="BN105" s="595" t="n"/>
      <c r="BO105" s="595" t="n"/>
      <c r="BP105" s="596" t="n"/>
      <c r="BQ105" s="597" t="n"/>
      <c r="BR105" s="595" t="n"/>
      <c r="BS105" s="595" t="n"/>
      <c r="BT105" s="596" t="n"/>
      <c r="BU105" s="457" t="n"/>
      <c r="BV105" s="457" t="n"/>
      <c r="BW105" s="437" t="n"/>
      <c r="BX105" s="437" t="n"/>
      <c r="BY105" s="437" t="n"/>
      <c r="BZ105" s="437" t="n"/>
      <c r="CA105" s="437" t="n"/>
      <c r="CB105" s="437" t="n"/>
      <c r="CC105" s="437" t="n"/>
      <c r="CD105" s="437" t="n"/>
      <c r="CE105" s="437" t="n"/>
      <c r="CF105" s="437" t="n"/>
      <c r="CG105" s="437" t="n"/>
      <c r="CH105" s="437" t="n"/>
      <c r="CI105" s="437" t="n"/>
      <c r="CJ105" s="437" t="n"/>
      <c r="CK105" s="437" t="n"/>
      <c r="CL105" s="437" t="n"/>
      <c r="CM105" s="437" t="n"/>
      <c r="CN105" s="437" t="n"/>
      <c r="CO105" s="437" t="n"/>
      <c r="CP105" s="437" t="n"/>
      <c r="CQ105" s="437" t="n"/>
      <c r="CR105" s="437" t="n"/>
      <c r="CS105" s="437" t="n"/>
      <c r="CT105" s="437" t="n"/>
      <c r="CU105" s="437" t="n"/>
      <c r="CV105" s="437" t="n"/>
      <c r="CW105" s="437" t="n"/>
      <c r="CX105" s="437" t="n"/>
      <c r="CY105" s="437" t="n"/>
      <c r="CZ105" s="437" t="n"/>
      <c r="DA105" s="437" t="n"/>
      <c r="DB105" s="437" t="n"/>
      <c r="DC105" s="437" t="n"/>
      <c r="DD105" s="437" t="n"/>
      <c r="DE105" s="437" t="n"/>
      <c r="DF105" s="437" t="n"/>
      <c r="DG105" s="437" t="n"/>
      <c r="DH105" s="437" t="n"/>
      <c r="DI105" s="437" t="n"/>
      <c r="DJ105" s="437" t="n"/>
      <c r="DK105" s="437" t="n"/>
      <c r="DL105" s="437" t="n"/>
      <c r="DM105" s="437" t="n"/>
      <c r="DN105" s="437" t="n"/>
      <c r="DO105" s="437" t="n"/>
      <c r="DP105" s="437" t="n"/>
      <c r="DQ105" s="437" t="n"/>
      <c r="DR105" s="437" t="n"/>
      <c r="DS105" s="437" t="n"/>
      <c r="DT105" s="437" t="n"/>
      <c r="DU105" s="437" t="n"/>
      <c r="DV105" s="437" t="n"/>
      <c r="DW105" s="437" t="n"/>
      <c r="DX105" s="437" t="n"/>
      <c r="DY105" s="238" t="n"/>
      <c r="DZ105" s="23" t="n"/>
      <c r="FQ105" s="212" t="n"/>
      <c r="FR105" s="212" t="n"/>
      <c r="FS105" s="212" t="n"/>
      <c r="FT105" s="212" t="n"/>
      <c r="FU105" s="212" t="n"/>
      <c r="FV105" s="212" t="n"/>
      <c r="FW105" s="212" t="n"/>
      <c r="FX105" s="212" t="n"/>
      <c r="FY105" s="212" t="n"/>
      <c r="FZ105" s="212" t="n"/>
    </row>
    <row r="106" ht="39.95" customFormat="1" customHeight="1" s="5">
      <c r="A106" s="10" t="inlineStr">
        <is>
          <t>A</t>
        </is>
      </c>
      <c r="B106" s="6" t="n"/>
      <c r="C106" s="415" t="inlineStr">
        <is>
          <t>LOWEST</t>
        </is>
      </c>
      <c r="D106" s="613">
        <f>MIN(Thickness!D106:D108)</f>
        <v/>
      </c>
      <c r="E106" s="614">
        <f>MIN(Thickness!E106:E108)</f>
        <v/>
      </c>
      <c r="F106" s="614">
        <f>MIN(Thickness!F106:F108)</f>
        <v/>
      </c>
      <c r="G106" s="614">
        <f>MIN(Thickness!G106:G108)</f>
        <v/>
      </c>
      <c r="H106" s="615">
        <f>MIN(Thickness!H106:H108)</f>
        <v/>
      </c>
      <c r="I106" s="616">
        <f>MIN(Thickness!I106:I108)</f>
        <v/>
      </c>
      <c r="J106" s="614">
        <f>MIN(Thickness!J106:J108)</f>
        <v/>
      </c>
      <c r="K106" s="614">
        <f>MIN(Thickness!K106:K108)</f>
        <v/>
      </c>
      <c r="L106" s="614">
        <f>MIN(Thickness!L106:L108)</f>
        <v/>
      </c>
      <c r="M106" s="615">
        <f>MIN(Thickness!M106:M108)</f>
        <v/>
      </c>
      <c r="N106" s="616">
        <f>MIN(Thickness!N106:N108)</f>
        <v/>
      </c>
      <c r="O106" s="614">
        <f>MIN(Thickness!O106:O108)</f>
        <v/>
      </c>
      <c r="P106" s="614">
        <f>MIN(Thickness!P106:P108)</f>
        <v/>
      </c>
      <c r="Q106" s="614">
        <f>MIN(Thickness!Q106:Q108)</f>
        <v/>
      </c>
      <c r="R106" s="615">
        <f>MIN(Thickness!R106:R108)</f>
        <v/>
      </c>
      <c r="S106" s="616">
        <f>MIN(Thickness!S106:S108)</f>
        <v/>
      </c>
      <c r="T106" s="614">
        <f>MIN(Thickness!T106:T108)</f>
        <v/>
      </c>
      <c r="U106" s="614">
        <f>MIN(Thickness!U106:U108)</f>
        <v/>
      </c>
      <c r="V106" s="614">
        <f>MIN(Thickness!V106:V108)</f>
        <v/>
      </c>
      <c r="W106" s="615">
        <f>MIN(Thickness!W106:W108)</f>
        <v/>
      </c>
      <c r="X106" s="616">
        <f>MIN(Thickness!X106:X108)</f>
        <v/>
      </c>
      <c r="Y106" s="614">
        <f>MIN(Thickness!Y106:Y108)</f>
        <v/>
      </c>
      <c r="Z106" s="614">
        <f>MIN(Thickness!Z106:Z108)</f>
        <v/>
      </c>
      <c r="AA106" s="614">
        <f>MIN(Thickness!AA106:AA108)</f>
        <v/>
      </c>
      <c r="AB106" s="615">
        <f>MIN(Thickness!AB106:AB108)</f>
        <v/>
      </c>
      <c r="AC106" s="616">
        <f>MIN(Thickness!AC106:AC108)</f>
        <v/>
      </c>
      <c r="AD106" s="614">
        <f>MIN(Thickness!AD106:AD108)</f>
        <v/>
      </c>
      <c r="AE106" s="614">
        <f>MIN(Thickness!AE106:AE108)</f>
        <v/>
      </c>
      <c r="AF106" s="614">
        <f>MIN(Thickness!AF106:AF108)</f>
        <v/>
      </c>
      <c r="AG106" s="615">
        <f>MIN(Thickness!AG106:AG108)</f>
        <v/>
      </c>
      <c r="AH106" s="616">
        <f>MIN(Thickness!AH106:AH108)</f>
        <v/>
      </c>
      <c r="AI106" s="614">
        <f>MIN(Thickness!AI106:AI108)</f>
        <v/>
      </c>
      <c r="AJ106" s="614">
        <f>MIN(Thickness!AJ106:AJ108)</f>
        <v/>
      </c>
      <c r="AK106" s="614">
        <f>MIN(Thickness!AK106:AK108)</f>
        <v/>
      </c>
      <c r="AL106" s="615">
        <f>MIN(Thickness!AL106:AL108)</f>
        <v/>
      </c>
      <c r="AM106" s="616">
        <f>MIN(Thickness!AM106:AM108)</f>
        <v/>
      </c>
      <c r="AN106" s="614">
        <f>MIN(Thickness!AN106:AN108)</f>
        <v/>
      </c>
      <c r="AO106" s="614">
        <f>MIN(Thickness!AO106:AO108)</f>
        <v/>
      </c>
      <c r="AP106" s="614">
        <f>MIN(Thickness!AP106:AP108)</f>
        <v/>
      </c>
      <c r="AQ106" s="615">
        <f>MIN(Thickness!AQ106:AQ108)</f>
        <v/>
      </c>
      <c r="AR106" s="616">
        <f>MIN(Thickness!AR106:AR108)</f>
        <v/>
      </c>
      <c r="AS106" s="614">
        <f>MIN(Thickness!AS106:AS108)</f>
        <v/>
      </c>
      <c r="AT106" s="614">
        <f>MIN(Thickness!AT106:AT108)</f>
        <v/>
      </c>
      <c r="AU106" s="614">
        <f>MIN(Thickness!AU106:AU108)</f>
        <v/>
      </c>
      <c r="AV106" s="615">
        <f>MIN(Thickness!AV106:AV108)</f>
        <v/>
      </c>
      <c r="AW106" s="616">
        <f>MIN(Thickness!AW106:AW108)</f>
        <v/>
      </c>
      <c r="AX106" s="614">
        <f>MIN(Thickness!AX106:AX108)</f>
        <v/>
      </c>
      <c r="AY106" s="614">
        <f>MIN(Thickness!AY106:AY108)</f>
        <v/>
      </c>
      <c r="AZ106" s="614">
        <f>MIN(Thickness!AZ106:AZ108)</f>
        <v/>
      </c>
      <c r="BA106" s="615">
        <f>MIN(Thickness!BA106:BA108)</f>
        <v/>
      </c>
      <c r="BB106" s="616">
        <f>MIN(Thickness!BB106:BB108)</f>
        <v/>
      </c>
      <c r="BC106" s="614">
        <f>MIN(Thickness!BC106:BC108)</f>
        <v/>
      </c>
      <c r="BD106" s="614">
        <f>MIN(Thickness!BD106:BD108)</f>
        <v/>
      </c>
      <c r="BE106" s="614">
        <f>MIN(Thickness!BE106:BE108)</f>
        <v/>
      </c>
      <c r="BF106" s="615">
        <f>MIN(Thickness!BF106:BF108)</f>
        <v/>
      </c>
      <c r="BG106" s="616">
        <f>MIN(Thickness!BG106:BG108)</f>
        <v/>
      </c>
      <c r="BH106" s="614">
        <f>MIN(Thickness!BH106:BH108)</f>
        <v/>
      </c>
      <c r="BI106" s="614" t="inlineStr">
        <is>
          <t>ST</t>
        </is>
      </c>
      <c r="BJ106" s="614" t="inlineStr">
        <is>
          <t>ST</t>
        </is>
      </c>
      <c r="BK106" s="615" t="inlineStr">
        <is>
          <t>ST</t>
        </is>
      </c>
      <c r="BL106" s="616" t="inlineStr">
        <is>
          <t>ST</t>
        </is>
      </c>
      <c r="BM106" s="614" t="inlineStr">
        <is>
          <t>ST</t>
        </is>
      </c>
      <c r="BN106" s="614" t="inlineStr">
        <is>
          <t>ST</t>
        </is>
      </c>
      <c r="BO106" s="614" t="inlineStr">
        <is>
          <t>ST</t>
        </is>
      </c>
      <c r="BP106" s="615" t="inlineStr">
        <is>
          <t>ST</t>
        </is>
      </c>
      <c r="BQ106" s="616" t="inlineStr">
        <is>
          <t>ST</t>
        </is>
      </c>
      <c r="BR106" s="614" t="inlineStr">
        <is>
          <t>ST</t>
        </is>
      </c>
      <c r="BS106" s="614" t="inlineStr">
        <is>
          <t>ST</t>
        </is>
      </c>
      <c r="BT106" s="615" t="inlineStr">
        <is>
          <t>ST</t>
        </is>
      </c>
      <c r="BU106" s="454">
        <f>IFERROR(AVERAGE(D106:BT108),0)</f>
        <v/>
      </c>
      <c r="BV106" s="454">
        <f>MIN(D106:BT108)</f>
        <v/>
      </c>
      <c r="BW106" s="437" t="n"/>
      <c r="BX106" s="437" t="n"/>
      <c r="BY106" s="437" t="n"/>
      <c r="BZ106" s="437" t="n"/>
      <c r="CA106" s="437" t="n"/>
      <c r="CB106" s="437" t="n"/>
      <c r="CC106" s="437" t="n"/>
      <c r="CD106" s="437" t="n"/>
      <c r="CE106" s="437" t="n"/>
      <c r="CF106" s="437" t="n"/>
      <c r="CG106" s="437" t="n"/>
      <c r="CH106" s="437" t="n"/>
      <c r="CI106" s="437" t="n"/>
      <c r="CJ106" s="437" t="n"/>
      <c r="CK106" s="437" t="n"/>
      <c r="CL106" s="437" t="n"/>
      <c r="CM106" s="437" t="n"/>
      <c r="CN106" s="437" t="n"/>
      <c r="CO106" s="437" t="n"/>
      <c r="CP106" s="437" t="n"/>
      <c r="CQ106" s="437" t="n"/>
      <c r="CR106" s="437" t="n"/>
      <c r="CS106" s="437" t="n"/>
      <c r="CT106" s="437" t="n"/>
      <c r="CU106" s="437" t="n"/>
      <c r="CV106" s="437" t="n"/>
      <c r="CW106" s="437" t="n"/>
      <c r="CX106" s="437" t="n"/>
      <c r="CY106" s="437" t="n"/>
      <c r="CZ106" s="437" t="n"/>
      <c r="DA106" s="437" t="n"/>
      <c r="DB106" s="437" t="n"/>
      <c r="DC106" s="437" t="n"/>
      <c r="DD106" s="437" t="n"/>
      <c r="DE106" s="437" t="n"/>
      <c r="DF106" s="437" t="n"/>
      <c r="DG106" s="437" t="n"/>
      <c r="DH106" s="437" t="n"/>
      <c r="DI106" s="437" t="n"/>
      <c r="DJ106" s="437" t="n"/>
      <c r="DK106" s="437" t="n"/>
      <c r="DL106" s="437" t="n"/>
      <c r="DM106" s="437" t="n"/>
      <c r="DN106" s="437" t="n"/>
      <c r="DO106" s="437" t="n"/>
      <c r="DP106" s="437" t="n"/>
      <c r="DQ106" s="437" t="n"/>
      <c r="DR106" s="437" t="n"/>
      <c r="DS106" s="437" t="n"/>
      <c r="DT106" s="437" t="n"/>
      <c r="DU106" s="437" t="n"/>
      <c r="DV106" s="437" t="n"/>
      <c r="DW106" s="437" t="n"/>
      <c r="DX106" s="437" t="n"/>
      <c r="DY106" s="238" t="n"/>
      <c r="DZ106" s="23" t="n"/>
      <c r="FQ106" s="212" t="n"/>
      <c r="FR106" s="212" t="n"/>
      <c r="FS106" s="212" t="n"/>
      <c r="FT106" s="212" t="n"/>
      <c r="FU106" s="212" t="n"/>
      <c r="FV106" s="212" t="n"/>
      <c r="FW106" s="212" t="n"/>
      <c r="FX106" s="212" t="n"/>
      <c r="FY106" s="212" t="n"/>
      <c r="FZ106" s="212" t="n"/>
    </row>
    <row r="107" ht="39.95" customFormat="1" customHeight="1" s="5">
      <c r="A107" s="182" t="n">
        <v>0.083</v>
      </c>
      <c r="B107" s="7" t="inlineStr">
        <is>
          <t>-81 IN</t>
        </is>
      </c>
      <c r="C107" s="456" t="n"/>
      <c r="D107" s="13" t="n"/>
      <c r="H107" s="592" t="n"/>
      <c r="I107" s="593" t="n"/>
      <c r="M107" s="592" t="n"/>
      <c r="N107" s="593" t="n"/>
      <c r="R107" s="592" t="n"/>
      <c r="S107" s="593" t="n"/>
      <c r="W107" s="592" t="n"/>
      <c r="X107" s="593" t="n"/>
      <c r="AB107" s="592" t="n"/>
      <c r="AC107" s="593" t="n"/>
      <c r="AG107" s="592" t="n"/>
      <c r="AH107" s="593" t="n"/>
      <c r="AL107" s="592" t="n"/>
      <c r="AM107" s="593" t="n"/>
      <c r="AQ107" s="592" t="n"/>
      <c r="AR107" s="593" t="n"/>
      <c r="AV107" s="592" t="n"/>
      <c r="AW107" s="593" t="n"/>
      <c r="BA107" s="592" t="n"/>
      <c r="BB107" s="593" t="n"/>
      <c r="BF107" s="592" t="n"/>
      <c r="BG107" s="593" t="n"/>
      <c r="BK107" s="592" t="n"/>
      <c r="BL107" s="593" t="n"/>
      <c r="BP107" s="592" t="n"/>
      <c r="BQ107" s="593" t="n"/>
      <c r="BT107" s="592" t="n"/>
      <c r="BU107" s="455" t="n"/>
      <c r="BV107" s="455" t="n"/>
      <c r="BW107" s="437" t="n"/>
      <c r="BX107" s="437" t="n"/>
      <c r="BY107" s="437" t="n"/>
      <c r="BZ107" s="437" t="n"/>
      <c r="CA107" s="437" t="n"/>
      <c r="CB107" s="437" t="n"/>
      <c r="CC107" s="437" t="n"/>
      <c r="CD107" s="437" t="n"/>
      <c r="CE107" s="437" t="n"/>
      <c r="CF107" s="437" t="n"/>
      <c r="CG107" s="437" t="n"/>
      <c r="CH107" s="437" t="n"/>
      <c r="CI107" s="437" t="n"/>
      <c r="CJ107" s="437" t="n"/>
      <c r="CK107" s="437" t="n"/>
      <c r="CL107" s="437" t="n"/>
      <c r="CM107" s="437" t="n"/>
      <c r="CN107" s="437" t="n"/>
      <c r="CO107" s="437" t="n"/>
      <c r="CP107" s="437" t="n"/>
      <c r="CQ107" s="437" t="n"/>
      <c r="CR107" s="437" t="n"/>
      <c r="CS107" s="437" t="n"/>
      <c r="CT107" s="437" t="n"/>
      <c r="CU107" s="437" t="n"/>
      <c r="CV107" s="437" t="n"/>
      <c r="CW107" s="437" t="n"/>
      <c r="CX107" s="437" t="n"/>
      <c r="CY107" s="437" t="n"/>
      <c r="CZ107" s="437" t="n"/>
      <c r="DA107" s="437" t="n"/>
      <c r="DB107" s="437" t="n"/>
      <c r="DC107" s="437" t="n"/>
      <c r="DD107" s="437" t="n"/>
      <c r="DE107" s="437" t="n"/>
      <c r="DF107" s="437" t="n"/>
      <c r="DG107" s="437" t="n"/>
      <c r="DH107" s="437" t="n"/>
      <c r="DI107" s="437" t="n"/>
      <c r="DJ107" s="437" t="n"/>
      <c r="DK107" s="437" t="n"/>
      <c r="DL107" s="437" t="n"/>
      <c r="DM107" s="437" t="n"/>
      <c r="DN107" s="437" t="n"/>
      <c r="DO107" s="437" t="n"/>
      <c r="DP107" s="437" t="n"/>
      <c r="DQ107" s="437" t="n"/>
      <c r="DR107" s="437" t="n"/>
      <c r="DS107" s="437" t="n"/>
      <c r="DT107" s="437" t="n"/>
      <c r="DU107" s="437" t="n"/>
      <c r="DV107" s="437" t="n"/>
      <c r="DW107" s="437" t="n"/>
      <c r="DX107" s="437" t="n"/>
      <c r="DY107" s="238" t="n"/>
      <c r="DZ107" s="23" t="n"/>
      <c r="FQ107" s="212" t="n"/>
      <c r="FR107" s="212" t="n"/>
      <c r="FS107" s="212" t="n"/>
      <c r="FT107" s="212" t="n"/>
      <c r="FU107" s="212" t="n"/>
      <c r="FV107" s="212" t="n"/>
      <c r="FW107" s="212" t="n"/>
      <c r="FX107" s="212" t="n"/>
      <c r="FY107" s="212" t="n"/>
      <c r="FZ107" s="212" t="n"/>
    </row>
    <row r="108" ht="39.95" customFormat="1" customHeight="1" s="5">
      <c r="A108" s="456" t="n"/>
      <c r="B108" s="8" t="n"/>
      <c r="C108" s="456" t="n"/>
      <c r="D108" s="594" t="n"/>
      <c r="E108" s="595" t="n"/>
      <c r="F108" s="595" t="n"/>
      <c r="G108" s="595" t="n"/>
      <c r="H108" s="596" t="n"/>
      <c r="I108" s="597" t="n"/>
      <c r="J108" s="595" t="n"/>
      <c r="K108" s="595" t="n"/>
      <c r="L108" s="595" t="n"/>
      <c r="M108" s="596" t="n"/>
      <c r="N108" s="597" t="n"/>
      <c r="O108" s="595" t="n"/>
      <c r="P108" s="595" t="n"/>
      <c r="Q108" s="595" t="n"/>
      <c r="R108" s="596" t="n"/>
      <c r="S108" s="597" t="n"/>
      <c r="T108" s="595" t="n"/>
      <c r="U108" s="595" t="n"/>
      <c r="V108" s="595" t="n"/>
      <c r="W108" s="596" t="n"/>
      <c r="X108" s="597" t="n"/>
      <c r="Y108" s="595" t="n"/>
      <c r="Z108" s="595" t="n"/>
      <c r="AA108" s="595" t="n"/>
      <c r="AB108" s="596" t="n"/>
      <c r="AC108" s="597" t="n"/>
      <c r="AD108" s="595" t="n"/>
      <c r="AE108" s="595" t="n"/>
      <c r="AF108" s="595" t="n"/>
      <c r="AG108" s="596" t="n"/>
      <c r="AH108" s="597" t="n"/>
      <c r="AI108" s="595" t="n"/>
      <c r="AJ108" s="595" t="n"/>
      <c r="AK108" s="595" t="n"/>
      <c r="AL108" s="596" t="n"/>
      <c r="AM108" s="597" t="n"/>
      <c r="AN108" s="595" t="n"/>
      <c r="AO108" s="595" t="n"/>
      <c r="AP108" s="595" t="n"/>
      <c r="AQ108" s="596" t="n"/>
      <c r="AR108" s="597" t="n"/>
      <c r="AS108" s="595" t="n"/>
      <c r="AT108" s="595" t="n"/>
      <c r="AU108" s="595" t="n"/>
      <c r="AV108" s="596" t="n"/>
      <c r="AW108" s="597" t="n"/>
      <c r="AX108" s="595" t="n"/>
      <c r="AY108" s="595" t="n"/>
      <c r="AZ108" s="595" t="n"/>
      <c r="BA108" s="596" t="n"/>
      <c r="BB108" s="597" t="n"/>
      <c r="BC108" s="595" t="n"/>
      <c r="BD108" s="595" t="n"/>
      <c r="BE108" s="595" t="n"/>
      <c r="BF108" s="596" t="n"/>
      <c r="BG108" s="597" t="n"/>
      <c r="BH108" s="595" t="n"/>
      <c r="BI108" s="595" t="n"/>
      <c r="BJ108" s="595" t="n"/>
      <c r="BK108" s="596" t="n"/>
      <c r="BL108" s="597" t="n"/>
      <c r="BM108" s="595" t="n"/>
      <c r="BN108" s="595" t="n"/>
      <c r="BO108" s="595" t="n"/>
      <c r="BP108" s="596" t="n"/>
      <c r="BQ108" s="597" t="n"/>
      <c r="BR108" s="595" t="n"/>
      <c r="BS108" s="595" t="n"/>
      <c r="BT108" s="596" t="n"/>
      <c r="BU108" s="457" t="n"/>
      <c r="BV108" s="457" t="n"/>
      <c r="BW108" s="437" t="n"/>
      <c r="BX108" s="437" t="n"/>
      <c r="BY108" s="437" t="n"/>
      <c r="BZ108" s="437" t="n"/>
      <c r="CA108" s="437" t="n"/>
      <c r="CB108" s="437" t="n"/>
      <c r="CC108" s="437" t="n"/>
      <c r="CD108" s="437" t="n"/>
      <c r="CE108" s="437" t="n"/>
      <c r="CF108" s="437" t="n"/>
      <c r="CG108" s="437" t="n"/>
      <c r="CH108" s="437" t="n"/>
      <c r="CI108" s="437" t="n"/>
      <c r="CJ108" s="437" t="n"/>
      <c r="CK108" s="437" t="n"/>
      <c r="CL108" s="437" t="n"/>
      <c r="CM108" s="437" t="n"/>
      <c r="CN108" s="437" t="n"/>
      <c r="CO108" s="437" t="n"/>
      <c r="CP108" s="437" t="n"/>
      <c r="CQ108" s="437" t="n"/>
      <c r="CR108" s="437" t="n"/>
      <c r="CS108" s="437" t="n"/>
      <c r="CT108" s="437" t="n"/>
      <c r="CU108" s="437" t="n"/>
      <c r="CV108" s="437" t="n"/>
      <c r="CW108" s="437" t="n"/>
      <c r="CX108" s="437" t="n"/>
      <c r="CY108" s="437" t="n"/>
      <c r="CZ108" s="437" t="n"/>
      <c r="DA108" s="437" t="n"/>
      <c r="DB108" s="437" t="n"/>
      <c r="DC108" s="437" t="n"/>
      <c r="DD108" s="437" t="n"/>
      <c r="DE108" s="437" t="n"/>
      <c r="DF108" s="437" t="n"/>
      <c r="DG108" s="437" t="n"/>
      <c r="DH108" s="437" t="n"/>
      <c r="DI108" s="437" t="n"/>
      <c r="DJ108" s="437" t="n"/>
      <c r="DK108" s="437" t="n"/>
      <c r="DL108" s="437" t="n"/>
      <c r="DM108" s="437" t="n"/>
      <c r="DN108" s="437" t="n"/>
      <c r="DO108" s="437" t="n"/>
      <c r="DP108" s="437" t="n"/>
      <c r="DQ108" s="437" t="n"/>
      <c r="DR108" s="437" t="n"/>
      <c r="DS108" s="437" t="n"/>
      <c r="DT108" s="437" t="n"/>
      <c r="DU108" s="437" t="n"/>
      <c r="DV108" s="437" t="n"/>
      <c r="DW108" s="437" t="n"/>
      <c r="DX108" s="437" t="n"/>
      <c r="DY108" s="238" t="n"/>
      <c r="DZ108" s="23" t="n"/>
      <c r="FQ108" s="212" t="n"/>
      <c r="FR108" s="212" t="n"/>
      <c r="FS108" s="212" t="n"/>
      <c r="FT108" s="212" t="n"/>
      <c r="FU108" s="212" t="n"/>
      <c r="FV108" s="212" t="n"/>
      <c r="FW108" s="212" t="n"/>
      <c r="FX108" s="212" t="n"/>
      <c r="FY108" s="212" t="n"/>
      <c r="FZ108" s="212" t="n"/>
    </row>
    <row r="109" ht="39.95" customFormat="1" customHeight="1" s="5">
      <c r="A109" s="10" t="inlineStr">
        <is>
          <t>A</t>
        </is>
      </c>
      <c r="B109" s="6" t="n"/>
      <c r="C109" s="415" t="inlineStr">
        <is>
          <t>LOWEST</t>
        </is>
      </c>
      <c r="D109" s="613">
        <f>MIN(Thickness!D109:D111)</f>
        <v/>
      </c>
      <c r="E109" s="614">
        <f>MIN(Thickness!E109:E111)</f>
        <v/>
      </c>
      <c r="F109" s="614">
        <f>MIN(Thickness!F109:F111)</f>
        <v/>
      </c>
      <c r="G109" s="614">
        <f>MIN(Thickness!G109:G111)</f>
        <v/>
      </c>
      <c r="H109" s="615">
        <f>MIN(Thickness!H109:H111)</f>
        <v/>
      </c>
      <c r="I109" s="616">
        <f>MIN(Thickness!I109:I111)</f>
        <v/>
      </c>
      <c r="J109" s="614">
        <f>MIN(Thickness!J109:J111)</f>
        <v/>
      </c>
      <c r="K109" s="614">
        <f>MIN(Thickness!K109:K111)</f>
        <v/>
      </c>
      <c r="L109" s="614">
        <f>MIN(Thickness!L109:L111)</f>
        <v/>
      </c>
      <c r="M109" s="615">
        <f>MIN(Thickness!M109:M111)</f>
        <v/>
      </c>
      <c r="N109" s="616">
        <f>MIN(Thickness!N109:N111)</f>
        <v/>
      </c>
      <c r="O109" s="614">
        <f>MIN(Thickness!O109:O111)</f>
        <v/>
      </c>
      <c r="P109" s="614">
        <f>MIN(Thickness!P109:P111)</f>
        <v/>
      </c>
      <c r="Q109" s="614">
        <f>MIN(Thickness!Q109:Q111)</f>
        <v/>
      </c>
      <c r="R109" s="615">
        <f>MIN(Thickness!R109:R111)</f>
        <v/>
      </c>
      <c r="S109" s="616">
        <f>MIN(Thickness!S109:S111)</f>
        <v/>
      </c>
      <c r="T109" s="614">
        <f>MIN(Thickness!T109:T111)</f>
        <v/>
      </c>
      <c r="U109" s="614">
        <f>MIN(Thickness!U109:U111)</f>
        <v/>
      </c>
      <c r="V109" s="614">
        <f>MIN(Thickness!V109:V111)</f>
        <v/>
      </c>
      <c r="W109" s="615">
        <f>MIN(Thickness!W109:W111)</f>
        <v/>
      </c>
      <c r="X109" s="616">
        <f>MIN(Thickness!X109:X111)</f>
        <v/>
      </c>
      <c r="Y109" s="614">
        <f>MIN(Thickness!Y109:Y111)</f>
        <v/>
      </c>
      <c r="Z109" s="614">
        <f>MIN(Thickness!Z109:Z111)</f>
        <v/>
      </c>
      <c r="AA109" s="614">
        <f>MIN(Thickness!AA109:AA111)</f>
        <v/>
      </c>
      <c r="AB109" s="615">
        <f>MIN(Thickness!AB109:AB111)</f>
        <v/>
      </c>
      <c r="AC109" s="616">
        <f>MIN(Thickness!AC109:AC111)</f>
        <v/>
      </c>
      <c r="AD109" s="614">
        <f>MIN(Thickness!AD109:AD111)</f>
        <v/>
      </c>
      <c r="AE109" s="614">
        <f>MIN(Thickness!AE109:AE111)</f>
        <v/>
      </c>
      <c r="AF109" s="614">
        <f>MIN(Thickness!AF109:AF111)</f>
        <v/>
      </c>
      <c r="AG109" s="615">
        <f>MIN(Thickness!AG109:AG111)</f>
        <v/>
      </c>
      <c r="AH109" s="616">
        <f>MIN(Thickness!AH109:AH111)</f>
        <v/>
      </c>
      <c r="AI109" s="614">
        <f>MIN(Thickness!AI109:AI111)</f>
        <v/>
      </c>
      <c r="AJ109" s="614">
        <f>MIN(Thickness!AJ109:AJ111)</f>
        <v/>
      </c>
      <c r="AK109" s="614">
        <f>MIN(Thickness!AK109:AK111)</f>
        <v/>
      </c>
      <c r="AL109" s="615">
        <f>MIN(Thickness!AL109:AL111)</f>
        <v/>
      </c>
      <c r="AM109" s="616">
        <f>MIN(Thickness!AM109:AM111)</f>
        <v/>
      </c>
      <c r="AN109" s="614" t="inlineStr">
        <is>
          <t>ST</t>
        </is>
      </c>
      <c r="AO109" s="614" t="inlineStr">
        <is>
          <t>ST</t>
        </is>
      </c>
      <c r="AP109" s="614" t="inlineStr">
        <is>
          <t>ST</t>
        </is>
      </c>
      <c r="AQ109" s="615" t="inlineStr">
        <is>
          <t>ST</t>
        </is>
      </c>
      <c r="AR109" s="616" t="inlineStr">
        <is>
          <t>ST</t>
        </is>
      </c>
      <c r="AS109" s="614" t="inlineStr">
        <is>
          <t>ST</t>
        </is>
      </c>
      <c r="AT109" s="614" t="inlineStr">
        <is>
          <t>ST</t>
        </is>
      </c>
      <c r="AU109" s="614" t="inlineStr">
        <is>
          <t>ST</t>
        </is>
      </c>
      <c r="AV109" s="615" t="inlineStr">
        <is>
          <t>ST</t>
        </is>
      </c>
      <c r="AW109" s="616" t="inlineStr">
        <is>
          <t>ST</t>
        </is>
      </c>
      <c r="AX109" s="614" t="inlineStr">
        <is>
          <t>ST</t>
        </is>
      </c>
      <c r="AY109" s="614" t="inlineStr">
        <is>
          <t>ST</t>
        </is>
      </c>
      <c r="AZ109" s="614" t="inlineStr">
        <is>
          <t>ST</t>
        </is>
      </c>
      <c r="BA109" s="615" t="inlineStr">
        <is>
          <t>ST</t>
        </is>
      </c>
      <c r="BB109" s="616" t="inlineStr">
        <is>
          <t>ST</t>
        </is>
      </c>
      <c r="BC109" s="614" t="inlineStr">
        <is>
          <t>ST</t>
        </is>
      </c>
      <c r="BD109" s="614" t="inlineStr">
        <is>
          <t>ST</t>
        </is>
      </c>
      <c r="BE109" s="614" t="inlineStr">
        <is>
          <t>ST</t>
        </is>
      </c>
      <c r="BF109" s="615" t="inlineStr">
        <is>
          <t>ST</t>
        </is>
      </c>
      <c r="BG109" s="616" t="inlineStr">
        <is>
          <t>ST</t>
        </is>
      </c>
      <c r="BH109" s="614" t="inlineStr">
        <is>
          <t>ST</t>
        </is>
      </c>
      <c r="BI109" s="614" t="inlineStr">
        <is>
          <t>ST</t>
        </is>
      </c>
      <c r="BJ109" s="614" t="inlineStr">
        <is>
          <t>ST</t>
        </is>
      </c>
      <c r="BK109" s="615" t="inlineStr">
        <is>
          <t>ST</t>
        </is>
      </c>
      <c r="BL109" s="616" t="inlineStr">
        <is>
          <t>ST</t>
        </is>
      </c>
      <c r="BM109" s="614" t="inlineStr">
        <is>
          <t>ST</t>
        </is>
      </c>
      <c r="BN109" s="614" t="inlineStr">
        <is>
          <t>ST</t>
        </is>
      </c>
      <c r="BO109" s="614" t="inlineStr">
        <is>
          <t>ST</t>
        </is>
      </c>
      <c r="BP109" s="615" t="inlineStr">
        <is>
          <t>ST</t>
        </is>
      </c>
      <c r="BQ109" s="616" t="inlineStr">
        <is>
          <t>ST</t>
        </is>
      </c>
      <c r="BR109" s="614" t="inlineStr">
        <is>
          <t>ST</t>
        </is>
      </c>
      <c r="BS109" s="614" t="inlineStr">
        <is>
          <t>ST</t>
        </is>
      </c>
      <c r="BT109" s="615" t="inlineStr">
        <is>
          <t>ST</t>
        </is>
      </c>
      <c r="BU109" s="454">
        <f>IFERROR(AVERAGE(D109:BT111),0)</f>
        <v/>
      </c>
      <c r="BV109" s="454">
        <f>MIN(D109:BT111)</f>
        <v/>
      </c>
      <c r="BW109" s="437" t="n"/>
      <c r="BX109" s="437" t="n"/>
      <c r="BY109" s="437" t="n"/>
      <c r="BZ109" s="437" t="n"/>
      <c r="CA109" s="437" t="n"/>
      <c r="CB109" s="437" t="n"/>
      <c r="CC109" s="437" t="n"/>
      <c r="CD109" s="437" t="n"/>
      <c r="CE109" s="437" t="n"/>
      <c r="CF109" s="437" t="n"/>
      <c r="CG109" s="437" t="n"/>
      <c r="CH109" s="437" t="n"/>
      <c r="CI109" s="437" t="n"/>
      <c r="CJ109" s="437" t="n"/>
      <c r="CK109" s="437" t="n"/>
      <c r="CL109" s="437" t="n"/>
      <c r="CM109" s="437" t="n"/>
      <c r="CN109" s="437" t="n"/>
      <c r="CO109" s="437" t="n"/>
      <c r="CP109" s="437" t="n"/>
      <c r="CQ109" s="437" t="n"/>
      <c r="CR109" s="437" t="n"/>
      <c r="CS109" s="437" t="n"/>
      <c r="CT109" s="437" t="n"/>
      <c r="CU109" s="437" t="n"/>
      <c r="CV109" s="437" t="n"/>
      <c r="CW109" s="437" t="n"/>
      <c r="CX109" s="437" t="n"/>
      <c r="CY109" s="437" t="n"/>
      <c r="CZ109" s="437" t="n"/>
      <c r="DA109" s="437" t="n"/>
      <c r="DB109" s="437" t="n"/>
      <c r="DC109" s="437" t="n"/>
      <c r="DD109" s="437" t="n"/>
      <c r="DE109" s="437" t="n"/>
      <c r="DF109" s="437" t="n"/>
      <c r="DG109" s="437" t="n"/>
      <c r="DH109" s="437" t="n"/>
      <c r="DI109" s="437" t="n"/>
      <c r="DJ109" s="437" t="n"/>
      <c r="DK109" s="437" t="n"/>
      <c r="DL109" s="437" t="n"/>
      <c r="DM109" s="437" t="n"/>
      <c r="DN109" s="437" t="n"/>
      <c r="DO109" s="437" t="n"/>
      <c r="DP109" s="437" t="n"/>
      <c r="DQ109" s="437" t="n"/>
      <c r="DR109" s="437" t="n"/>
      <c r="DS109" s="437" t="n"/>
      <c r="DT109" s="437" t="n"/>
      <c r="DU109" s="437" t="n"/>
      <c r="DV109" s="437" t="n"/>
      <c r="DW109" s="437" t="n"/>
      <c r="DX109" s="437" t="n"/>
      <c r="DY109" s="238" t="n"/>
      <c r="DZ109" s="23" t="n"/>
      <c r="FQ109" s="212" t="n"/>
      <c r="FR109" s="212" t="n"/>
      <c r="FS109" s="212" t="n"/>
      <c r="FT109" s="212" t="n"/>
      <c r="FU109" s="212" t="n"/>
      <c r="FV109" s="212" t="n"/>
      <c r="FW109" s="212" t="n"/>
      <c r="FX109" s="212" t="n"/>
      <c r="FY109" s="212" t="n"/>
      <c r="FZ109" s="212" t="n"/>
    </row>
    <row r="110" ht="39.95" customFormat="1" customHeight="1" s="5">
      <c r="A110" s="182" t="n">
        <v>0.083</v>
      </c>
      <c r="B110" s="7" t="inlineStr">
        <is>
          <t>-90 IN</t>
        </is>
      </c>
      <c r="C110" s="456" t="n"/>
      <c r="D110" s="13" t="n"/>
      <c r="H110" s="592" t="n"/>
      <c r="I110" s="593" t="n"/>
      <c r="M110" s="592" t="n"/>
      <c r="N110" s="593" t="n"/>
      <c r="R110" s="592" t="n"/>
      <c r="S110" s="593" t="n"/>
      <c r="W110" s="592" t="n"/>
      <c r="X110" s="593" t="n"/>
      <c r="AB110" s="592" t="n"/>
      <c r="AC110" s="593" t="n"/>
      <c r="AG110" s="592" t="n"/>
      <c r="AH110" s="593" t="n"/>
      <c r="AL110" s="592" t="n"/>
      <c r="AM110" s="593" t="n"/>
      <c r="AQ110" s="592" t="n"/>
      <c r="AR110" s="593" t="n"/>
      <c r="AV110" s="592" t="n"/>
      <c r="AW110" s="593" t="n"/>
      <c r="BA110" s="592" t="n"/>
      <c r="BB110" s="593" t="n"/>
      <c r="BF110" s="592" t="n"/>
      <c r="BG110" s="593" t="n"/>
      <c r="BK110" s="592" t="n"/>
      <c r="BL110" s="593" t="n"/>
      <c r="BP110" s="592" t="n"/>
      <c r="BQ110" s="593" t="n"/>
      <c r="BT110" s="592" t="n"/>
      <c r="BU110" s="455" t="n"/>
      <c r="BV110" s="455" t="n"/>
      <c r="BW110" s="437" t="n"/>
      <c r="BX110" s="437" t="n"/>
      <c r="BY110" s="437" t="n"/>
      <c r="BZ110" s="437" t="n"/>
      <c r="CA110" s="437" t="n"/>
      <c r="CB110" s="437" t="n"/>
      <c r="CC110" s="437" t="n"/>
      <c r="CD110" s="437" t="n"/>
      <c r="CE110" s="437" t="n"/>
      <c r="CF110" s="437" t="n"/>
      <c r="CG110" s="437" t="n"/>
      <c r="CH110" s="437" t="n"/>
      <c r="CI110" s="437" t="n"/>
      <c r="CJ110" s="437" t="n"/>
      <c r="CK110" s="437" t="n"/>
      <c r="CL110" s="437" t="n"/>
      <c r="CM110" s="437" t="n"/>
      <c r="CN110" s="437" t="n"/>
      <c r="CO110" s="437" t="n"/>
      <c r="CP110" s="437" t="n"/>
      <c r="CQ110" s="437" t="n"/>
      <c r="CR110" s="437" t="n"/>
      <c r="CS110" s="437" t="n"/>
      <c r="CT110" s="437" t="n"/>
      <c r="CU110" s="437" t="n"/>
      <c r="CV110" s="437" t="n"/>
      <c r="CW110" s="437" t="n"/>
      <c r="CX110" s="437" t="n"/>
      <c r="CY110" s="437" t="n"/>
      <c r="CZ110" s="437" t="n"/>
      <c r="DA110" s="437" t="n"/>
      <c r="DB110" s="437" t="n"/>
      <c r="DC110" s="437" t="n"/>
      <c r="DD110" s="437" t="n"/>
      <c r="DE110" s="437" t="n"/>
      <c r="DF110" s="437" t="n"/>
      <c r="DG110" s="437" t="n"/>
      <c r="DH110" s="437" t="n"/>
      <c r="DI110" s="437" t="n"/>
      <c r="DJ110" s="437" t="n"/>
      <c r="DK110" s="437" t="n"/>
      <c r="DL110" s="437" t="n"/>
      <c r="DM110" s="437" t="n"/>
      <c r="DN110" s="437" t="n"/>
      <c r="DO110" s="437" t="n"/>
      <c r="DP110" s="437" t="n"/>
      <c r="DQ110" s="437" t="n"/>
      <c r="DR110" s="437" t="n"/>
      <c r="DS110" s="437" t="n"/>
      <c r="DT110" s="437" t="n"/>
      <c r="DU110" s="437" t="n"/>
      <c r="DV110" s="437" t="n"/>
      <c r="DW110" s="437" t="n"/>
      <c r="DX110" s="437" t="n"/>
      <c r="DY110" s="238" t="n"/>
      <c r="DZ110" s="23" t="n"/>
      <c r="FQ110" s="212" t="n"/>
      <c r="FR110" s="212" t="n"/>
      <c r="FS110" s="212" t="n"/>
      <c r="FT110" s="212" t="n"/>
      <c r="FU110" s="212" t="n"/>
      <c r="FV110" s="212" t="n"/>
      <c r="FW110" s="212" t="n"/>
      <c r="FX110" s="212" t="n"/>
      <c r="FY110" s="212" t="n"/>
      <c r="FZ110" s="212" t="n"/>
    </row>
    <row r="111" ht="39.95" customFormat="1" customHeight="1" s="5">
      <c r="A111" s="456" t="n"/>
      <c r="B111" s="8" t="n"/>
      <c r="C111" s="456" t="n"/>
      <c r="D111" s="594" t="n"/>
      <c r="E111" s="595" t="n"/>
      <c r="F111" s="595" t="n"/>
      <c r="G111" s="595" t="n"/>
      <c r="H111" s="596" t="n"/>
      <c r="I111" s="597" t="n"/>
      <c r="J111" s="595" t="n"/>
      <c r="K111" s="595" t="n"/>
      <c r="L111" s="595" t="n"/>
      <c r="M111" s="596" t="n"/>
      <c r="N111" s="597" t="n"/>
      <c r="O111" s="595" t="n"/>
      <c r="P111" s="595" t="n"/>
      <c r="Q111" s="595" t="n"/>
      <c r="R111" s="596" t="n"/>
      <c r="S111" s="597" t="n"/>
      <c r="T111" s="595" t="n"/>
      <c r="U111" s="595" t="n"/>
      <c r="V111" s="595" t="n"/>
      <c r="W111" s="596" t="n"/>
      <c r="X111" s="597" t="n"/>
      <c r="Y111" s="595" t="n"/>
      <c r="Z111" s="595" t="n"/>
      <c r="AA111" s="595" t="n"/>
      <c r="AB111" s="596" t="n"/>
      <c r="AC111" s="597" t="n"/>
      <c r="AD111" s="595" t="n"/>
      <c r="AE111" s="595" t="n"/>
      <c r="AF111" s="595" t="n"/>
      <c r="AG111" s="596" t="n"/>
      <c r="AH111" s="597" t="n"/>
      <c r="AI111" s="595" t="n"/>
      <c r="AJ111" s="595" t="n"/>
      <c r="AK111" s="595" t="n"/>
      <c r="AL111" s="596" t="n"/>
      <c r="AM111" s="597" t="n"/>
      <c r="AN111" s="595" t="n"/>
      <c r="AO111" s="595" t="n"/>
      <c r="AP111" s="595" t="n"/>
      <c r="AQ111" s="596" t="n"/>
      <c r="AR111" s="597" t="n"/>
      <c r="AS111" s="595" t="n"/>
      <c r="AT111" s="595" t="n"/>
      <c r="AU111" s="595" t="n"/>
      <c r="AV111" s="596" t="n"/>
      <c r="AW111" s="597" t="n"/>
      <c r="AX111" s="595" t="n"/>
      <c r="AY111" s="595" t="n"/>
      <c r="AZ111" s="595" t="n"/>
      <c r="BA111" s="596" t="n"/>
      <c r="BB111" s="597" t="n"/>
      <c r="BC111" s="595" t="n"/>
      <c r="BD111" s="595" t="n"/>
      <c r="BE111" s="595" t="n"/>
      <c r="BF111" s="596" t="n"/>
      <c r="BG111" s="597" t="n"/>
      <c r="BH111" s="595" t="n"/>
      <c r="BI111" s="595" t="n"/>
      <c r="BJ111" s="595" t="n"/>
      <c r="BK111" s="596" t="n"/>
      <c r="BL111" s="597" t="n"/>
      <c r="BM111" s="595" t="n"/>
      <c r="BN111" s="595" t="n"/>
      <c r="BO111" s="595" t="n"/>
      <c r="BP111" s="596" t="n"/>
      <c r="BQ111" s="597" t="n"/>
      <c r="BR111" s="595" t="n"/>
      <c r="BS111" s="595" t="n"/>
      <c r="BT111" s="596" t="n"/>
      <c r="BU111" s="457" t="n"/>
      <c r="BV111" s="457" t="n"/>
      <c r="BW111" s="437" t="n"/>
      <c r="BX111" s="437" t="n"/>
      <c r="BY111" s="437" t="n"/>
      <c r="BZ111" s="437" t="n"/>
      <c r="CA111" s="437" t="n"/>
      <c r="CB111" s="437" t="n"/>
      <c r="CC111" s="437" t="n"/>
      <c r="CD111" s="437" t="n"/>
      <c r="CE111" s="437" t="n"/>
      <c r="CF111" s="437" t="n"/>
      <c r="CG111" s="437" t="n"/>
      <c r="CH111" s="437" t="n"/>
      <c r="CI111" s="437" t="n"/>
      <c r="CJ111" s="437" t="n"/>
      <c r="CK111" s="437" t="n"/>
      <c r="CL111" s="437" t="n"/>
      <c r="CM111" s="437" t="n"/>
      <c r="CN111" s="437" t="n"/>
      <c r="CO111" s="437" t="n"/>
      <c r="CP111" s="437" t="n"/>
      <c r="CQ111" s="437" t="n"/>
      <c r="CR111" s="437" t="n"/>
      <c r="CS111" s="437" t="n"/>
      <c r="CT111" s="437" t="n"/>
      <c r="CU111" s="437" t="n"/>
      <c r="CV111" s="437" t="n"/>
      <c r="CW111" s="437" t="n"/>
      <c r="CX111" s="437" t="n"/>
      <c r="CY111" s="437" t="n"/>
      <c r="CZ111" s="437" t="n"/>
      <c r="DA111" s="437" t="n"/>
      <c r="DB111" s="437" t="n"/>
      <c r="DC111" s="437" t="n"/>
      <c r="DD111" s="437" t="n"/>
      <c r="DE111" s="437" t="n"/>
      <c r="DF111" s="437" t="n"/>
      <c r="DG111" s="437" t="n"/>
      <c r="DH111" s="437" t="n"/>
      <c r="DI111" s="437" t="n"/>
      <c r="DJ111" s="437" t="n"/>
      <c r="DK111" s="437" t="n"/>
      <c r="DL111" s="437" t="n"/>
      <c r="DM111" s="437" t="n"/>
      <c r="DN111" s="437" t="n"/>
      <c r="DO111" s="437" t="n"/>
      <c r="DP111" s="437" t="n"/>
      <c r="DQ111" s="437" t="n"/>
      <c r="DR111" s="437" t="n"/>
      <c r="DS111" s="437" t="n"/>
      <c r="DT111" s="437" t="n"/>
      <c r="DU111" s="437" t="n"/>
      <c r="DV111" s="437" t="n"/>
      <c r="DW111" s="437" t="n"/>
      <c r="DX111" s="437" t="n"/>
      <c r="DY111" s="238" t="n"/>
      <c r="DZ111" s="23" t="n"/>
      <c r="FQ111" s="212" t="n"/>
      <c r="FR111" s="212" t="n"/>
      <c r="FS111" s="212" t="n"/>
      <c r="FT111" s="212" t="n"/>
      <c r="FU111" s="212" t="n"/>
      <c r="FV111" s="212" t="n"/>
      <c r="FW111" s="212" t="n"/>
      <c r="FX111" s="212" t="n"/>
      <c r="FY111" s="212" t="n"/>
      <c r="FZ111" s="212" t="n"/>
    </row>
    <row r="112" ht="36" customFormat="1" customHeight="1" s="5">
      <c r="A112" s="453" t="inlineStr">
        <is>
          <t>ELEVATION</t>
        </is>
      </c>
      <c r="B112" s="449" t="n"/>
      <c r="C112" s="18" t="inlineStr">
        <is>
          <t>LOC</t>
        </is>
      </c>
      <c r="D112" s="95" t="n">
        <v>1</v>
      </c>
      <c r="E112" s="96" t="n">
        <v>2</v>
      </c>
      <c r="F112" s="96" t="n">
        <v>3</v>
      </c>
      <c r="G112" s="96" t="n">
        <v>4</v>
      </c>
      <c r="H112" s="96" t="n">
        <v>5</v>
      </c>
      <c r="I112" s="96" t="n">
        <v>6</v>
      </c>
      <c r="J112" s="96" t="n">
        <v>7</v>
      </c>
      <c r="K112" s="96" t="n">
        <v>8</v>
      </c>
      <c r="L112" s="96" t="n">
        <v>9</v>
      </c>
      <c r="M112" s="96" t="n">
        <v>10</v>
      </c>
      <c r="N112" s="96" t="n">
        <v>11</v>
      </c>
      <c r="O112" s="96" t="n">
        <v>12</v>
      </c>
      <c r="P112" s="96" t="n">
        <v>13</v>
      </c>
      <c r="Q112" s="96" t="n">
        <v>14</v>
      </c>
      <c r="R112" s="96" t="n">
        <v>15</v>
      </c>
      <c r="S112" s="96" t="n">
        <v>16</v>
      </c>
      <c r="T112" s="96" t="n">
        <v>17</v>
      </c>
      <c r="U112" s="96" t="n">
        <v>18</v>
      </c>
      <c r="V112" s="96" t="n">
        <v>19</v>
      </c>
      <c r="W112" s="96" t="n">
        <v>20</v>
      </c>
      <c r="X112" s="96" t="n">
        <v>21</v>
      </c>
      <c r="Y112" s="96" t="n">
        <v>22</v>
      </c>
      <c r="Z112" s="96" t="n">
        <v>23</v>
      </c>
      <c r="AA112" s="96" t="n">
        <v>24</v>
      </c>
      <c r="AB112" s="96" t="n">
        <v>25</v>
      </c>
      <c r="AC112" s="96" t="n">
        <v>26</v>
      </c>
      <c r="AD112" s="96" t="n">
        <v>27</v>
      </c>
      <c r="AE112" s="96" t="n">
        <v>28</v>
      </c>
      <c r="AF112" s="96" t="n">
        <v>29</v>
      </c>
      <c r="AG112" s="96" t="n">
        <v>30</v>
      </c>
      <c r="AH112" s="96" t="n">
        <v>31</v>
      </c>
      <c r="AI112" s="96" t="n">
        <v>32</v>
      </c>
      <c r="AJ112" s="96" t="n">
        <v>33</v>
      </c>
      <c r="AK112" s="96" t="n">
        <v>34</v>
      </c>
      <c r="AL112" s="96" t="n">
        <v>35</v>
      </c>
      <c r="AM112" s="96" t="n">
        <v>36</v>
      </c>
      <c r="AN112" s="96" t="n">
        <v>37</v>
      </c>
      <c r="AO112" s="96" t="n">
        <v>38</v>
      </c>
      <c r="AP112" s="96" t="n">
        <v>39</v>
      </c>
      <c r="AQ112" s="96" t="n">
        <v>40</v>
      </c>
      <c r="AR112" s="96" t="n">
        <v>41</v>
      </c>
      <c r="AS112" s="96" t="n">
        <v>42</v>
      </c>
      <c r="AT112" s="96" t="n">
        <v>43</v>
      </c>
      <c r="AU112" s="96" t="n">
        <v>44</v>
      </c>
      <c r="AV112" s="96" t="n">
        <v>45</v>
      </c>
      <c r="AW112" s="96" t="n">
        <v>46</v>
      </c>
      <c r="AX112" s="96" t="n">
        <v>47</v>
      </c>
      <c r="AY112" s="96" t="n">
        <v>48</v>
      </c>
      <c r="AZ112" s="96" t="n">
        <v>49</v>
      </c>
      <c r="BA112" s="96" t="n">
        <v>50</v>
      </c>
      <c r="BB112" s="96" t="n">
        <v>51</v>
      </c>
      <c r="BC112" s="96" t="n">
        <v>52</v>
      </c>
      <c r="BD112" s="96" t="n">
        <v>53</v>
      </c>
      <c r="BE112" s="96" t="n">
        <v>54</v>
      </c>
      <c r="BF112" s="96" t="n">
        <v>55</v>
      </c>
      <c r="BG112" s="96" t="n">
        <v>56</v>
      </c>
      <c r="BH112" s="96" t="n">
        <v>57</v>
      </c>
      <c r="BI112" s="96" t="n">
        <v>58</v>
      </c>
      <c r="BJ112" s="96" t="n">
        <v>59</v>
      </c>
      <c r="BK112" s="96" t="n">
        <v>60</v>
      </c>
      <c r="BL112" s="96" t="n">
        <v>61</v>
      </c>
      <c r="BM112" s="96" t="n">
        <v>62</v>
      </c>
      <c r="BN112" s="96" t="n">
        <v>63</v>
      </c>
      <c r="BO112" s="96" t="n">
        <v>64</v>
      </c>
      <c r="BP112" s="96" t="n">
        <v>65</v>
      </c>
      <c r="BQ112" s="96" t="n">
        <v>66</v>
      </c>
      <c r="BR112" s="96" t="n">
        <v>67</v>
      </c>
      <c r="BS112" s="96" t="n">
        <v>68</v>
      </c>
      <c r="BT112" s="97" t="n">
        <v>69</v>
      </c>
      <c r="BU112" s="29" t="inlineStr">
        <is>
          <t>AVG</t>
        </is>
      </c>
      <c r="BV112" s="30" t="inlineStr">
        <is>
          <t>MIN</t>
        </is>
      </c>
      <c r="BW112" s="238" t="n"/>
      <c r="BX112" s="238" t="n"/>
      <c r="BY112" s="238" t="n"/>
      <c r="BZ112" s="238" t="n"/>
      <c r="CA112" s="238" t="n"/>
      <c r="CB112" s="238" t="n"/>
      <c r="CC112" s="238" t="n"/>
      <c r="CD112" s="238" t="n"/>
      <c r="CE112" s="238" t="n"/>
      <c r="CF112" s="238" t="n"/>
      <c r="CG112" s="238" t="n"/>
      <c r="CH112" s="238" t="n"/>
      <c r="CI112" s="238" t="n"/>
      <c r="CJ112" s="238" t="n"/>
      <c r="CK112" s="238" t="n"/>
      <c r="CL112" s="238" t="n"/>
      <c r="CM112" s="238" t="n"/>
      <c r="CN112" s="238" t="n"/>
      <c r="CO112" s="238" t="n"/>
      <c r="CP112" s="238" t="n"/>
      <c r="CQ112" s="238" t="n"/>
      <c r="CR112" s="238" t="n"/>
      <c r="CS112" s="238" t="n"/>
      <c r="CT112" s="238" t="n"/>
      <c r="CU112" s="238" t="n"/>
      <c r="CV112" s="238" t="n"/>
      <c r="CW112" s="238" t="n"/>
      <c r="CX112" s="238" t="n"/>
      <c r="CY112" s="238" t="n"/>
      <c r="CZ112" s="238" t="n"/>
      <c r="DA112" s="238" t="n"/>
      <c r="DB112" s="238" t="n"/>
      <c r="DC112" s="238" t="n"/>
      <c r="DD112" s="238" t="n"/>
      <c r="DE112" s="238" t="n"/>
      <c r="DF112" s="238" t="n"/>
      <c r="DG112" s="238" t="n"/>
      <c r="DH112" s="238" t="n"/>
      <c r="DI112" s="238" t="n"/>
      <c r="DJ112" s="238" t="n"/>
      <c r="DK112" s="238" t="n"/>
      <c r="DL112" s="238" t="n"/>
      <c r="DM112" s="238" t="n"/>
      <c r="DN112" s="238" t="n"/>
      <c r="DO112" s="238" t="n"/>
      <c r="DP112" s="238" t="n"/>
      <c r="DQ112" s="238" t="n"/>
      <c r="DR112" s="238" t="n"/>
      <c r="DS112" s="238" t="n"/>
      <c r="DT112" s="238" t="n"/>
      <c r="DU112" s="238" t="n"/>
      <c r="DV112" s="238" t="n"/>
      <c r="DW112" s="238" t="n"/>
      <c r="DX112" s="238" t="n"/>
      <c r="DY112" s="238" t="n"/>
      <c r="DZ112" s="23" t="n"/>
      <c r="FQ112" s="212" t="n"/>
      <c r="FR112" s="212" t="n"/>
      <c r="FS112" s="212" t="n"/>
      <c r="FT112" s="212" t="n"/>
      <c r="FU112" s="212" t="n"/>
      <c r="FV112" s="212" t="n"/>
      <c r="FW112" s="212" t="n"/>
      <c r="FX112" s="212" t="n"/>
      <c r="FY112" s="212" t="n"/>
      <c r="FZ112" s="212" t="n"/>
    </row>
    <row r="113" hidden="1" ht="36" customFormat="1" customHeight="1" s="5">
      <c r="A113" s="13" t="n"/>
      <c r="C113" s="238" t="n"/>
      <c r="D113" s="238" t="n"/>
      <c r="E113" s="238" t="n"/>
      <c r="F113" s="238" t="n"/>
      <c r="G113" s="238" t="n"/>
      <c r="H113" s="238" t="n"/>
      <c r="I113" s="238" t="n"/>
      <c r="J113" s="238" t="n"/>
      <c r="K113" s="238" t="n"/>
      <c r="L113" s="238" t="n"/>
      <c r="M113" s="238" t="n"/>
      <c r="N113" s="238" t="n"/>
      <c r="O113" s="238" t="n"/>
      <c r="P113" s="238" t="n"/>
      <c r="Q113" s="238" t="n"/>
      <c r="R113" s="238" t="n"/>
      <c r="S113" s="238" t="n"/>
      <c r="T113" s="238" t="n"/>
      <c r="U113" s="238" t="n"/>
      <c r="V113" s="238" t="n"/>
      <c r="W113" s="238" t="n"/>
      <c r="X113" s="238" t="n"/>
      <c r="Y113" s="238" t="n"/>
      <c r="Z113" s="238" t="n"/>
      <c r="AA113" s="238" t="n"/>
      <c r="AB113" s="238" t="n"/>
      <c r="AC113" s="238" t="n"/>
      <c r="AD113" s="238" t="n"/>
      <c r="AE113" s="238" t="n"/>
      <c r="AF113" s="238" t="n"/>
      <c r="AG113" s="238" t="n"/>
      <c r="AH113" s="238" t="n"/>
      <c r="AI113" s="238" t="n"/>
      <c r="AJ113" s="238" t="n"/>
      <c r="AK113" s="238" t="n"/>
      <c r="AL113" s="238" t="n"/>
      <c r="AM113" s="238" t="n"/>
      <c r="AN113" s="238" t="n"/>
      <c r="AO113" s="238" t="n"/>
      <c r="AP113" s="238" t="n"/>
      <c r="AQ113" s="238" t="n"/>
      <c r="AR113" s="238" t="n"/>
      <c r="AS113" s="238" t="n"/>
      <c r="AT113" s="238" t="n"/>
      <c r="AU113" s="238" t="n"/>
      <c r="AV113" s="238" t="n"/>
      <c r="AW113" s="238" t="n"/>
      <c r="AX113" s="238" t="n"/>
      <c r="AY113" s="238" t="n"/>
      <c r="AZ113" s="238" t="n"/>
      <c r="BA113" s="238" t="n"/>
      <c r="BB113" s="238" t="n"/>
      <c r="BC113" s="238" t="n"/>
      <c r="BD113" s="238" t="n"/>
      <c r="BE113" s="238" t="n"/>
      <c r="BF113" s="238" t="n"/>
      <c r="BG113" s="238" t="n"/>
      <c r="BH113" s="238" t="n"/>
      <c r="BI113" s="238" t="n"/>
      <c r="BJ113" s="238" t="n"/>
      <c r="BK113" s="238" t="n"/>
      <c r="BL113" s="238" t="n"/>
      <c r="BM113" s="238" t="n"/>
      <c r="BN113" s="238" t="n"/>
      <c r="BO113" s="238" t="n"/>
      <c r="BP113" s="238" t="n"/>
      <c r="BQ113" s="238" t="n"/>
      <c r="BR113" s="238" t="n"/>
      <c r="BS113" s="238" t="n"/>
      <c r="BT113" s="238" t="n"/>
      <c r="BU113" s="238" t="n"/>
      <c r="BV113" s="238" t="n"/>
      <c r="BW113" s="238" t="n"/>
      <c r="BX113" s="238" t="n"/>
      <c r="BY113" s="238" t="n"/>
      <c r="BZ113" s="238" t="n"/>
      <c r="CA113" s="238" t="n"/>
      <c r="CB113" s="238" t="n"/>
      <c r="CC113" s="238" t="n"/>
      <c r="CD113" s="238" t="n"/>
      <c r="CE113" s="238" t="n"/>
      <c r="CF113" s="238" t="n"/>
      <c r="CG113" s="238" t="n"/>
      <c r="CH113" s="238" t="n"/>
      <c r="CI113" s="238" t="n"/>
      <c r="CJ113" s="238" t="n"/>
      <c r="CK113" s="238" t="n"/>
      <c r="CL113" s="238" t="n"/>
      <c r="CM113" s="238" t="n"/>
      <c r="CN113" s="238" t="n"/>
      <c r="CO113" s="238" t="n"/>
      <c r="CP113" s="238" t="n"/>
      <c r="CQ113" s="238" t="n"/>
      <c r="CR113" s="238" t="n"/>
      <c r="CS113" s="238" t="n"/>
      <c r="CT113" s="238" t="n"/>
      <c r="CU113" s="238" t="n"/>
      <c r="CV113" s="238" t="n"/>
      <c r="CW113" s="238" t="n"/>
      <c r="CX113" s="238" t="n"/>
      <c r="CY113" s="238" t="n"/>
      <c r="CZ113" s="238" t="n"/>
      <c r="DA113" s="238" t="n"/>
      <c r="DB113" s="238" t="n"/>
      <c r="DC113" s="238" t="n"/>
      <c r="DD113" s="238" t="n"/>
      <c r="DE113" s="238" t="n"/>
      <c r="DF113" s="238" t="n"/>
      <c r="DG113" s="238" t="n"/>
      <c r="DH113" s="238" t="n"/>
      <c r="DI113" s="238" t="n"/>
      <c r="DJ113" s="238" t="n"/>
      <c r="DK113" s="238" t="n"/>
      <c r="DL113" s="238" t="n"/>
      <c r="DM113" s="238" t="n"/>
      <c r="DN113" s="238" t="n"/>
      <c r="DO113" s="238" t="n"/>
      <c r="DP113" s="238" t="n"/>
      <c r="DQ113" s="238" t="n"/>
      <c r="DR113" s="238" t="n"/>
      <c r="DS113" s="238" t="n"/>
      <c r="DT113" s="238" t="n"/>
      <c r="DU113" s="238" t="n"/>
      <c r="DV113" s="238" t="n"/>
      <c r="DW113" s="238" t="n"/>
      <c r="DX113" s="238" t="n"/>
      <c r="DY113" s="238" t="n"/>
      <c r="DZ113" s="23" t="n"/>
      <c r="FQ113" s="212" t="n"/>
      <c r="FR113" s="212" t="n"/>
      <c r="FS113" s="212" t="n"/>
      <c r="FT113" s="212" t="n"/>
      <c r="FU113" s="212" t="n"/>
      <c r="FV113" s="212" t="n"/>
      <c r="FW113" s="212" t="n"/>
      <c r="FX113" s="212" t="n"/>
      <c r="FY113" s="212" t="n"/>
      <c r="FZ113" s="212" t="n"/>
    </row>
    <row r="114" hidden="1" ht="36" customFormat="1" customHeight="1" s="5">
      <c r="A114" s="13" t="n"/>
      <c r="C114" s="238" t="n"/>
      <c r="D114" s="238" t="n"/>
      <c r="E114" s="238" t="n"/>
      <c r="F114" s="238" t="n"/>
      <c r="G114" s="238" t="n"/>
      <c r="H114" s="238" t="n"/>
      <c r="I114" s="238" t="n"/>
      <c r="J114" s="238" t="n"/>
      <c r="K114" s="238" t="n"/>
      <c r="L114" s="238" t="n"/>
      <c r="M114" s="238" t="n"/>
      <c r="N114" s="238" t="n"/>
      <c r="O114" s="238" t="n"/>
      <c r="P114" s="238" t="n"/>
      <c r="Q114" s="238" t="n"/>
      <c r="R114" s="238" t="n"/>
      <c r="S114" s="238" t="n"/>
      <c r="T114" s="238" t="n"/>
      <c r="U114" s="238" t="n"/>
      <c r="V114" s="238" t="n"/>
      <c r="W114" s="238" t="n"/>
      <c r="X114" s="238" t="n"/>
      <c r="Y114" s="238" t="n"/>
      <c r="Z114" s="238" t="n"/>
      <c r="AA114" s="238" t="n"/>
      <c r="AB114" s="238" t="n"/>
      <c r="AC114" s="238" t="n"/>
      <c r="AD114" s="238" t="n"/>
      <c r="AE114" s="238" t="n"/>
      <c r="AF114" s="238" t="n"/>
      <c r="AG114" s="238" t="n"/>
      <c r="AH114" s="238" t="n"/>
      <c r="AI114" s="238" t="n"/>
      <c r="AJ114" s="238" t="n"/>
      <c r="AK114" s="238" t="n"/>
      <c r="AL114" s="238" t="n"/>
      <c r="AM114" s="238" t="n"/>
      <c r="AN114" s="238" t="n"/>
      <c r="AO114" s="238" t="n"/>
      <c r="AP114" s="238" t="n"/>
      <c r="AQ114" s="238" t="n"/>
      <c r="AR114" s="238" t="n"/>
      <c r="AS114" s="238" t="n"/>
      <c r="AT114" s="238" t="n"/>
      <c r="AU114" s="238" t="n"/>
      <c r="AV114" s="238" t="n"/>
      <c r="AW114" s="238" t="n"/>
      <c r="AX114" s="238" t="n"/>
      <c r="AY114" s="238" t="n"/>
      <c r="AZ114" s="238" t="n"/>
      <c r="BA114" s="238" t="n"/>
      <c r="BB114" s="238" t="n"/>
      <c r="BC114" s="238" t="n"/>
      <c r="BD114" s="238" t="n"/>
      <c r="BE114" s="238" t="n"/>
      <c r="BF114" s="238" t="n"/>
      <c r="BG114" s="238" t="n"/>
      <c r="BH114" s="238" t="n"/>
      <c r="BI114" s="238" t="n"/>
      <c r="BJ114" s="238" t="n"/>
      <c r="BK114" s="238" t="n"/>
      <c r="BL114" s="238" t="n"/>
      <c r="BM114" s="238" t="n"/>
      <c r="BN114" s="238" t="n"/>
      <c r="BO114" s="238" t="n"/>
      <c r="BP114" s="238" t="n"/>
      <c r="BQ114" s="238" t="n"/>
      <c r="BR114" s="238" t="n"/>
      <c r="BS114" s="238" t="n"/>
      <c r="BT114" s="238" t="n"/>
      <c r="BU114" s="238" t="n"/>
      <c r="BV114" s="238" t="n"/>
      <c r="BW114" s="238" t="n"/>
      <c r="BX114" s="238" t="n"/>
      <c r="BY114" s="238" t="n"/>
      <c r="BZ114" s="238" t="n"/>
      <c r="CA114" s="238" t="n"/>
      <c r="CB114" s="238" t="n"/>
      <c r="CC114" s="238" t="n"/>
      <c r="CD114" s="238" t="n"/>
      <c r="CE114" s="238" t="n"/>
      <c r="CF114" s="238" t="n"/>
      <c r="CG114" s="238" t="n"/>
      <c r="CH114" s="238" t="n"/>
      <c r="CI114" s="238" t="n"/>
      <c r="CJ114" s="238" t="n"/>
      <c r="CK114" s="238" t="n"/>
      <c r="CL114" s="238" t="n"/>
      <c r="CM114" s="238" t="n"/>
      <c r="CN114" s="238" t="n"/>
      <c r="CO114" s="238" t="n"/>
      <c r="CP114" s="238" t="n"/>
      <c r="CQ114" s="238" t="n"/>
      <c r="CR114" s="238" t="n"/>
      <c r="CS114" s="238" t="n"/>
      <c r="CT114" s="238" t="n"/>
      <c r="CU114" s="238" t="n"/>
      <c r="CV114" s="238" t="n"/>
      <c r="CW114" s="238" t="n"/>
      <c r="CX114" s="238" t="n"/>
      <c r="CY114" s="238" t="n"/>
      <c r="CZ114" s="238" t="n"/>
      <c r="DA114" s="238" t="n"/>
      <c r="DB114" s="238" t="n"/>
      <c r="DC114" s="238" t="n"/>
      <c r="DD114" s="238" t="n"/>
      <c r="DE114" s="238" t="n"/>
      <c r="DF114" s="238" t="n"/>
      <c r="DG114" s="238" t="n"/>
      <c r="DH114" s="238" t="n"/>
      <c r="DI114" s="238" t="n"/>
      <c r="DJ114" s="238" t="n"/>
      <c r="DK114" s="238" t="n"/>
      <c r="DL114" s="238" t="n"/>
      <c r="DM114" s="238" t="n"/>
      <c r="DN114" s="238" t="n"/>
      <c r="DO114" s="238" t="n"/>
      <c r="DP114" s="238" t="n"/>
      <c r="DQ114" s="238" t="n"/>
      <c r="DR114" s="238" t="n"/>
      <c r="DS114" s="238" t="n"/>
      <c r="DT114" s="238" t="n"/>
      <c r="DU114" s="238" t="n"/>
      <c r="DV114" s="238" t="n"/>
      <c r="DW114" s="238" t="n"/>
      <c r="DX114" s="238" t="n"/>
      <c r="DY114" s="238" t="n"/>
      <c r="DZ114" s="23" t="n"/>
      <c r="FQ114" s="212" t="n"/>
      <c r="FR114" s="212" t="n"/>
      <c r="FS114" s="212" t="n"/>
      <c r="FT114" s="212" t="n"/>
      <c r="FU114" s="212" t="n"/>
      <c r="FV114" s="212" t="n"/>
      <c r="FW114" s="212" t="n"/>
      <c r="FX114" s="212" t="n"/>
      <c r="FY114" s="212" t="n"/>
      <c r="FZ114" s="212" t="n"/>
    </row>
    <row r="115" hidden="1" ht="36" customFormat="1" customHeight="1" s="5">
      <c r="A115" s="13" t="n"/>
      <c r="C115" s="238" t="n"/>
      <c r="D115" s="238" t="n"/>
      <c r="E115" s="238" t="n"/>
      <c r="F115" s="238" t="n"/>
      <c r="G115" s="238" t="n"/>
      <c r="H115" s="238" t="n"/>
      <c r="I115" s="238" t="n"/>
      <c r="J115" s="238" t="n"/>
      <c r="K115" s="238" t="n"/>
      <c r="L115" s="238" t="n"/>
      <c r="M115" s="238" t="n"/>
      <c r="N115" s="238" t="n"/>
      <c r="O115" s="238" t="n"/>
      <c r="P115" s="238" t="n"/>
      <c r="Q115" s="238" t="n"/>
      <c r="R115" s="238" t="n"/>
      <c r="S115" s="238" t="n"/>
      <c r="T115" s="238" t="n"/>
      <c r="U115" s="238" t="n"/>
      <c r="V115" s="238" t="n"/>
      <c r="W115" s="238" t="n"/>
      <c r="X115" s="238" t="n"/>
      <c r="Y115" s="238" t="n"/>
      <c r="Z115" s="238" t="n"/>
      <c r="AA115" s="238" t="n"/>
      <c r="AB115" s="238" t="n"/>
      <c r="AC115" s="238" t="n"/>
      <c r="AD115" s="238" t="n"/>
      <c r="AE115" s="238" t="n"/>
      <c r="AF115" s="238" t="n"/>
      <c r="AG115" s="238" t="n"/>
      <c r="AH115" s="238" t="n"/>
      <c r="AI115" s="238" t="n"/>
      <c r="AJ115" s="238" t="n"/>
      <c r="AK115" s="238" t="n"/>
      <c r="AL115" s="238" t="n"/>
      <c r="AM115" s="238" t="n"/>
      <c r="AN115" s="238" t="n"/>
      <c r="AO115" s="238" t="n"/>
      <c r="AP115" s="238" t="n"/>
      <c r="AQ115" s="238" t="n"/>
      <c r="AR115" s="238" t="n"/>
      <c r="AS115" s="238" t="n"/>
      <c r="AT115" s="238" t="n"/>
      <c r="AU115" s="238" t="n"/>
      <c r="AV115" s="238" t="n"/>
      <c r="AW115" s="238" t="n"/>
      <c r="AX115" s="238" t="n"/>
      <c r="AY115" s="238" t="n"/>
      <c r="AZ115" s="238" t="n"/>
      <c r="BA115" s="238" t="n"/>
      <c r="BB115" s="238" t="n"/>
      <c r="BC115" s="238" t="n"/>
      <c r="BD115" s="238" t="n"/>
      <c r="BE115" s="238" t="n"/>
      <c r="BF115" s="238" t="n"/>
      <c r="BG115" s="238" t="n"/>
      <c r="BH115" s="238" t="n"/>
      <c r="BI115" s="238" t="n"/>
      <c r="BJ115" s="238" t="n"/>
      <c r="BK115" s="238" t="n"/>
      <c r="BL115" s="238" t="n"/>
      <c r="BM115" s="238" t="n"/>
      <c r="BN115" s="238" t="n"/>
      <c r="BO115" s="238" t="n"/>
      <c r="BP115" s="238" t="n"/>
      <c r="BQ115" s="238" t="n"/>
      <c r="BR115" s="238" t="n"/>
      <c r="BS115" s="238" t="n"/>
      <c r="BT115" s="238" t="n"/>
      <c r="BU115" s="238" t="n"/>
      <c r="BV115" s="238" t="n"/>
      <c r="BW115" s="238" t="n"/>
      <c r="BX115" s="238" t="n"/>
      <c r="BY115" s="238" t="n"/>
      <c r="BZ115" s="238" t="n"/>
      <c r="CA115" s="238" t="n"/>
      <c r="CB115" s="238" t="n"/>
      <c r="CC115" s="238" t="n"/>
      <c r="CD115" s="238" t="n"/>
      <c r="CE115" s="238" t="n"/>
      <c r="CF115" s="238" t="n"/>
      <c r="CG115" s="238" t="n"/>
      <c r="CH115" s="238" t="n"/>
      <c r="CI115" s="238" t="n"/>
      <c r="CJ115" s="238" t="n"/>
      <c r="CK115" s="238" t="n"/>
      <c r="CL115" s="238" t="n"/>
      <c r="CM115" s="238" t="n"/>
      <c r="CN115" s="238" t="n"/>
      <c r="CO115" s="238" t="n"/>
      <c r="CP115" s="238" t="n"/>
      <c r="CQ115" s="238" t="n"/>
      <c r="CR115" s="238" t="n"/>
      <c r="CS115" s="238" t="n"/>
      <c r="CT115" s="238" t="n"/>
      <c r="CU115" s="238" t="n"/>
      <c r="CV115" s="238" t="n"/>
      <c r="CW115" s="238" t="n"/>
      <c r="CX115" s="238" t="n"/>
      <c r="CY115" s="238" t="n"/>
      <c r="CZ115" s="238" t="n"/>
      <c r="DA115" s="238" t="n"/>
      <c r="DB115" s="238" t="n"/>
      <c r="DC115" s="238" t="n"/>
      <c r="DD115" s="238" t="n"/>
      <c r="DE115" s="238" t="n"/>
      <c r="DF115" s="238" t="n"/>
      <c r="DG115" s="238" t="n"/>
      <c r="DH115" s="238" t="n"/>
      <c r="DI115" s="238" t="n"/>
      <c r="DJ115" s="238" t="n"/>
      <c r="DK115" s="238" t="n"/>
      <c r="DL115" s="238" t="n"/>
      <c r="DM115" s="238" t="n"/>
      <c r="DN115" s="238" t="n"/>
      <c r="DO115" s="238" t="n"/>
      <c r="DP115" s="238" t="n"/>
      <c r="DQ115" s="238" t="n"/>
      <c r="DR115" s="238" t="n"/>
      <c r="DS115" s="238" t="n"/>
      <c r="DT115" s="238" t="n"/>
      <c r="DU115" s="238" t="n"/>
      <c r="DV115" s="238" t="n"/>
      <c r="DW115" s="238" t="n"/>
      <c r="DX115" s="238" t="n"/>
      <c r="DY115" s="238" t="n"/>
      <c r="DZ115" s="23" t="n"/>
      <c r="FQ115" s="212" t="n"/>
      <c r="FR115" s="212" t="n"/>
      <c r="FS115" s="212" t="n"/>
      <c r="FT115" s="212" t="n"/>
      <c r="FU115" s="212" t="n"/>
      <c r="FV115" s="212" t="n"/>
      <c r="FW115" s="212" t="n"/>
      <c r="FX115" s="212" t="n"/>
      <c r="FY115" s="212" t="n"/>
      <c r="FZ115" s="212" t="n"/>
    </row>
    <row r="116" hidden="1" ht="36" customFormat="1" customHeight="1" s="5">
      <c r="A116" s="13" t="n"/>
      <c r="C116" s="238" t="n"/>
      <c r="D116" s="238" t="n"/>
      <c r="E116" s="238" t="n"/>
      <c r="F116" s="238" t="n"/>
      <c r="G116" s="238" t="n"/>
      <c r="H116" s="238" t="n"/>
      <c r="I116" s="238" t="n"/>
      <c r="J116" s="238" t="n"/>
      <c r="K116" s="238" t="n"/>
      <c r="L116" s="238" t="n"/>
      <c r="M116" s="238" t="n"/>
      <c r="N116" s="238" t="n"/>
      <c r="O116" s="238" t="n"/>
      <c r="P116" s="238" t="n"/>
      <c r="Q116" s="238" t="n"/>
      <c r="R116" s="238" t="n"/>
      <c r="S116" s="238" t="n"/>
      <c r="T116" s="238" t="n"/>
      <c r="U116" s="238" t="n"/>
      <c r="V116" s="238" t="n"/>
      <c r="W116" s="238" t="n"/>
      <c r="X116" s="238" t="n"/>
      <c r="Y116" s="238" t="n"/>
      <c r="Z116" s="238" t="n"/>
      <c r="AA116" s="238" t="n"/>
      <c r="AB116" s="238" t="n"/>
      <c r="AC116" s="238" t="n"/>
      <c r="AD116" s="238" t="n"/>
      <c r="AE116" s="238" t="n"/>
      <c r="AF116" s="238" t="n"/>
      <c r="AG116" s="238" t="n"/>
      <c r="AH116" s="238" t="n"/>
      <c r="AI116" s="238" t="n"/>
      <c r="AJ116" s="238" t="n"/>
      <c r="AK116" s="238" t="n"/>
      <c r="AL116" s="238" t="n"/>
      <c r="AM116" s="238" t="n"/>
      <c r="AN116" s="238" t="n"/>
      <c r="AO116" s="238" t="n"/>
      <c r="AP116" s="238" t="n"/>
      <c r="AQ116" s="238" t="n"/>
      <c r="AR116" s="238" t="n"/>
      <c r="AS116" s="238" t="n"/>
      <c r="AT116" s="238" t="n"/>
      <c r="AU116" s="238" t="n"/>
      <c r="AV116" s="238" t="n"/>
      <c r="AW116" s="238" t="n"/>
      <c r="AX116" s="238" t="n"/>
      <c r="AY116" s="238" t="n"/>
      <c r="AZ116" s="238" t="n"/>
      <c r="BA116" s="238" t="n"/>
      <c r="BB116" s="238" t="n"/>
      <c r="BC116" s="238" t="n"/>
      <c r="BD116" s="238" t="n"/>
      <c r="BE116" s="238" t="n"/>
      <c r="BF116" s="238" t="n"/>
      <c r="BG116" s="238" t="n"/>
      <c r="BH116" s="238" t="n"/>
      <c r="BI116" s="238" t="n"/>
      <c r="BJ116" s="238" t="n"/>
      <c r="BK116" s="238" t="n"/>
      <c r="BL116" s="238" t="n"/>
      <c r="BM116" s="238" t="n"/>
      <c r="BN116" s="238" t="n"/>
      <c r="BO116" s="238" t="n"/>
      <c r="BP116" s="238" t="n"/>
      <c r="BQ116" s="238" t="n"/>
      <c r="BR116" s="238" t="n"/>
      <c r="BS116" s="238" t="n"/>
      <c r="BT116" s="238" t="n"/>
      <c r="BU116" s="238" t="n"/>
      <c r="BV116" s="238" t="n"/>
      <c r="BW116" s="238" t="n"/>
      <c r="BX116" s="238" t="n"/>
      <c r="BY116" s="238" t="n"/>
      <c r="BZ116" s="238" t="n"/>
      <c r="CA116" s="238" t="n"/>
      <c r="CB116" s="238" t="n"/>
      <c r="CC116" s="238" t="n"/>
      <c r="CD116" s="238" t="n"/>
      <c r="CE116" s="238" t="n"/>
      <c r="CF116" s="238" t="n"/>
      <c r="CG116" s="238" t="n"/>
      <c r="CH116" s="238" t="n"/>
      <c r="CI116" s="238" t="n"/>
      <c r="CJ116" s="238" t="n"/>
      <c r="CK116" s="238" t="n"/>
      <c r="CL116" s="238" t="n"/>
      <c r="CM116" s="238" t="n"/>
      <c r="CN116" s="238" t="n"/>
      <c r="CO116" s="238" t="n"/>
      <c r="CP116" s="238" t="n"/>
      <c r="CQ116" s="238" t="n"/>
      <c r="CR116" s="238" t="n"/>
      <c r="CS116" s="238" t="n"/>
      <c r="CT116" s="238" t="n"/>
      <c r="CU116" s="238" t="n"/>
      <c r="CV116" s="238" t="n"/>
      <c r="CW116" s="238" t="n"/>
      <c r="CX116" s="238" t="n"/>
      <c r="CY116" s="238" t="n"/>
      <c r="CZ116" s="238" t="n"/>
      <c r="DA116" s="238" t="n"/>
      <c r="DB116" s="238" t="n"/>
      <c r="DC116" s="238" t="n"/>
      <c r="DD116" s="238" t="n"/>
      <c r="DE116" s="238" t="n"/>
      <c r="DF116" s="238" t="n"/>
      <c r="DG116" s="238" t="n"/>
      <c r="DH116" s="238" t="n"/>
      <c r="DI116" s="238" t="n"/>
      <c r="DJ116" s="238" t="n"/>
      <c r="DK116" s="238" t="n"/>
      <c r="DL116" s="238" t="n"/>
      <c r="DM116" s="238" t="n"/>
      <c r="DN116" s="238" t="n"/>
      <c r="DO116" s="238" t="n"/>
      <c r="DP116" s="238" t="n"/>
      <c r="DQ116" s="238" t="n"/>
      <c r="DR116" s="238" t="n"/>
      <c r="DS116" s="238" t="n"/>
      <c r="DT116" s="238" t="n"/>
      <c r="DU116" s="238" t="n"/>
      <c r="DV116" s="238" t="n"/>
      <c r="DW116" s="238" t="n"/>
      <c r="DX116" s="238" t="n"/>
      <c r="DY116" s="238" t="n"/>
      <c r="DZ116" s="23" t="n"/>
      <c r="FQ116" s="212" t="n"/>
      <c r="FR116" s="212" t="n"/>
      <c r="FS116" s="212" t="n"/>
      <c r="FT116" s="212" t="n"/>
      <c r="FU116" s="212" t="n"/>
      <c r="FV116" s="212" t="n"/>
      <c r="FW116" s="212" t="n"/>
      <c r="FX116" s="212" t="n"/>
      <c r="FY116" s="212" t="n"/>
      <c r="FZ116" s="212" t="n"/>
    </row>
    <row r="117" hidden="1" ht="36" customFormat="1" customHeight="1" s="5">
      <c r="A117" s="13" t="n"/>
      <c r="C117" s="238" t="n"/>
      <c r="D117" s="238" t="n"/>
      <c r="E117" s="238" t="n"/>
      <c r="F117" s="238" t="n"/>
      <c r="G117" s="238" t="n"/>
      <c r="H117" s="238" t="n"/>
      <c r="I117" s="238" t="n"/>
      <c r="J117" s="238" t="n"/>
      <c r="K117" s="238" t="n"/>
      <c r="L117" s="238" t="n"/>
      <c r="M117" s="238" t="n"/>
      <c r="N117" s="238" t="n"/>
      <c r="O117" s="238" t="n"/>
      <c r="P117" s="238" t="n"/>
      <c r="Q117" s="238" t="n"/>
      <c r="R117" s="238" t="n"/>
      <c r="S117" s="238" t="n"/>
      <c r="T117" s="238" t="n"/>
      <c r="U117" s="238" t="n"/>
      <c r="V117" s="238" t="n"/>
      <c r="W117" s="238" t="n"/>
      <c r="X117" s="238" t="n"/>
      <c r="Y117" s="238" t="n"/>
      <c r="Z117" s="238" t="n"/>
      <c r="AA117" s="238" t="n"/>
      <c r="AB117" s="238" t="n"/>
      <c r="AC117" s="238" t="n"/>
      <c r="AD117" s="238" t="n"/>
      <c r="AE117" s="238" t="n"/>
      <c r="AF117" s="238" t="n"/>
      <c r="AG117" s="238" t="n"/>
      <c r="AH117" s="238" t="n"/>
      <c r="AI117" s="238" t="n"/>
      <c r="AJ117" s="238" t="n"/>
      <c r="AK117" s="238" t="n"/>
      <c r="AL117" s="238" t="n"/>
      <c r="AM117" s="238" t="n"/>
      <c r="AN117" s="238" t="n"/>
      <c r="AO117" s="238" t="n"/>
      <c r="AP117" s="238" t="n"/>
      <c r="AQ117" s="238" t="n"/>
      <c r="AR117" s="238" t="n"/>
      <c r="AS117" s="238" t="n"/>
      <c r="AT117" s="238" t="n"/>
      <c r="AU117" s="238" t="n"/>
      <c r="AV117" s="238" t="n"/>
      <c r="AW117" s="238" t="n"/>
      <c r="AX117" s="238" t="n"/>
      <c r="AY117" s="238" t="n"/>
      <c r="AZ117" s="238" t="n"/>
      <c r="BA117" s="238" t="n"/>
      <c r="BB117" s="238" t="n"/>
      <c r="BC117" s="238" t="n"/>
      <c r="BD117" s="238" t="n"/>
      <c r="BE117" s="238" t="n"/>
      <c r="BF117" s="238" t="n"/>
      <c r="BG117" s="238" t="n"/>
      <c r="BH117" s="238" t="n"/>
      <c r="BI117" s="238" t="n"/>
      <c r="BJ117" s="238" t="n"/>
      <c r="BK117" s="238" t="n"/>
      <c r="BL117" s="238" t="n"/>
      <c r="BM117" s="238" t="n"/>
      <c r="BN117" s="238" t="n"/>
      <c r="BO117" s="238" t="n"/>
      <c r="BP117" s="238" t="n"/>
      <c r="BQ117" s="238" t="n"/>
      <c r="BR117" s="238" t="n"/>
      <c r="BS117" s="238" t="n"/>
      <c r="BT117" s="238" t="n"/>
      <c r="BU117" s="238" t="n"/>
      <c r="BV117" s="238" t="n"/>
      <c r="BW117" s="238" t="n"/>
      <c r="BX117" s="238" t="n"/>
      <c r="BY117" s="238" t="n"/>
      <c r="BZ117" s="238" t="n"/>
      <c r="CA117" s="238" t="n"/>
      <c r="CB117" s="238" t="n"/>
      <c r="CC117" s="238" t="n"/>
      <c r="CD117" s="238" t="n"/>
      <c r="CE117" s="238" t="n"/>
      <c r="CF117" s="238" t="n"/>
      <c r="CG117" s="238" t="n"/>
      <c r="CH117" s="238" t="n"/>
      <c r="CI117" s="238" t="n"/>
      <c r="CJ117" s="238" t="n"/>
      <c r="CK117" s="238" t="n"/>
      <c r="CL117" s="238" t="n"/>
      <c r="CM117" s="238" t="n"/>
      <c r="CN117" s="238" t="n"/>
      <c r="CO117" s="238" t="n"/>
      <c r="CP117" s="238" t="n"/>
      <c r="CQ117" s="238" t="n"/>
      <c r="CR117" s="238" t="n"/>
      <c r="CS117" s="238" t="n"/>
      <c r="CT117" s="238" t="n"/>
      <c r="CU117" s="238" t="n"/>
      <c r="CV117" s="238" t="n"/>
      <c r="CW117" s="238" t="n"/>
      <c r="CX117" s="238" t="n"/>
      <c r="CY117" s="238" t="n"/>
      <c r="CZ117" s="238" t="n"/>
      <c r="DA117" s="238" t="n"/>
      <c r="DB117" s="238" t="n"/>
      <c r="DC117" s="238" t="n"/>
      <c r="DD117" s="238" t="n"/>
      <c r="DE117" s="238" t="n"/>
      <c r="DF117" s="238" t="n"/>
      <c r="DG117" s="238" t="n"/>
      <c r="DH117" s="238" t="n"/>
      <c r="DI117" s="238" t="n"/>
      <c r="DJ117" s="238" t="n"/>
      <c r="DK117" s="238" t="n"/>
      <c r="DL117" s="238" t="n"/>
      <c r="DM117" s="238" t="n"/>
      <c r="DN117" s="238" t="n"/>
      <c r="DO117" s="238" t="n"/>
      <c r="DP117" s="238" t="n"/>
      <c r="DQ117" s="238" t="n"/>
      <c r="DR117" s="238" t="n"/>
      <c r="DS117" s="238" t="n"/>
      <c r="DT117" s="238" t="n"/>
      <c r="DU117" s="238" t="n"/>
      <c r="DV117" s="238" t="n"/>
      <c r="DW117" s="238" t="n"/>
      <c r="DX117" s="238" t="n"/>
      <c r="DY117" s="238" t="n"/>
      <c r="DZ117" s="23" t="n"/>
      <c r="FQ117" s="212" t="n"/>
      <c r="FR117" s="212" t="n"/>
      <c r="FS117" s="212" t="n"/>
      <c r="FT117" s="212" t="n"/>
      <c r="FU117" s="212" t="n"/>
      <c r="FV117" s="212" t="n"/>
      <c r="FW117" s="212" t="n"/>
      <c r="FX117" s="212" t="n"/>
      <c r="FY117" s="212" t="n"/>
      <c r="FZ117" s="212" t="n"/>
    </row>
    <row r="118" hidden="1" ht="36" customFormat="1" customHeight="1" s="5">
      <c r="A118" s="13" t="n"/>
      <c r="C118" s="238" t="n"/>
      <c r="D118" s="238" t="n"/>
      <c r="E118" s="238" t="n"/>
      <c r="F118" s="238" t="n"/>
      <c r="G118" s="238" t="n"/>
      <c r="H118" s="238" t="n"/>
      <c r="I118" s="238" t="n"/>
      <c r="J118" s="238" t="n"/>
      <c r="K118" s="238" t="n"/>
      <c r="L118" s="238" t="n"/>
      <c r="M118" s="238" t="n"/>
      <c r="N118" s="238" t="n"/>
      <c r="O118" s="238" t="n"/>
      <c r="P118" s="238" t="n"/>
      <c r="Q118" s="238" t="n"/>
      <c r="R118" s="238" t="n"/>
      <c r="S118" s="238" t="n"/>
      <c r="T118" s="238" t="n"/>
      <c r="U118" s="238" t="n"/>
      <c r="V118" s="238" t="n"/>
      <c r="W118" s="238" t="n"/>
      <c r="X118" s="238" t="n"/>
      <c r="Y118" s="238" t="n"/>
      <c r="Z118" s="238" t="n"/>
      <c r="AA118" s="238" t="n"/>
      <c r="AB118" s="238" t="n"/>
      <c r="AC118" s="238" t="n"/>
      <c r="AD118" s="238" t="n"/>
      <c r="AE118" s="238" t="n"/>
      <c r="AF118" s="238" t="n"/>
      <c r="AG118" s="238" t="n"/>
      <c r="AH118" s="238" t="n"/>
      <c r="AI118" s="238" t="n"/>
      <c r="AJ118" s="238" t="n"/>
      <c r="AK118" s="238" t="n"/>
      <c r="AL118" s="238" t="n"/>
      <c r="AM118" s="238" t="n"/>
      <c r="AN118" s="238" t="n"/>
      <c r="AO118" s="238" t="n"/>
      <c r="AP118" s="238" t="n"/>
      <c r="AQ118" s="238" t="n"/>
      <c r="AR118" s="238" t="n"/>
      <c r="AS118" s="238" t="n"/>
      <c r="AT118" s="238" t="n"/>
      <c r="AU118" s="238" t="n"/>
      <c r="AV118" s="238" t="n"/>
      <c r="AW118" s="238" t="n"/>
      <c r="AX118" s="238" t="n"/>
      <c r="AY118" s="238" t="n"/>
      <c r="AZ118" s="238" t="n"/>
      <c r="BA118" s="238" t="n"/>
      <c r="BB118" s="238" t="n"/>
      <c r="BC118" s="238" t="n"/>
      <c r="BD118" s="238" t="n"/>
      <c r="BE118" s="238" t="n"/>
      <c r="BF118" s="238" t="n"/>
      <c r="BG118" s="238" t="n"/>
      <c r="BH118" s="238" t="n"/>
      <c r="BI118" s="238" t="n"/>
      <c r="BJ118" s="238" t="n"/>
      <c r="BK118" s="238" t="n"/>
      <c r="BL118" s="238" t="n"/>
      <c r="BM118" s="238" t="n"/>
      <c r="BN118" s="238" t="n"/>
      <c r="BO118" s="238" t="n"/>
      <c r="BP118" s="238" t="n"/>
      <c r="BQ118" s="238" t="n"/>
      <c r="BR118" s="238" t="n"/>
      <c r="BS118" s="238" t="n"/>
      <c r="BT118" s="238" t="n"/>
      <c r="BU118" s="238" t="n"/>
      <c r="BV118" s="238" t="n"/>
      <c r="BW118" s="238" t="n"/>
      <c r="BX118" s="238" t="n"/>
      <c r="BY118" s="238" t="n"/>
      <c r="BZ118" s="238" t="n"/>
      <c r="CA118" s="238" t="n"/>
      <c r="CB118" s="238" t="n"/>
      <c r="CC118" s="238" t="n"/>
      <c r="CD118" s="238" t="n"/>
      <c r="CE118" s="238" t="n"/>
      <c r="CF118" s="238" t="n"/>
      <c r="CG118" s="238" t="n"/>
      <c r="CH118" s="238" t="n"/>
      <c r="CI118" s="238" t="n"/>
      <c r="CJ118" s="238" t="n"/>
      <c r="CK118" s="238" t="n"/>
      <c r="CL118" s="238" t="n"/>
      <c r="CM118" s="238" t="n"/>
      <c r="CN118" s="238" t="n"/>
      <c r="CO118" s="238" t="n"/>
      <c r="CP118" s="238" t="n"/>
      <c r="CQ118" s="238" t="n"/>
      <c r="CR118" s="238" t="n"/>
      <c r="CS118" s="238" t="n"/>
      <c r="CT118" s="238" t="n"/>
      <c r="CU118" s="238" t="n"/>
      <c r="CV118" s="238" t="n"/>
      <c r="CW118" s="238" t="n"/>
      <c r="CX118" s="238" t="n"/>
      <c r="CY118" s="238" t="n"/>
      <c r="CZ118" s="238" t="n"/>
      <c r="DA118" s="238" t="n"/>
      <c r="DB118" s="238" t="n"/>
      <c r="DC118" s="238" t="n"/>
      <c r="DD118" s="238" t="n"/>
      <c r="DE118" s="238" t="n"/>
      <c r="DF118" s="238" t="n"/>
      <c r="DG118" s="238" t="n"/>
      <c r="DH118" s="238" t="n"/>
      <c r="DI118" s="238" t="n"/>
      <c r="DJ118" s="238" t="n"/>
      <c r="DK118" s="238" t="n"/>
      <c r="DL118" s="238" t="n"/>
      <c r="DM118" s="238" t="n"/>
      <c r="DN118" s="238" t="n"/>
      <c r="DO118" s="238" t="n"/>
      <c r="DP118" s="238" t="n"/>
      <c r="DQ118" s="238" t="n"/>
      <c r="DR118" s="238" t="n"/>
      <c r="DS118" s="238" t="n"/>
      <c r="DT118" s="238" t="n"/>
      <c r="DU118" s="238" t="n"/>
      <c r="DV118" s="238" t="n"/>
      <c r="DW118" s="238" t="n"/>
      <c r="DX118" s="238" t="n"/>
      <c r="DY118" s="238" t="n"/>
      <c r="DZ118" s="23" t="n"/>
      <c r="FQ118" s="212" t="n"/>
      <c r="FR118" s="212" t="n"/>
      <c r="FS118" s="212" t="n"/>
      <c r="FT118" s="212" t="n"/>
      <c r="FU118" s="212" t="n"/>
      <c r="FV118" s="212" t="n"/>
      <c r="FW118" s="212" t="n"/>
      <c r="FX118" s="212" t="n"/>
      <c r="FY118" s="212" t="n"/>
      <c r="FZ118" s="212" t="n"/>
    </row>
    <row r="119" hidden="1" ht="36" customFormat="1" customHeight="1" s="5">
      <c r="A119" s="13" t="n"/>
      <c r="C119" s="238" t="n"/>
      <c r="D119" s="238" t="n"/>
      <c r="E119" s="238" t="n"/>
      <c r="F119" s="238" t="n"/>
      <c r="G119" s="238" t="n"/>
      <c r="H119" s="238" t="n"/>
      <c r="I119" s="238" t="n"/>
      <c r="J119" s="238" t="n"/>
      <c r="K119" s="238" t="n"/>
      <c r="L119" s="238" t="n"/>
      <c r="M119" s="238" t="n"/>
      <c r="N119" s="238" t="n"/>
      <c r="O119" s="238" t="n"/>
      <c r="P119" s="238" t="n"/>
      <c r="Q119" s="238" t="n"/>
      <c r="R119" s="238" t="n"/>
      <c r="S119" s="238" t="n"/>
      <c r="T119" s="238" t="n"/>
      <c r="U119" s="238" t="n"/>
      <c r="V119" s="238" t="n"/>
      <c r="W119" s="238" t="n"/>
      <c r="X119" s="238" t="n"/>
      <c r="Y119" s="238" t="n"/>
      <c r="Z119" s="238" t="n"/>
      <c r="AA119" s="238" t="n"/>
      <c r="AB119" s="238" t="n"/>
      <c r="AC119" s="238" t="n"/>
      <c r="AD119" s="238" t="n"/>
      <c r="AE119" s="238" t="n"/>
      <c r="AF119" s="238" t="n"/>
      <c r="AG119" s="238" t="n"/>
      <c r="AH119" s="238" t="n"/>
      <c r="AI119" s="238" t="n"/>
      <c r="AJ119" s="238" t="n"/>
      <c r="AK119" s="238" t="n"/>
      <c r="AL119" s="238" t="n"/>
      <c r="AM119" s="238" t="n"/>
      <c r="AN119" s="238" t="n"/>
      <c r="AO119" s="238" t="n"/>
      <c r="AP119" s="238" t="n"/>
      <c r="AQ119" s="238" t="n"/>
      <c r="AR119" s="238" t="n"/>
      <c r="AS119" s="238" t="n"/>
      <c r="AT119" s="238" t="n"/>
      <c r="AU119" s="238" t="n"/>
      <c r="AV119" s="238" t="n"/>
      <c r="AW119" s="238" t="n"/>
      <c r="AX119" s="238" t="n"/>
      <c r="AY119" s="238" t="n"/>
      <c r="AZ119" s="238" t="n"/>
      <c r="BA119" s="238" t="n"/>
      <c r="BB119" s="238" t="n"/>
      <c r="BC119" s="238" t="n"/>
      <c r="BD119" s="238" t="n"/>
      <c r="BE119" s="238" t="n"/>
      <c r="BF119" s="238" t="n"/>
      <c r="BG119" s="238" t="n"/>
      <c r="BH119" s="238" t="n"/>
      <c r="BI119" s="238" t="n"/>
      <c r="BJ119" s="238" t="n"/>
      <c r="BK119" s="238" t="n"/>
      <c r="BL119" s="238" t="n"/>
      <c r="BM119" s="238" t="n"/>
      <c r="BN119" s="238" t="n"/>
      <c r="BO119" s="238" t="n"/>
      <c r="BP119" s="238" t="n"/>
      <c r="BQ119" s="238" t="n"/>
      <c r="BR119" s="238" t="n"/>
      <c r="BS119" s="238" t="n"/>
      <c r="BT119" s="238" t="n"/>
      <c r="BU119" s="238" t="n"/>
      <c r="BV119" s="238" t="n"/>
      <c r="BW119" s="238" t="n"/>
      <c r="BX119" s="238" t="n"/>
      <c r="BY119" s="238" t="n"/>
      <c r="BZ119" s="238" t="n"/>
      <c r="CA119" s="238" t="n"/>
      <c r="CB119" s="238" t="n"/>
      <c r="CC119" s="238" t="n"/>
      <c r="CD119" s="238" t="n"/>
      <c r="CE119" s="238" t="n"/>
      <c r="CF119" s="238" t="n"/>
      <c r="CG119" s="238" t="n"/>
      <c r="CH119" s="238" t="n"/>
      <c r="CI119" s="238" t="n"/>
      <c r="CJ119" s="238" t="n"/>
      <c r="CK119" s="238" t="n"/>
      <c r="CL119" s="238" t="n"/>
      <c r="CM119" s="238" t="n"/>
      <c r="CN119" s="238" t="n"/>
      <c r="CO119" s="238" t="n"/>
      <c r="CP119" s="238" t="n"/>
      <c r="CQ119" s="238" t="n"/>
      <c r="CR119" s="238" t="n"/>
      <c r="CS119" s="238" t="n"/>
      <c r="CT119" s="238" t="n"/>
      <c r="CU119" s="238" t="n"/>
      <c r="CV119" s="238" t="n"/>
      <c r="CW119" s="238" t="n"/>
      <c r="CX119" s="238" t="n"/>
      <c r="CY119" s="238" t="n"/>
      <c r="CZ119" s="238" t="n"/>
      <c r="DA119" s="238" t="n"/>
      <c r="DB119" s="238" t="n"/>
      <c r="DC119" s="238" t="n"/>
      <c r="DD119" s="238" t="n"/>
      <c r="DE119" s="238" t="n"/>
      <c r="DF119" s="238" t="n"/>
      <c r="DG119" s="238" t="n"/>
      <c r="DH119" s="238" t="n"/>
      <c r="DI119" s="238" t="n"/>
      <c r="DJ119" s="238" t="n"/>
      <c r="DK119" s="238" t="n"/>
      <c r="DL119" s="238" t="n"/>
      <c r="DM119" s="238" t="n"/>
      <c r="DN119" s="238" t="n"/>
      <c r="DO119" s="238" t="n"/>
      <c r="DP119" s="238" t="n"/>
      <c r="DQ119" s="238" t="n"/>
      <c r="DR119" s="238" t="n"/>
      <c r="DS119" s="238" t="n"/>
      <c r="DT119" s="238" t="n"/>
      <c r="DU119" s="238" t="n"/>
      <c r="DV119" s="238" t="n"/>
      <c r="DW119" s="238" t="n"/>
      <c r="DX119" s="238" t="n"/>
      <c r="DY119" s="238" t="n"/>
      <c r="DZ119" s="23" t="n"/>
      <c r="FQ119" s="212" t="n"/>
      <c r="FR119" s="212" t="n"/>
      <c r="FS119" s="212" t="n"/>
      <c r="FT119" s="212" t="n"/>
      <c r="FU119" s="212" t="n"/>
      <c r="FV119" s="212" t="n"/>
      <c r="FW119" s="212" t="n"/>
      <c r="FX119" s="212" t="n"/>
      <c r="FY119" s="212" t="n"/>
      <c r="FZ119" s="212" t="n"/>
    </row>
    <row r="120" hidden="1" ht="36" customFormat="1" customHeight="1" s="5">
      <c r="A120" s="13" t="n"/>
      <c r="C120" s="238" t="n"/>
      <c r="D120" s="238" t="n"/>
      <c r="E120" s="238" t="n"/>
      <c r="F120" s="238" t="n"/>
      <c r="G120" s="238" t="n"/>
      <c r="H120" s="238" t="n"/>
      <c r="I120" s="238" t="n"/>
      <c r="J120" s="238" t="n"/>
      <c r="K120" s="238" t="n"/>
      <c r="L120" s="238" t="n"/>
      <c r="M120" s="238" t="n"/>
      <c r="N120" s="238" t="n"/>
      <c r="O120" s="238" t="n"/>
      <c r="P120" s="238" t="n"/>
      <c r="Q120" s="238" t="n"/>
      <c r="R120" s="238" t="n"/>
      <c r="S120" s="238" t="n"/>
      <c r="T120" s="238" t="n"/>
      <c r="U120" s="238" t="n"/>
      <c r="V120" s="238" t="n"/>
      <c r="W120" s="238" t="n"/>
      <c r="X120" s="238" t="n"/>
      <c r="Y120" s="238" t="n"/>
      <c r="Z120" s="238" t="n"/>
      <c r="AA120" s="238" t="n"/>
      <c r="AB120" s="238" t="n"/>
      <c r="AC120" s="238" t="n"/>
      <c r="AD120" s="238" t="n"/>
      <c r="AE120" s="238" t="n"/>
      <c r="AF120" s="238" t="n"/>
      <c r="AG120" s="238" t="n"/>
      <c r="AH120" s="238" t="n"/>
      <c r="AI120" s="238" t="n"/>
      <c r="AJ120" s="238" t="n"/>
      <c r="AK120" s="238" t="n"/>
      <c r="AL120" s="238" t="n"/>
      <c r="AM120" s="238" t="n"/>
      <c r="AN120" s="238" t="n"/>
      <c r="AO120" s="238" t="n"/>
      <c r="AP120" s="238" t="n"/>
      <c r="AQ120" s="238" t="n"/>
      <c r="AR120" s="238" t="n"/>
      <c r="AS120" s="238" t="n"/>
      <c r="AT120" s="238" t="n"/>
      <c r="AU120" s="238" t="n"/>
      <c r="AV120" s="238" t="n"/>
      <c r="AW120" s="238" t="n"/>
      <c r="AX120" s="238" t="n"/>
      <c r="AY120" s="238" t="n"/>
      <c r="AZ120" s="238" t="n"/>
      <c r="BA120" s="238" t="n"/>
      <c r="BB120" s="238" t="n"/>
      <c r="BC120" s="238" t="n"/>
      <c r="BD120" s="238" t="n"/>
      <c r="BE120" s="238" t="n"/>
      <c r="BF120" s="238" t="n"/>
      <c r="BG120" s="238" t="n"/>
      <c r="BH120" s="238" t="n"/>
      <c r="BI120" s="238" t="n"/>
      <c r="BJ120" s="238" t="n"/>
      <c r="BK120" s="238" t="n"/>
      <c r="BL120" s="238" t="n"/>
      <c r="BM120" s="238" t="n"/>
      <c r="BN120" s="238" t="n"/>
      <c r="BO120" s="238" t="n"/>
      <c r="BP120" s="238" t="n"/>
      <c r="BQ120" s="238" t="n"/>
      <c r="BR120" s="238" t="n"/>
      <c r="BS120" s="238" t="n"/>
      <c r="BT120" s="238" t="n"/>
      <c r="BU120" s="238" t="n"/>
      <c r="BV120" s="238" t="n"/>
      <c r="BW120" s="238" t="n"/>
      <c r="BX120" s="238" t="n"/>
      <c r="BY120" s="238" t="n"/>
      <c r="BZ120" s="238" t="n"/>
      <c r="CA120" s="238" t="n"/>
      <c r="CB120" s="238" t="n"/>
      <c r="CC120" s="238" t="n"/>
      <c r="CD120" s="238" t="n"/>
      <c r="CE120" s="238" t="n"/>
      <c r="CF120" s="238" t="n"/>
      <c r="CG120" s="238" t="n"/>
      <c r="CH120" s="238" t="n"/>
      <c r="CI120" s="238" t="n"/>
      <c r="CJ120" s="238" t="n"/>
      <c r="CK120" s="238" t="n"/>
      <c r="CL120" s="238" t="n"/>
      <c r="CM120" s="238" t="n"/>
      <c r="CN120" s="238" t="n"/>
      <c r="CO120" s="238" t="n"/>
      <c r="CP120" s="238" t="n"/>
      <c r="CQ120" s="238" t="n"/>
      <c r="CR120" s="238" t="n"/>
      <c r="CS120" s="238" t="n"/>
      <c r="CT120" s="238" t="n"/>
      <c r="CU120" s="238" t="n"/>
      <c r="CV120" s="238" t="n"/>
      <c r="CW120" s="238" t="n"/>
      <c r="CX120" s="238" t="n"/>
      <c r="CY120" s="238" t="n"/>
      <c r="CZ120" s="238" t="n"/>
      <c r="DA120" s="238" t="n"/>
      <c r="DB120" s="238" t="n"/>
      <c r="DC120" s="238" t="n"/>
      <c r="DD120" s="238" t="n"/>
      <c r="DE120" s="238" t="n"/>
      <c r="DF120" s="238" t="n"/>
      <c r="DG120" s="238" t="n"/>
      <c r="DH120" s="238" t="n"/>
      <c r="DI120" s="238" t="n"/>
      <c r="DJ120" s="238" t="n"/>
      <c r="DK120" s="238" t="n"/>
      <c r="DL120" s="238" t="n"/>
      <c r="DM120" s="238" t="n"/>
      <c r="DN120" s="238" t="n"/>
      <c r="DO120" s="238" t="n"/>
      <c r="DP120" s="238" t="n"/>
      <c r="DQ120" s="238" t="n"/>
      <c r="DR120" s="238" t="n"/>
      <c r="DS120" s="238" t="n"/>
      <c r="DT120" s="238" t="n"/>
      <c r="DU120" s="238" t="n"/>
      <c r="DV120" s="238" t="n"/>
      <c r="DW120" s="238" t="n"/>
      <c r="DX120" s="238" t="n"/>
      <c r="DY120" s="238" t="n"/>
      <c r="DZ120" s="23" t="n"/>
      <c r="FQ120" s="212" t="n"/>
      <c r="FR120" s="212" t="n"/>
      <c r="FS120" s="212" t="n"/>
      <c r="FT120" s="212" t="n"/>
      <c r="FU120" s="212" t="n"/>
      <c r="FV120" s="212" t="n"/>
      <c r="FW120" s="212" t="n"/>
      <c r="FX120" s="212" t="n"/>
      <c r="FY120" s="212" t="n"/>
      <c r="FZ120" s="212" t="n"/>
    </row>
    <row r="121" hidden="1" ht="36" customFormat="1" customHeight="1" s="5">
      <c r="A121" s="13" t="n"/>
      <c r="C121" s="238" t="n"/>
      <c r="D121" s="238" t="n"/>
      <c r="E121" s="238" t="n"/>
      <c r="F121" s="238" t="n"/>
      <c r="G121" s="238" t="n"/>
      <c r="H121" s="238" t="n"/>
      <c r="I121" s="238" t="n"/>
      <c r="J121" s="238" t="n"/>
      <c r="K121" s="238" t="n"/>
      <c r="L121" s="238" t="n"/>
      <c r="M121" s="238" t="n"/>
      <c r="N121" s="238" t="n"/>
      <c r="O121" s="238" t="n"/>
      <c r="P121" s="238" t="n"/>
      <c r="Q121" s="238" t="n"/>
      <c r="R121" s="238" t="n"/>
      <c r="S121" s="238" t="n"/>
      <c r="T121" s="238" t="n"/>
      <c r="U121" s="238" t="n"/>
      <c r="V121" s="238" t="n"/>
      <c r="W121" s="238" t="n"/>
      <c r="X121" s="238" t="n"/>
      <c r="Y121" s="238" t="n"/>
      <c r="Z121" s="238" t="n"/>
      <c r="AA121" s="238" t="n"/>
      <c r="AB121" s="238" t="n"/>
      <c r="AC121" s="238" t="n"/>
      <c r="AD121" s="238" t="n"/>
      <c r="AE121" s="238" t="n"/>
      <c r="AF121" s="238" t="n"/>
      <c r="AG121" s="238" t="n"/>
      <c r="AH121" s="238" t="n"/>
      <c r="AI121" s="238" t="n"/>
      <c r="AJ121" s="238" t="n"/>
      <c r="AK121" s="238" t="n"/>
      <c r="AL121" s="238" t="n"/>
      <c r="AM121" s="238" t="n"/>
      <c r="AN121" s="238" t="n"/>
      <c r="AO121" s="238" t="n"/>
      <c r="AP121" s="238" t="n"/>
      <c r="AQ121" s="238" t="n"/>
      <c r="AR121" s="238" t="n"/>
      <c r="AS121" s="238" t="n"/>
      <c r="AT121" s="238" t="n"/>
      <c r="AU121" s="238" t="n"/>
      <c r="AV121" s="238" t="n"/>
      <c r="AW121" s="238" t="n"/>
      <c r="AX121" s="238" t="n"/>
      <c r="AY121" s="238" t="n"/>
      <c r="AZ121" s="238" t="n"/>
      <c r="BA121" s="238" t="n"/>
      <c r="BB121" s="238" t="n"/>
      <c r="BC121" s="238" t="n"/>
      <c r="BD121" s="238" t="n"/>
      <c r="BE121" s="238" t="n"/>
      <c r="BF121" s="238" t="n"/>
      <c r="BG121" s="238" t="n"/>
      <c r="BH121" s="238" t="n"/>
      <c r="BI121" s="238" t="n"/>
      <c r="BJ121" s="238" t="n"/>
      <c r="BK121" s="238" t="n"/>
      <c r="BL121" s="238" t="n"/>
      <c r="BM121" s="238" t="n"/>
      <c r="BN121" s="238" t="n"/>
      <c r="BO121" s="238" t="n"/>
      <c r="BP121" s="238" t="n"/>
      <c r="BQ121" s="238" t="n"/>
      <c r="BR121" s="238" t="n"/>
      <c r="BS121" s="238" t="n"/>
      <c r="BT121" s="238" t="n"/>
      <c r="BU121" s="238" t="n"/>
      <c r="BV121" s="238" t="n"/>
      <c r="BW121" s="238" t="n"/>
      <c r="BX121" s="238" t="n"/>
      <c r="BY121" s="238" t="n"/>
      <c r="BZ121" s="238" t="n"/>
      <c r="CA121" s="238" t="n"/>
      <c r="CB121" s="238" t="n"/>
      <c r="CC121" s="238" t="n"/>
      <c r="CD121" s="238" t="n"/>
      <c r="CE121" s="238" t="n"/>
      <c r="CF121" s="238" t="n"/>
      <c r="CG121" s="238" t="n"/>
      <c r="CH121" s="238" t="n"/>
      <c r="CI121" s="238" t="n"/>
      <c r="CJ121" s="238" t="n"/>
      <c r="CK121" s="238" t="n"/>
      <c r="CL121" s="238" t="n"/>
      <c r="CM121" s="238" t="n"/>
      <c r="CN121" s="238" t="n"/>
      <c r="CO121" s="238" t="n"/>
      <c r="CP121" s="238" t="n"/>
      <c r="CQ121" s="238" t="n"/>
      <c r="CR121" s="238" t="n"/>
      <c r="CS121" s="238" t="n"/>
      <c r="CT121" s="238" t="n"/>
      <c r="CU121" s="238" t="n"/>
      <c r="CV121" s="238" t="n"/>
      <c r="CW121" s="238" t="n"/>
      <c r="CX121" s="238" t="n"/>
      <c r="CY121" s="238" t="n"/>
      <c r="CZ121" s="238" t="n"/>
      <c r="DA121" s="238" t="n"/>
      <c r="DB121" s="238" t="n"/>
      <c r="DC121" s="238" t="n"/>
      <c r="DD121" s="238" t="n"/>
      <c r="DE121" s="238" t="n"/>
      <c r="DF121" s="238" t="n"/>
      <c r="DG121" s="238" t="n"/>
      <c r="DH121" s="238" t="n"/>
      <c r="DI121" s="238" t="n"/>
      <c r="DJ121" s="238" t="n"/>
      <c r="DK121" s="238" t="n"/>
      <c r="DL121" s="238" t="n"/>
      <c r="DM121" s="238" t="n"/>
      <c r="DN121" s="238" t="n"/>
      <c r="DO121" s="238" t="n"/>
      <c r="DP121" s="238" t="n"/>
      <c r="DQ121" s="238" t="n"/>
      <c r="DR121" s="238" t="n"/>
      <c r="DS121" s="238" t="n"/>
      <c r="DT121" s="238" t="n"/>
      <c r="DU121" s="238" t="n"/>
      <c r="DV121" s="238" t="n"/>
      <c r="DW121" s="238" t="n"/>
      <c r="DX121" s="238" t="n"/>
      <c r="DY121" s="238" t="n"/>
      <c r="DZ121" s="23" t="n"/>
      <c r="FQ121" s="212" t="n"/>
      <c r="FR121" s="212" t="n"/>
      <c r="FS121" s="212" t="n"/>
      <c r="FT121" s="212" t="n"/>
      <c r="FU121" s="212" t="n"/>
      <c r="FV121" s="212" t="n"/>
      <c r="FW121" s="212" t="n"/>
      <c r="FX121" s="212" t="n"/>
      <c r="FY121" s="212" t="n"/>
      <c r="FZ121" s="212" t="n"/>
    </row>
    <row r="122" hidden="1" ht="36" customFormat="1" customHeight="1" s="5">
      <c r="A122" s="13" t="n"/>
      <c r="C122" s="238" t="n"/>
      <c r="D122" s="238" t="n"/>
      <c r="E122" s="238" t="n"/>
      <c r="F122" s="238" t="n"/>
      <c r="G122" s="238" t="n"/>
      <c r="H122" s="238" t="n"/>
      <c r="I122" s="238" t="n"/>
      <c r="J122" s="238" t="n"/>
      <c r="K122" s="238" t="n"/>
      <c r="L122" s="238" t="n"/>
      <c r="M122" s="238" t="n"/>
      <c r="N122" s="238" t="n"/>
      <c r="O122" s="238" t="n"/>
      <c r="P122" s="238" t="n"/>
      <c r="Q122" s="238" t="n"/>
      <c r="R122" s="238" t="n"/>
      <c r="S122" s="238" t="n"/>
      <c r="T122" s="238" t="n"/>
      <c r="U122" s="238" t="n"/>
      <c r="V122" s="238" t="n"/>
      <c r="W122" s="238" t="n"/>
      <c r="X122" s="238" t="n"/>
      <c r="Y122" s="238" t="n"/>
      <c r="Z122" s="238" t="n"/>
      <c r="AA122" s="238" t="n"/>
      <c r="AB122" s="238" t="n"/>
      <c r="AC122" s="238" t="n"/>
      <c r="AD122" s="238" t="n"/>
      <c r="AE122" s="238" t="n"/>
      <c r="AF122" s="238" t="n"/>
      <c r="AG122" s="238" t="n"/>
      <c r="AH122" s="238" t="n"/>
      <c r="AI122" s="238" t="n"/>
      <c r="AJ122" s="238" t="n"/>
      <c r="AK122" s="238" t="n"/>
      <c r="AL122" s="238" t="n"/>
      <c r="AM122" s="238" t="n"/>
      <c r="AN122" s="238" t="n"/>
      <c r="AO122" s="238" t="n"/>
      <c r="AP122" s="238" t="n"/>
      <c r="AQ122" s="238" t="n"/>
      <c r="AR122" s="238" t="n"/>
      <c r="AS122" s="238" t="n"/>
      <c r="AT122" s="238" t="n"/>
      <c r="AU122" s="238" t="n"/>
      <c r="AV122" s="238" t="n"/>
      <c r="AW122" s="238" t="n"/>
      <c r="AX122" s="238" t="n"/>
      <c r="AY122" s="238" t="n"/>
      <c r="AZ122" s="238" t="n"/>
      <c r="BA122" s="238" t="n"/>
      <c r="BB122" s="238" t="n"/>
      <c r="BC122" s="238" t="n"/>
      <c r="BD122" s="238" t="n"/>
      <c r="BE122" s="238" t="n"/>
      <c r="BF122" s="238" t="n"/>
      <c r="BG122" s="238" t="n"/>
      <c r="BH122" s="238" t="n"/>
      <c r="BI122" s="238" t="n"/>
      <c r="BJ122" s="238" t="n"/>
      <c r="BK122" s="238" t="n"/>
      <c r="BL122" s="238" t="n"/>
      <c r="BM122" s="238" t="n"/>
      <c r="BN122" s="238" t="n"/>
      <c r="BO122" s="238" t="n"/>
      <c r="BP122" s="238" t="n"/>
      <c r="BQ122" s="238" t="n"/>
      <c r="BR122" s="238" t="n"/>
      <c r="BS122" s="238" t="n"/>
      <c r="BT122" s="238" t="n"/>
      <c r="BU122" s="238" t="n"/>
      <c r="BV122" s="238" t="n"/>
      <c r="BW122" s="238" t="n"/>
      <c r="BX122" s="238" t="n"/>
      <c r="BY122" s="238" t="n"/>
      <c r="BZ122" s="238" t="n"/>
      <c r="CA122" s="238" t="n"/>
      <c r="CB122" s="238" t="n"/>
      <c r="CC122" s="238" t="n"/>
      <c r="CD122" s="238" t="n"/>
      <c r="CE122" s="238" t="n"/>
      <c r="CF122" s="238" t="n"/>
      <c r="CG122" s="238" t="n"/>
      <c r="CH122" s="238" t="n"/>
      <c r="CI122" s="238" t="n"/>
      <c r="CJ122" s="238" t="n"/>
      <c r="CK122" s="238" t="n"/>
      <c r="CL122" s="238" t="n"/>
      <c r="CM122" s="238" t="n"/>
      <c r="CN122" s="238" t="n"/>
      <c r="CO122" s="238" t="n"/>
      <c r="CP122" s="238" t="n"/>
      <c r="CQ122" s="238" t="n"/>
      <c r="CR122" s="238" t="n"/>
      <c r="CS122" s="238" t="n"/>
      <c r="CT122" s="238" t="n"/>
      <c r="CU122" s="238" t="n"/>
      <c r="CV122" s="238" t="n"/>
      <c r="CW122" s="238" t="n"/>
      <c r="CX122" s="238" t="n"/>
      <c r="CY122" s="238" t="n"/>
      <c r="CZ122" s="238" t="n"/>
      <c r="DA122" s="238" t="n"/>
      <c r="DB122" s="238" t="n"/>
      <c r="DC122" s="238" t="n"/>
      <c r="DD122" s="238" t="n"/>
      <c r="DE122" s="238" t="n"/>
      <c r="DF122" s="238" t="n"/>
      <c r="DG122" s="238" t="n"/>
      <c r="DH122" s="238" t="n"/>
      <c r="DI122" s="238" t="n"/>
      <c r="DJ122" s="238" t="n"/>
      <c r="DK122" s="238" t="n"/>
      <c r="DL122" s="238" t="n"/>
      <c r="DM122" s="238" t="n"/>
      <c r="DN122" s="238" t="n"/>
      <c r="DO122" s="238" t="n"/>
      <c r="DP122" s="238" t="n"/>
      <c r="DQ122" s="238" t="n"/>
      <c r="DR122" s="238" t="n"/>
      <c r="DS122" s="238" t="n"/>
      <c r="DT122" s="238" t="n"/>
      <c r="DU122" s="238" t="n"/>
      <c r="DV122" s="238" t="n"/>
      <c r="DW122" s="238" t="n"/>
      <c r="DX122" s="238" t="n"/>
      <c r="DY122" s="238" t="n"/>
      <c r="DZ122" s="23" t="n"/>
      <c r="FQ122" s="212" t="n"/>
      <c r="FR122" s="212" t="n"/>
      <c r="FS122" s="212" t="n"/>
      <c r="FT122" s="212" t="n"/>
      <c r="FU122" s="212" t="n"/>
      <c r="FV122" s="212" t="n"/>
      <c r="FW122" s="212" t="n"/>
      <c r="FX122" s="212" t="n"/>
      <c r="FY122" s="212" t="n"/>
      <c r="FZ122" s="212" t="n"/>
    </row>
    <row r="123" hidden="1" ht="36" customFormat="1" customHeight="1" s="5">
      <c r="A123" s="13" t="n"/>
      <c r="C123" s="238" t="n"/>
      <c r="D123" s="238" t="n"/>
      <c r="E123" s="238" t="n"/>
      <c r="F123" s="238" t="n"/>
      <c r="G123" s="238" t="n"/>
      <c r="H123" s="238" t="n"/>
      <c r="I123" s="238" t="n"/>
      <c r="J123" s="238" t="n"/>
      <c r="K123" s="238" t="n"/>
      <c r="L123" s="238" t="n"/>
      <c r="M123" s="238" t="n"/>
      <c r="N123" s="238" t="n"/>
      <c r="O123" s="238" t="n"/>
      <c r="P123" s="238" t="n"/>
      <c r="Q123" s="238" t="n"/>
      <c r="R123" s="238" t="n"/>
      <c r="S123" s="238" t="n"/>
      <c r="T123" s="238" t="n"/>
      <c r="U123" s="238" t="n"/>
      <c r="V123" s="238" t="n"/>
      <c r="W123" s="238" t="n"/>
      <c r="X123" s="238" t="n"/>
      <c r="Y123" s="238" t="n"/>
      <c r="Z123" s="238" t="n"/>
      <c r="AA123" s="238" t="n"/>
      <c r="AB123" s="238" t="n"/>
      <c r="AC123" s="238" t="n"/>
      <c r="AD123" s="238" t="n"/>
      <c r="AE123" s="238" t="n"/>
      <c r="AF123" s="238" t="n"/>
      <c r="AG123" s="238" t="n"/>
      <c r="AH123" s="238" t="n"/>
      <c r="AI123" s="238" t="n"/>
      <c r="AJ123" s="238" t="n"/>
      <c r="AK123" s="238" t="n"/>
      <c r="AL123" s="238" t="n"/>
      <c r="AM123" s="238" t="n"/>
      <c r="AN123" s="238" t="n"/>
      <c r="AO123" s="238" t="n"/>
      <c r="AP123" s="238" t="n"/>
      <c r="AQ123" s="238" t="n"/>
      <c r="AR123" s="238" t="n"/>
      <c r="AS123" s="238" t="n"/>
      <c r="AT123" s="238" t="n"/>
      <c r="AU123" s="238" t="n"/>
      <c r="AV123" s="238" t="n"/>
      <c r="AW123" s="238" t="n"/>
      <c r="AX123" s="238" t="n"/>
      <c r="AY123" s="238" t="n"/>
      <c r="AZ123" s="238" t="n"/>
      <c r="BA123" s="238" t="n"/>
      <c r="BB123" s="238" t="n"/>
      <c r="BC123" s="238" t="n"/>
      <c r="BD123" s="238" t="n"/>
      <c r="BE123" s="238" t="n"/>
      <c r="BF123" s="238" t="n"/>
      <c r="BG123" s="238" t="n"/>
      <c r="BH123" s="238" t="n"/>
      <c r="BI123" s="238" t="n"/>
      <c r="BJ123" s="238" t="n"/>
      <c r="BK123" s="238" t="n"/>
      <c r="BL123" s="238" t="n"/>
      <c r="BM123" s="238" t="n"/>
      <c r="BN123" s="238" t="n"/>
      <c r="BO123" s="238" t="n"/>
      <c r="BP123" s="238" t="n"/>
      <c r="BQ123" s="238" t="n"/>
      <c r="BR123" s="238" t="n"/>
      <c r="BS123" s="238" t="n"/>
      <c r="BT123" s="238" t="n"/>
      <c r="BU123" s="238" t="n"/>
      <c r="BV123" s="238" t="n"/>
      <c r="BW123" s="238" t="n"/>
      <c r="BX123" s="238" t="n"/>
      <c r="BY123" s="238" t="n"/>
      <c r="BZ123" s="238" t="n"/>
      <c r="CA123" s="238" t="n"/>
      <c r="CB123" s="238" t="n"/>
      <c r="CC123" s="238" t="n"/>
      <c r="CD123" s="238" t="n"/>
      <c r="CE123" s="238" t="n"/>
      <c r="CF123" s="238" t="n"/>
      <c r="CG123" s="238" t="n"/>
      <c r="CH123" s="238" t="n"/>
      <c r="CI123" s="238" t="n"/>
      <c r="CJ123" s="238" t="n"/>
      <c r="CK123" s="238" t="n"/>
      <c r="CL123" s="238" t="n"/>
      <c r="CM123" s="238" t="n"/>
      <c r="CN123" s="238" t="n"/>
      <c r="CO123" s="238" t="n"/>
      <c r="CP123" s="238" t="n"/>
      <c r="CQ123" s="238" t="n"/>
      <c r="CR123" s="238" t="n"/>
      <c r="CS123" s="238" t="n"/>
      <c r="CT123" s="238" t="n"/>
      <c r="CU123" s="238" t="n"/>
      <c r="CV123" s="238" t="n"/>
      <c r="CW123" s="238" t="n"/>
      <c r="CX123" s="238" t="n"/>
      <c r="CY123" s="238" t="n"/>
      <c r="CZ123" s="238" t="n"/>
      <c r="DA123" s="238" t="n"/>
      <c r="DB123" s="238" t="n"/>
      <c r="DC123" s="238" t="n"/>
      <c r="DD123" s="238" t="n"/>
      <c r="DE123" s="238" t="n"/>
      <c r="DF123" s="238" t="n"/>
      <c r="DG123" s="238" t="n"/>
      <c r="DH123" s="238" t="n"/>
      <c r="DI123" s="238" t="n"/>
      <c r="DJ123" s="238" t="n"/>
      <c r="DK123" s="238" t="n"/>
      <c r="DL123" s="238" t="n"/>
      <c r="DM123" s="238" t="n"/>
      <c r="DN123" s="238" t="n"/>
      <c r="DO123" s="238" t="n"/>
      <c r="DP123" s="238" t="n"/>
      <c r="DQ123" s="238" t="n"/>
      <c r="DR123" s="238" t="n"/>
      <c r="DS123" s="238" t="n"/>
      <c r="DT123" s="238" t="n"/>
      <c r="DU123" s="238" t="n"/>
      <c r="DV123" s="238" t="n"/>
      <c r="DW123" s="238" t="n"/>
      <c r="DX123" s="238" t="n"/>
      <c r="DY123" s="238" t="n"/>
      <c r="DZ123" s="23" t="n"/>
      <c r="FQ123" s="212" t="n"/>
      <c r="FR123" s="212" t="n"/>
      <c r="FS123" s="212" t="n"/>
      <c r="FT123" s="212" t="n"/>
      <c r="FU123" s="212" t="n"/>
      <c r="FV123" s="212" t="n"/>
      <c r="FW123" s="212" t="n"/>
      <c r="FX123" s="212" t="n"/>
      <c r="FY123" s="212" t="n"/>
      <c r="FZ123" s="212" t="n"/>
    </row>
    <row r="124" hidden="1" ht="36" customFormat="1" customHeight="1" s="5">
      <c r="A124" s="13" t="n"/>
      <c r="C124" s="238" t="n"/>
      <c r="D124" s="238" t="n"/>
      <c r="E124" s="238" t="n"/>
      <c r="F124" s="238" t="n"/>
      <c r="G124" s="238" t="n"/>
      <c r="H124" s="238" t="n"/>
      <c r="I124" s="238" t="n"/>
      <c r="J124" s="238" t="n"/>
      <c r="K124" s="238" t="n"/>
      <c r="L124" s="238" t="n"/>
      <c r="M124" s="238" t="n"/>
      <c r="N124" s="238" t="n"/>
      <c r="O124" s="238" t="n"/>
      <c r="P124" s="238" t="n"/>
      <c r="Q124" s="238" t="n"/>
      <c r="R124" s="238" t="n"/>
      <c r="S124" s="238" t="n"/>
      <c r="T124" s="238" t="n"/>
      <c r="U124" s="238" t="n"/>
      <c r="V124" s="238" t="n"/>
      <c r="W124" s="238" t="n"/>
      <c r="X124" s="238" t="n"/>
      <c r="Y124" s="238" t="n"/>
      <c r="Z124" s="238" t="n"/>
      <c r="AA124" s="238" t="n"/>
      <c r="AB124" s="238" t="n"/>
      <c r="AC124" s="238" t="n"/>
      <c r="AD124" s="238" t="n"/>
      <c r="AE124" s="238" t="n"/>
      <c r="AF124" s="238" t="n"/>
      <c r="AG124" s="238" t="n"/>
      <c r="AH124" s="238" t="n"/>
      <c r="AI124" s="238" t="n"/>
      <c r="AJ124" s="238" t="n"/>
      <c r="AK124" s="238" t="n"/>
      <c r="AL124" s="238" t="n"/>
      <c r="AM124" s="238" t="n"/>
      <c r="AN124" s="238" t="n"/>
      <c r="AO124" s="238" t="n"/>
      <c r="AP124" s="238" t="n"/>
      <c r="AQ124" s="238" t="n"/>
      <c r="AR124" s="238" t="n"/>
      <c r="AS124" s="238" t="n"/>
      <c r="AT124" s="238" t="n"/>
      <c r="AU124" s="238" t="n"/>
      <c r="AV124" s="238" t="n"/>
      <c r="AW124" s="238" t="n"/>
      <c r="AX124" s="238" t="n"/>
      <c r="AY124" s="238" t="n"/>
      <c r="AZ124" s="238" t="n"/>
      <c r="BA124" s="238" t="n"/>
      <c r="BB124" s="238" t="n"/>
      <c r="BC124" s="238" t="n"/>
      <c r="BD124" s="238" t="n"/>
      <c r="BE124" s="238" t="n"/>
      <c r="BF124" s="238" t="n"/>
      <c r="BG124" s="238" t="n"/>
      <c r="BH124" s="238" t="n"/>
      <c r="BI124" s="238" t="n"/>
      <c r="BJ124" s="238" t="n"/>
      <c r="BK124" s="238" t="n"/>
      <c r="BL124" s="238" t="n"/>
      <c r="BM124" s="238" t="n"/>
      <c r="BN124" s="238" t="n"/>
      <c r="BO124" s="238" t="n"/>
      <c r="BP124" s="238" t="n"/>
      <c r="BQ124" s="238" t="n"/>
      <c r="BR124" s="238" t="n"/>
      <c r="BS124" s="238" t="n"/>
      <c r="BT124" s="238" t="n"/>
      <c r="BU124" s="238" t="n"/>
      <c r="BV124" s="238" t="n"/>
      <c r="BW124" s="238" t="n"/>
      <c r="BX124" s="238" t="n"/>
      <c r="BY124" s="238" t="n"/>
      <c r="BZ124" s="238" t="n"/>
      <c r="CA124" s="238" t="n"/>
      <c r="CB124" s="238" t="n"/>
      <c r="CC124" s="238" t="n"/>
      <c r="CD124" s="238" t="n"/>
      <c r="CE124" s="238" t="n"/>
      <c r="CF124" s="238" t="n"/>
      <c r="CG124" s="238" t="n"/>
      <c r="CH124" s="238" t="n"/>
      <c r="CI124" s="238" t="n"/>
      <c r="CJ124" s="238" t="n"/>
      <c r="CK124" s="238" t="n"/>
      <c r="CL124" s="238" t="n"/>
      <c r="CM124" s="238" t="n"/>
      <c r="CN124" s="238" t="n"/>
      <c r="CO124" s="238" t="n"/>
      <c r="CP124" s="238" t="n"/>
      <c r="CQ124" s="238" t="n"/>
      <c r="CR124" s="238" t="n"/>
      <c r="CS124" s="238" t="n"/>
      <c r="CT124" s="238" t="n"/>
      <c r="CU124" s="238" t="n"/>
      <c r="CV124" s="238" t="n"/>
      <c r="CW124" s="238" t="n"/>
      <c r="CX124" s="238" t="n"/>
      <c r="CY124" s="238" t="n"/>
      <c r="CZ124" s="238" t="n"/>
      <c r="DA124" s="238" t="n"/>
      <c r="DB124" s="238" t="n"/>
      <c r="DC124" s="238" t="n"/>
      <c r="DD124" s="238" t="n"/>
      <c r="DE124" s="238" t="n"/>
      <c r="DF124" s="238" t="n"/>
      <c r="DG124" s="238" t="n"/>
      <c r="DH124" s="238" t="n"/>
      <c r="DI124" s="238" t="n"/>
      <c r="DJ124" s="238" t="n"/>
      <c r="DK124" s="238" t="n"/>
      <c r="DL124" s="238" t="n"/>
      <c r="DM124" s="238" t="n"/>
      <c r="DN124" s="238" t="n"/>
      <c r="DO124" s="238" t="n"/>
      <c r="DP124" s="238" t="n"/>
      <c r="DQ124" s="238" t="n"/>
      <c r="DR124" s="238" t="n"/>
      <c r="DS124" s="238" t="n"/>
      <c r="DT124" s="238" t="n"/>
      <c r="DU124" s="238" t="n"/>
      <c r="DV124" s="238" t="n"/>
      <c r="DW124" s="238" t="n"/>
      <c r="DX124" s="238" t="n"/>
      <c r="DY124" s="238" t="n"/>
      <c r="DZ124" s="23" t="n"/>
      <c r="FQ124" s="212" t="n"/>
      <c r="FR124" s="212" t="n"/>
      <c r="FS124" s="212" t="n"/>
      <c r="FT124" s="212" t="n"/>
      <c r="FU124" s="212" t="n"/>
      <c r="FV124" s="212" t="n"/>
      <c r="FW124" s="212" t="n"/>
      <c r="FX124" s="212" t="n"/>
      <c r="FY124" s="212" t="n"/>
      <c r="FZ124" s="212" t="n"/>
    </row>
    <row r="125" hidden="1" ht="36" customFormat="1" customHeight="1" s="5">
      <c r="A125" s="13" t="n"/>
      <c r="C125" s="238" t="n"/>
      <c r="D125" s="238" t="n"/>
      <c r="E125" s="238" t="n"/>
      <c r="F125" s="238" t="n"/>
      <c r="G125" s="238" t="n"/>
      <c r="H125" s="238" t="n"/>
      <c r="I125" s="238" t="n"/>
      <c r="J125" s="238" t="n"/>
      <c r="K125" s="238" t="n"/>
      <c r="L125" s="238" t="n"/>
      <c r="M125" s="238" t="n"/>
      <c r="N125" s="238" t="n"/>
      <c r="O125" s="238" t="n"/>
      <c r="P125" s="238" t="n"/>
      <c r="Q125" s="238" t="n"/>
      <c r="R125" s="238" t="n"/>
      <c r="S125" s="238" t="n"/>
      <c r="T125" s="238" t="n"/>
      <c r="U125" s="238" t="n"/>
      <c r="V125" s="238" t="n"/>
      <c r="W125" s="238" t="n"/>
      <c r="X125" s="238" t="n"/>
      <c r="Y125" s="238" t="n"/>
      <c r="Z125" s="238" t="n"/>
      <c r="AA125" s="238" t="n"/>
      <c r="AB125" s="238" t="n"/>
      <c r="AC125" s="238" t="n"/>
      <c r="AD125" s="238" t="n"/>
      <c r="AE125" s="238" t="n"/>
      <c r="AF125" s="238" t="n"/>
      <c r="AG125" s="238" t="n"/>
      <c r="AH125" s="238" t="n"/>
      <c r="AI125" s="238" t="n"/>
      <c r="AJ125" s="238" t="n"/>
      <c r="AK125" s="238" t="n"/>
      <c r="AL125" s="238" t="n"/>
      <c r="AM125" s="238" t="n"/>
      <c r="AN125" s="238" t="n"/>
      <c r="AO125" s="238" t="n"/>
      <c r="AP125" s="238" t="n"/>
      <c r="AQ125" s="238" t="n"/>
      <c r="AR125" s="238" t="n"/>
      <c r="AS125" s="238" t="n"/>
      <c r="AT125" s="238" t="n"/>
      <c r="AU125" s="238" t="n"/>
      <c r="AV125" s="238" t="n"/>
      <c r="AW125" s="238" t="n"/>
      <c r="AX125" s="238" t="n"/>
      <c r="AY125" s="238" t="n"/>
      <c r="AZ125" s="238" t="n"/>
      <c r="BA125" s="238" t="n"/>
      <c r="BB125" s="238" t="n"/>
      <c r="BC125" s="238" t="n"/>
      <c r="BD125" s="238" t="n"/>
      <c r="BE125" s="238" t="n"/>
      <c r="BF125" s="238" t="n"/>
      <c r="BG125" s="238" t="n"/>
      <c r="BH125" s="238" t="n"/>
      <c r="BI125" s="238" t="n"/>
      <c r="BJ125" s="238" t="n"/>
      <c r="BK125" s="238" t="n"/>
      <c r="BL125" s="238" t="n"/>
      <c r="BM125" s="238" t="n"/>
      <c r="BN125" s="238" t="n"/>
      <c r="BO125" s="238" t="n"/>
      <c r="BP125" s="238" t="n"/>
      <c r="BQ125" s="238" t="n"/>
      <c r="BR125" s="238" t="n"/>
      <c r="BS125" s="238" t="n"/>
      <c r="BT125" s="238" t="n"/>
      <c r="BU125" s="238" t="n"/>
      <c r="BV125" s="238" t="n"/>
      <c r="BW125" s="238" t="n"/>
      <c r="BX125" s="238" t="n"/>
      <c r="BY125" s="238" t="n"/>
      <c r="BZ125" s="238" t="n"/>
      <c r="CA125" s="238" t="n"/>
      <c r="CB125" s="238" t="n"/>
      <c r="CC125" s="238" t="n"/>
      <c r="CD125" s="238" t="n"/>
      <c r="CE125" s="238" t="n"/>
      <c r="CF125" s="238" t="n"/>
      <c r="CG125" s="238" t="n"/>
      <c r="CH125" s="238" t="n"/>
      <c r="CI125" s="238" t="n"/>
      <c r="CJ125" s="238" t="n"/>
      <c r="CK125" s="238" t="n"/>
      <c r="CL125" s="238" t="n"/>
      <c r="CM125" s="238" t="n"/>
      <c r="CN125" s="238" t="n"/>
      <c r="CO125" s="238" t="n"/>
      <c r="CP125" s="238" t="n"/>
      <c r="CQ125" s="238" t="n"/>
      <c r="CR125" s="238" t="n"/>
      <c r="CS125" s="238" t="n"/>
      <c r="CT125" s="238" t="n"/>
      <c r="CU125" s="238" t="n"/>
      <c r="CV125" s="238" t="n"/>
      <c r="CW125" s="238" t="n"/>
      <c r="CX125" s="238" t="n"/>
      <c r="CY125" s="238" t="n"/>
      <c r="CZ125" s="238" t="n"/>
      <c r="DA125" s="238" t="n"/>
      <c r="DB125" s="238" t="n"/>
      <c r="DC125" s="238" t="n"/>
      <c r="DD125" s="238" t="n"/>
      <c r="DE125" s="238" t="n"/>
      <c r="DF125" s="238" t="n"/>
      <c r="DG125" s="238" t="n"/>
      <c r="DH125" s="238" t="n"/>
      <c r="DI125" s="238" t="n"/>
      <c r="DJ125" s="238" t="n"/>
      <c r="DK125" s="238" t="n"/>
      <c r="DL125" s="238" t="n"/>
      <c r="DM125" s="238" t="n"/>
      <c r="DN125" s="238" t="n"/>
      <c r="DO125" s="238" t="n"/>
      <c r="DP125" s="238" t="n"/>
      <c r="DQ125" s="238" t="n"/>
      <c r="DR125" s="238" t="n"/>
      <c r="DS125" s="238" t="n"/>
      <c r="DT125" s="238" t="n"/>
      <c r="DU125" s="238" t="n"/>
      <c r="DV125" s="238" t="n"/>
      <c r="DW125" s="238" t="n"/>
      <c r="DX125" s="238" t="n"/>
      <c r="DY125" s="238" t="n"/>
      <c r="DZ125" s="23" t="n"/>
      <c r="FQ125" s="212" t="n"/>
      <c r="FR125" s="212" t="n"/>
      <c r="FS125" s="212" t="n"/>
      <c r="FT125" s="212" t="n"/>
      <c r="FU125" s="212" t="n"/>
      <c r="FV125" s="212" t="n"/>
      <c r="FW125" s="212" t="n"/>
      <c r="FX125" s="212" t="n"/>
      <c r="FY125" s="212" t="n"/>
      <c r="FZ125" s="212" t="n"/>
    </row>
    <row r="126" ht="36" customFormat="1" customHeight="1" s="5">
      <c r="A126" s="14" t="n"/>
      <c r="C126" s="238" t="n"/>
      <c r="D126" s="238" t="n"/>
      <c r="E126" s="238" t="n"/>
      <c r="F126" s="238" t="n"/>
      <c r="G126" s="238" t="n"/>
      <c r="H126" s="238" t="n"/>
      <c r="I126" s="238" t="n"/>
      <c r="J126" s="238" t="n"/>
      <c r="K126" s="238" t="n"/>
      <c r="L126" s="238" t="n"/>
      <c r="M126" s="238" t="n"/>
      <c r="N126" s="238" t="n"/>
      <c r="O126" s="238" t="n"/>
      <c r="P126" s="238" t="n"/>
      <c r="Q126" s="238" t="n"/>
      <c r="R126" s="238" t="n"/>
      <c r="S126" s="238" t="n"/>
      <c r="T126" s="238" t="n"/>
      <c r="U126" s="238" t="n"/>
      <c r="V126" s="238" t="n"/>
      <c r="W126" s="238" t="n"/>
      <c r="X126" s="238" t="n"/>
      <c r="Y126" s="238" t="n"/>
      <c r="Z126" s="238" t="n"/>
      <c r="AA126" s="238" t="n"/>
      <c r="AB126" s="238" t="n"/>
      <c r="AC126" s="238" t="n"/>
      <c r="AD126" s="238" t="n"/>
      <c r="AE126" s="238" t="n"/>
      <c r="AF126" s="238" t="n"/>
      <c r="AG126" s="238" t="n"/>
      <c r="AH126" s="238" t="n"/>
      <c r="AI126" s="238" t="n"/>
      <c r="AJ126" s="238" t="n"/>
      <c r="AK126" s="238" t="n"/>
      <c r="AL126" s="238" t="n"/>
      <c r="AM126" s="238" t="n"/>
      <c r="AN126" s="238" t="n"/>
      <c r="AO126" s="238" t="n"/>
      <c r="AP126" s="238" t="n"/>
      <c r="AQ126" s="238" t="n"/>
      <c r="AR126" s="238" t="n"/>
      <c r="AS126" s="238" t="n"/>
      <c r="AT126" s="238" t="n"/>
      <c r="AU126" s="238" t="n"/>
      <c r="AV126" s="238" t="n"/>
      <c r="AW126" s="238" t="n"/>
      <c r="AX126" s="238" t="n"/>
      <c r="AY126" s="238" t="n"/>
      <c r="AZ126" s="238" t="n"/>
      <c r="BA126" s="238" t="n"/>
      <c r="BB126" s="238" t="n"/>
      <c r="BC126" s="238" t="n"/>
      <c r="BD126" s="238" t="n"/>
      <c r="BE126" s="238" t="n"/>
      <c r="BF126" s="238" t="n"/>
      <c r="BG126" s="238" t="n"/>
      <c r="BH126" s="238" t="n"/>
      <c r="BI126" s="238" t="n"/>
      <c r="BJ126" s="238" t="n"/>
      <c r="BK126" s="238" t="n"/>
      <c r="BL126" s="238" t="n"/>
      <c r="BM126" s="238" t="n"/>
      <c r="BN126" s="238" t="n"/>
      <c r="BO126" s="238" t="n"/>
      <c r="BP126" s="238" t="n"/>
      <c r="BQ126" s="238" t="n"/>
      <c r="BR126" s="238" t="n"/>
      <c r="BS126" s="238" t="n"/>
      <c r="BT126" s="238" t="n"/>
      <c r="BU126" s="238" t="n"/>
      <c r="BV126" s="238" t="n"/>
      <c r="BW126" s="238" t="n"/>
      <c r="BX126" s="238" t="n"/>
      <c r="BY126" s="238" t="n"/>
      <c r="BZ126" s="238" t="n"/>
      <c r="CA126" s="238" t="n"/>
      <c r="CB126" s="238" t="n"/>
      <c r="CC126" s="238" t="n"/>
      <c r="CD126" s="238" t="n"/>
      <c r="CE126" s="238" t="n"/>
      <c r="CF126" s="238" t="n"/>
      <c r="CG126" s="238" t="n"/>
      <c r="CH126" s="238" t="n"/>
      <c r="CI126" s="238" t="n"/>
      <c r="CJ126" s="238" t="n"/>
      <c r="CK126" s="238" t="n"/>
      <c r="CL126" s="238" t="n"/>
      <c r="CM126" s="238" t="n"/>
      <c r="CN126" s="238" t="n"/>
      <c r="CO126" s="238" t="n"/>
      <c r="CP126" s="238" t="n"/>
      <c r="CQ126" s="238" t="n"/>
      <c r="CR126" s="238" t="n"/>
      <c r="CS126" s="238" t="n"/>
      <c r="CT126" s="238" t="n"/>
      <c r="CU126" s="238" t="n"/>
      <c r="CV126" s="238" t="n"/>
      <c r="CW126" s="238" t="n"/>
      <c r="CX126" s="238" t="n"/>
      <c r="CY126" s="238" t="n"/>
      <c r="CZ126" s="238" t="n"/>
      <c r="DA126" s="238" t="n"/>
      <c r="DB126" s="238" t="n"/>
      <c r="DC126" s="238" t="n"/>
      <c r="DD126" s="238" t="n"/>
      <c r="DE126" s="238" t="n"/>
      <c r="DF126" s="238" t="n"/>
      <c r="DG126" s="238" t="n"/>
      <c r="DH126" s="238" t="n"/>
      <c r="DI126" s="238" t="n"/>
      <c r="DJ126" s="238" t="n"/>
      <c r="DK126" s="238" t="n"/>
      <c r="DL126" s="238" t="n"/>
      <c r="DM126" s="238" t="n"/>
      <c r="DN126" s="238" t="n"/>
      <c r="DO126" s="238" t="n"/>
      <c r="DP126" s="238" t="n"/>
      <c r="DQ126" s="238" t="n"/>
      <c r="DR126" s="238" t="n"/>
      <c r="DS126" s="238" t="n"/>
      <c r="DT126" s="238" t="n"/>
      <c r="DU126" s="238" t="n"/>
      <c r="DV126" s="238" t="n"/>
      <c r="DW126" s="238" t="n"/>
      <c r="DX126" s="238" t="n"/>
      <c r="DY126" s="238" t="n"/>
      <c r="DZ126" s="24" t="n"/>
      <c r="FQ126" s="212" t="n"/>
      <c r="FR126" s="212" t="n"/>
      <c r="FS126" s="212" t="n"/>
      <c r="FT126" s="212" t="n"/>
      <c r="FU126" s="212" t="n"/>
      <c r="FV126" s="212" t="n"/>
      <c r="FW126" s="212" t="n"/>
      <c r="FX126" s="212" t="n"/>
      <c r="FY126" s="212" t="n"/>
      <c r="FZ126" s="212" t="n"/>
    </row>
    <row r="127" ht="36" customFormat="1" customHeight="1" s="5">
      <c r="A127" s="9" t="inlineStr">
        <is>
          <t>A</t>
        </is>
      </c>
      <c r="B127" s="89" t="inlineStr">
        <is>
          <t>0.001-0.083</t>
        </is>
      </c>
      <c r="C127" s="225" t="inlineStr">
        <is>
          <t>0.140-0.149</t>
        </is>
      </c>
      <c r="D127" s="448" t="n"/>
      <c r="E127" s="448" t="n"/>
      <c r="F127" s="448" t="n"/>
      <c r="G127" s="448" t="n"/>
      <c r="H127" s="448" t="n"/>
      <c r="I127" s="448" t="n"/>
      <c r="J127" s="448" t="n"/>
      <c r="K127" s="448" t="n"/>
      <c r="L127" s="449" t="n"/>
      <c r="M127" s="227" t="inlineStr">
        <is>
          <t>OUTSIDE DIAMETER:</t>
        </is>
      </c>
      <c r="N127" s="458" t="n"/>
      <c r="O127" s="458" t="n"/>
      <c r="P127" s="458" t="n"/>
      <c r="Q127" s="458" t="n"/>
      <c r="R127" s="458" t="n"/>
      <c r="S127" s="458" t="n"/>
      <c r="T127" s="458" t="n"/>
      <c r="U127" s="458" t="n"/>
      <c r="V127" s="458" t="n"/>
      <c r="W127" s="458" t="n"/>
      <c r="X127" s="458" t="n"/>
      <c r="Y127" s="458" t="n"/>
      <c r="Z127" s="230" t="n">
        <v>3</v>
      </c>
      <c r="AA127" s="458" t="n"/>
      <c r="AB127" s="458" t="n"/>
      <c r="AC127" s="458" t="n"/>
      <c r="AD127" s="458" t="n"/>
      <c r="AE127" s="458" t="n"/>
      <c r="AF127" s="446" t="n"/>
      <c r="AG127" s="459" t="inlineStr">
        <is>
          <t>INSPECTION RESULTS</t>
        </is>
      </c>
      <c r="AH127" s="458" t="n"/>
      <c r="AI127" s="458" t="n"/>
      <c r="AJ127" s="458" t="n"/>
      <c r="AK127" s="458" t="n"/>
      <c r="AL127" s="458" t="n"/>
      <c r="AM127" s="458" t="n"/>
      <c r="AN127" s="458" t="n"/>
      <c r="AO127" s="458" t="n"/>
      <c r="AP127" s="458" t="n"/>
      <c r="AQ127" s="458" t="n"/>
      <c r="AR127" s="458" t="n"/>
      <c r="AS127" s="458" t="n"/>
      <c r="AT127" s="458" t="n"/>
      <c r="AU127" s="458" t="n"/>
      <c r="AV127" s="446" t="n"/>
      <c r="AW127" s="460" t="n"/>
      <c r="AX127" s="458" t="n"/>
      <c r="AY127" s="458" t="n"/>
      <c r="AZ127" s="458" t="n"/>
      <c r="BA127" s="458" t="n"/>
      <c r="BB127" s="458" t="n"/>
      <c r="BC127" s="458" t="n"/>
      <c r="BD127" s="458" t="n"/>
      <c r="BE127" s="458" t="n"/>
      <c r="BF127" s="458" t="n"/>
      <c r="BG127" s="458" t="n"/>
      <c r="BH127" s="458" t="n"/>
      <c r="BI127" s="458" t="n"/>
      <c r="BJ127" s="458" t="n"/>
      <c r="BK127" s="458" t="n"/>
      <c r="BL127" s="458" t="n"/>
      <c r="BM127" s="458" t="n"/>
      <c r="BN127" s="458" t="n"/>
      <c r="BO127" s="458" t="n"/>
      <c r="BP127" s="458" t="n"/>
      <c r="BQ127" s="458" t="n"/>
      <c r="BR127" s="461" t="inlineStr">
        <is>
          <t>APPLIED TECHNICAL SERVICES 
1049 Triad Court
Marietta, Georgia 30062
Office # (770) 423-1400
Fax # (770) 514-3299
www.atslab.com</t>
        </is>
      </c>
      <c r="BS127" s="458" t="n"/>
      <c r="BT127" s="458" t="n"/>
      <c r="BU127" s="458" t="n"/>
      <c r="BV127" s="458" t="n"/>
      <c r="BW127" s="458" t="n"/>
      <c r="BX127" s="458" t="n"/>
      <c r="BY127" s="458" t="n"/>
      <c r="BZ127" s="458" t="n"/>
      <c r="CA127" s="458" t="n"/>
      <c r="CB127" s="458" t="n"/>
      <c r="CC127" s="458" t="n"/>
      <c r="CD127" s="458" t="n"/>
      <c r="CE127" s="458" t="n"/>
      <c r="CF127" s="458" t="n"/>
      <c r="CG127" s="458" t="n"/>
      <c r="CH127" s="458" t="n"/>
      <c r="CI127" s="458" t="n"/>
      <c r="CJ127" s="458" t="n"/>
      <c r="CK127" s="446" t="n"/>
      <c r="CL127" s="617">
        <f>Thickness!CL127</f>
        <v/>
      </c>
      <c r="CM127" s="458" t="n"/>
      <c r="CN127" s="458" t="n"/>
      <c r="CO127" s="458" t="n"/>
      <c r="CP127" s="458" t="n"/>
      <c r="CQ127" s="458" t="n"/>
      <c r="CR127" s="458" t="n"/>
      <c r="CS127" s="458" t="n"/>
      <c r="CT127" s="458" t="n"/>
      <c r="CU127" s="458" t="n"/>
      <c r="CV127" s="458" t="n"/>
      <c r="CW127" s="458" t="n"/>
      <c r="CX127" s="458" t="n"/>
      <c r="CY127" s="458" t="n"/>
      <c r="CZ127" s="458" t="n"/>
      <c r="DA127" s="458" t="n"/>
      <c r="DB127" s="458" t="n"/>
      <c r="DC127" s="458" t="n"/>
      <c r="DD127" s="458" t="n"/>
      <c r="DE127" s="458" t="n"/>
      <c r="DF127" s="458" t="n"/>
      <c r="DG127" s="458" t="n"/>
      <c r="DH127" s="458" t="n"/>
      <c r="DI127" s="458" t="n"/>
      <c r="DJ127" s="458" t="n"/>
      <c r="DK127" s="458" t="n"/>
      <c r="DL127" s="458" t="n"/>
      <c r="DM127" s="458" t="n"/>
      <c r="DN127" s="458" t="n"/>
      <c r="DO127" s="458" t="n"/>
      <c r="DP127" s="458" t="n"/>
      <c r="DQ127" s="458" t="n"/>
      <c r="DR127" s="458" t="n"/>
      <c r="DS127" s="458" t="n"/>
      <c r="DT127" s="458" t="n"/>
      <c r="DU127" s="458" t="n"/>
      <c r="DV127" s="458" t="n"/>
      <c r="DW127" s="458" t="n"/>
      <c r="DX127" s="458" t="n"/>
      <c r="DY127" s="458" t="n"/>
      <c r="DZ127" s="446" t="n"/>
      <c r="FQ127" s="212" t="n"/>
      <c r="FR127" s="212" t="n"/>
      <c r="FS127" s="212" t="n"/>
      <c r="FT127" s="212" t="n"/>
      <c r="FU127" s="212" t="n"/>
      <c r="FV127" s="212" t="n"/>
      <c r="FW127" s="212" t="n"/>
      <c r="FX127" s="212" t="n"/>
      <c r="FY127" s="212" t="n"/>
      <c r="FZ127" s="212" t="n"/>
    </row>
    <row r="128" ht="36" customFormat="1" customHeight="1" s="5">
      <c r="A128" s="234" t="inlineStr">
        <is>
          <t>LEGEND</t>
        </is>
      </c>
      <c r="B128" s="90" t="inlineStr">
        <is>
          <t>0.100-0.109</t>
        </is>
      </c>
      <c r="C128" s="235" t="inlineStr">
        <is>
          <t>0.150-0.159</t>
        </is>
      </c>
      <c r="D128" s="448" t="n"/>
      <c r="E128" s="448" t="n"/>
      <c r="F128" s="448" t="n"/>
      <c r="G128" s="448" t="n"/>
      <c r="H128" s="448" t="n"/>
      <c r="I128" s="448" t="n"/>
      <c r="J128" s="448" t="n"/>
      <c r="K128" s="448" t="n"/>
      <c r="L128" s="449" t="n"/>
      <c r="M128" s="237" t="inlineStr">
        <is>
          <t>TUBE MATERIAL:</t>
        </is>
      </c>
      <c r="Z128" s="239" t="inlineStr">
        <is>
          <t>SA-210A1</t>
        </is>
      </c>
      <c r="AG128" s="240">
        <f>TRUNC(MAX(D4:BT6,D7:BT9,D10:BT12,D13:BT15,D16:BT18,D19:BT21,D22:BT24,D25:BT27,D28:BT30,D31:BT33,D34:BT36,D37:BT39,D40:BT42,D43:BT45,D46:BT48,D49:BT51,D52:BT54,D55:BT57,D58:BT60,D61:BT63,D64:BT66,D67:BT69,D70:BT72,D73:BT75,D76:BT78,D79:BT81,D82:BT84,D85:BT87,D88:BT90,D91:BT93,D94:BT96,D97:BT99,D100:BT102,D103:BT105,D106:BT108,D109:BT111),3)</f>
        <v/>
      </c>
      <c r="AH128" s="458" t="n"/>
      <c r="AI128" s="458" t="n"/>
      <c r="AJ128" s="458" t="n"/>
      <c r="AK128" s="458" t="n"/>
      <c r="AL128" s="463" t="inlineStr">
        <is>
          <t>MAX. THICKNESS</t>
        </is>
      </c>
      <c r="AM128" s="458" t="n"/>
      <c r="AN128" s="458" t="n"/>
      <c r="AO128" s="458" t="n"/>
      <c r="AP128" s="458" t="n"/>
      <c r="AQ128" s="458" t="n"/>
      <c r="AR128" s="458" t="n"/>
      <c r="AS128" s="458" t="n"/>
      <c r="AT128" s="458" t="n"/>
      <c r="AU128" s="458" t="n"/>
      <c r="AV128" s="446" t="n"/>
      <c r="AW128" s="13" t="n"/>
      <c r="CK128" s="464" t="n"/>
      <c r="CL128" s="618">
        <f>Thickness!CL128</f>
        <v/>
      </c>
      <c r="DZ128" s="464" t="n"/>
      <c r="FQ128" s="212" t="n"/>
      <c r="FR128" s="212" t="n"/>
      <c r="FS128" s="212" t="n"/>
      <c r="FT128" s="212" t="n"/>
      <c r="FU128" s="212" t="n"/>
      <c r="FV128" s="212" t="n"/>
      <c r="FW128" s="212" t="n"/>
      <c r="FX128" s="212" t="n"/>
      <c r="FY128" s="212" t="n"/>
      <c r="FZ128" s="212" t="n"/>
    </row>
    <row r="129" ht="36" customHeight="1">
      <c r="A129" s="456" t="n"/>
      <c r="B129" s="91" t="inlineStr">
        <is>
          <t>0.110-0.119</t>
        </is>
      </c>
      <c r="C129" s="245" t="inlineStr">
        <is>
          <t>0.160-0.169</t>
        </is>
      </c>
      <c r="D129" s="448" t="n"/>
      <c r="E129" s="448" t="n"/>
      <c r="F129" s="448" t="n"/>
      <c r="G129" s="448" t="n"/>
      <c r="H129" s="448" t="n"/>
      <c r="I129" s="448" t="n"/>
      <c r="J129" s="448" t="n"/>
      <c r="K129" s="448" t="n"/>
      <c r="L129" s="449" t="n"/>
      <c r="M129" s="237" t="inlineStr">
        <is>
          <t>NOMINAL WALL:</t>
        </is>
      </c>
      <c r="Z129" s="247" t="n">
        <v>0.203</v>
      </c>
      <c r="AG129" s="248">
        <f>TRUNC(AVERAGE(D4:BT6,D7:BT9,D10:BT12,D13:BT15,D16:BT18,D19:BT21,D22:BT24,D25:BT27,D28:BT30,D31:BT33,D34:BT36,D37:BT39,D40:BT42,D43:BT45,D46:BT48,D49:BT51,D52:BT54,D55:BT57,D58:BT60,D61:BT63,D64:BT66,D67:BT69,D70:BT72,D73:BT75,D76:BT78,D79:BT81,D82:BT84,D85:BT87,D88:BT90,D91:BT93,D94:BT96,D97:BT99,D100:BT102,D103:BT105,D106:BT108,D109:BT111),3)</f>
        <v/>
      </c>
      <c r="AL129" s="466" t="inlineStr">
        <is>
          <t>AVG. THICKNESS</t>
        </is>
      </c>
      <c r="AV129" s="464" t="n"/>
      <c r="AW129" s="13" t="n"/>
      <c r="CK129" s="464" t="n"/>
      <c r="CL129" s="619" t="inlineStr">
        <is>
          <t>TUBE WALL THICKNESS SURVEY (LOW VALUE)</t>
        </is>
      </c>
      <c r="DZ129" s="464" t="n"/>
    </row>
    <row r="130" ht="36" customHeight="1">
      <c r="A130" s="456" t="n"/>
      <c r="B130" s="92" t="inlineStr">
        <is>
          <t>0.120-0.129</t>
        </is>
      </c>
      <c r="C130" s="253" t="inlineStr">
        <is>
          <t>0.170-0.179</t>
        </is>
      </c>
      <c r="D130" s="448" t="n"/>
      <c r="E130" s="448" t="n"/>
      <c r="F130" s="448" t="n"/>
      <c r="G130" s="448" t="n"/>
      <c r="H130" s="448" t="n"/>
      <c r="I130" s="448" t="n"/>
      <c r="J130" s="448" t="n"/>
      <c r="K130" s="448" t="n"/>
      <c r="L130" s="449" t="n"/>
      <c r="M130" s="237" t="inlineStr">
        <is>
          <t>ASME MIN:</t>
        </is>
      </c>
      <c r="Z130" s="255" t="n">
        <v>0.083</v>
      </c>
      <c r="AG130" s="256">
        <f>TRUNC(MIN(D4:BT6,D7:BT9,D10:BT12,D13:BT15,D16:BT18,D19:BT21,D22:BT24,D25:BT27,D28:BT30,D31:BT33,D34:BT36,D37:BT39,D40:BT42,D43:BT45,D46:BT48,D49:BT51,D52:BT54,D55:BT57,D58:BT60,D61:BT63,D64:BT66,D67:BT69,D70:BT72,D73:BT75,D76:BT78,D79:BT81,D82:BT84,D85:BT87,D88:BT90,D91:BT93,D94:BT96,D97:BT99,D100:BT102,D103:BT105,D106:BT108,D109:BT111),3)</f>
        <v/>
      </c>
      <c r="AL130" s="466" t="inlineStr">
        <is>
          <t>MIN. THICKNESS</t>
        </is>
      </c>
      <c r="AV130" s="464" t="n"/>
      <c r="AW130" s="14" t="n"/>
      <c r="AX130" s="468" t="n"/>
      <c r="AY130" s="468" t="n"/>
      <c r="AZ130" s="468" t="n"/>
      <c r="BA130" s="468" t="n"/>
      <c r="BB130" s="468" t="n"/>
      <c r="BC130" s="468" t="n"/>
      <c r="BD130" s="468" t="n"/>
      <c r="BE130" s="468" t="n"/>
      <c r="BF130" s="468" t="n"/>
      <c r="BG130" s="468" t="n"/>
      <c r="BH130" s="468" t="n"/>
      <c r="BI130" s="468" t="n"/>
      <c r="BJ130" s="468" t="n"/>
      <c r="BK130" s="468" t="n"/>
      <c r="BL130" s="468" t="n"/>
      <c r="BM130" s="468" t="n"/>
      <c r="BN130" s="468" t="n"/>
      <c r="BO130" s="468" t="n"/>
      <c r="BP130" s="468" t="n"/>
      <c r="BQ130" s="468" t="n"/>
      <c r="BR130" s="468" t="n"/>
      <c r="BS130" s="468" t="n"/>
      <c r="BT130" s="468" t="n"/>
      <c r="BU130" s="468" t="n"/>
      <c r="BV130" s="468" t="n"/>
      <c r="BW130" s="468" t="n"/>
      <c r="BX130" s="468" t="n"/>
      <c r="BY130" s="468" t="n"/>
      <c r="BZ130" s="468" t="n"/>
      <c r="CA130" s="468" t="n"/>
      <c r="CB130" s="468" t="n"/>
      <c r="CC130" s="468" t="n"/>
      <c r="CD130" s="468" t="n"/>
      <c r="CE130" s="468" t="n"/>
      <c r="CF130" s="468" t="n"/>
      <c r="CG130" s="468" t="n"/>
      <c r="CH130" s="468" t="n"/>
      <c r="CI130" s="468" t="n"/>
      <c r="CJ130" s="468" t="n"/>
      <c r="CK130" s="451" t="n"/>
      <c r="CL130" s="619">
        <f>Thickness!CL130</f>
        <v/>
      </c>
      <c r="DZ130" s="464" t="n"/>
    </row>
    <row r="131" ht="36" customHeight="1">
      <c r="A131" s="469" t="n"/>
      <c r="B131" s="93" t="inlineStr">
        <is>
          <t>0.130-0.139</t>
        </is>
      </c>
      <c r="C131" s="257" t="inlineStr">
        <is>
          <t>0.180-0.999</t>
        </is>
      </c>
      <c r="D131" s="448" t="n"/>
      <c r="E131" s="448" t="n"/>
      <c r="F131" s="448" t="n"/>
      <c r="G131" s="448" t="n"/>
      <c r="H131" s="448" t="n"/>
      <c r="I131" s="448" t="n"/>
      <c r="J131" s="448" t="n"/>
      <c r="K131" s="448" t="n"/>
      <c r="L131" s="449" t="n"/>
      <c r="M131" s="258" t="inlineStr">
        <is>
          <t>MILL FLAG:</t>
        </is>
      </c>
      <c r="N131" s="468" t="n"/>
      <c r="O131" s="468" t="n"/>
      <c r="P131" s="468" t="n"/>
      <c r="Q131" s="468" t="n"/>
      <c r="R131" s="468" t="n"/>
      <c r="S131" s="468" t="n"/>
      <c r="T131" s="468" t="n"/>
      <c r="U131" s="468" t="n"/>
      <c r="V131" s="468" t="n"/>
      <c r="W131" s="468" t="n"/>
      <c r="X131" s="468" t="n"/>
      <c r="Y131" s="468" t="n"/>
      <c r="Z131" s="260" t="n">
        <v>0.1</v>
      </c>
      <c r="AA131" s="468" t="n"/>
      <c r="AB131" s="468" t="n"/>
      <c r="AC131" s="468" t="n"/>
      <c r="AD131" s="468" t="n"/>
      <c r="AE131" s="468" t="n"/>
      <c r="AF131" s="468" t="n"/>
      <c r="AG131" s="261">
        <f>STDEV(D4:BT6,D7:BT9,D10:BT12,D13:BT15,D16:BT18,D19:BT21,D22:BT24,D25:BT27,D28:BT30,D31:BT33,D34:BT36,D37:BT39,D40:BT42,D43:BT45,D46:BT48,D49:BT51,D52:BT54,D55:BT57,D58:BT60,D61:BT63,D64:BT66,D67:BT69,D70:BT72,D73:BT75,D76:BT78,D79:BT81,D82:BT84,D85:BT87,D88:BT90,D91:BT93,D94:BT96,D97:BT99,D100:BT102,D103:BT105,D106:BT108,D109:BT111)</f>
        <v/>
      </c>
      <c r="AH131" s="468" t="n"/>
      <c r="AI131" s="468" t="n"/>
      <c r="AJ131" s="468" t="n"/>
      <c r="AK131" s="468" t="n"/>
      <c r="AL131" s="470" t="inlineStr">
        <is>
          <t>STD DEV.</t>
        </is>
      </c>
      <c r="AM131" s="468" t="n"/>
      <c r="AN131" s="468" t="n"/>
      <c r="AO131" s="468" t="n"/>
      <c r="AP131" s="468" t="n"/>
      <c r="AQ131" s="468" t="n"/>
      <c r="AR131" s="468" t="n"/>
      <c r="AS131" s="468" t="n"/>
      <c r="AT131" s="468" t="n"/>
      <c r="AU131" s="468" t="n"/>
      <c r="AV131" s="451" t="n"/>
      <c r="AW131" s="208">
        <f>Thickness!AW131</f>
        <v/>
      </c>
      <c r="AX131" s="448" t="n"/>
      <c r="AY131" s="448" t="n"/>
      <c r="AZ131" s="448" t="n"/>
      <c r="BA131" s="448" t="n"/>
      <c r="BB131" s="448" t="n"/>
      <c r="BC131" s="448" t="n"/>
      <c r="BD131" s="448" t="n"/>
      <c r="BE131" s="448" t="n"/>
      <c r="BF131" s="448" t="n"/>
      <c r="BG131" s="448" t="n"/>
      <c r="BH131" s="448" t="n"/>
      <c r="BI131" s="448" t="n"/>
      <c r="BJ131" s="448" t="n"/>
      <c r="BK131" s="448" t="n"/>
      <c r="BL131" s="448" t="n"/>
      <c r="BM131" s="448" t="n"/>
      <c r="BN131" s="448" t="n"/>
      <c r="BO131" s="448" t="n"/>
      <c r="BP131" s="448" t="n"/>
      <c r="BQ131" s="448" t="n"/>
      <c r="BR131" s="448" t="n"/>
      <c r="BS131" s="448" t="n"/>
      <c r="BT131" s="448" t="n"/>
      <c r="BU131" s="448" t="n"/>
      <c r="BV131" s="448" t="n"/>
      <c r="BW131" s="448" t="n"/>
      <c r="BX131" s="448" t="n"/>
      <c r="BY131" s="448" t="n"/>
      <c r="BZ131" s="448" t="n"/>
      <c r="CA131" s="448" t="n"/>
      <c r="CB131" s="448" t="n"/>
      <c r="CC131" s="448" t="n"/>
      <c r="CD131" s="448" t="n"/>
      <c r="CE131" s="448" t="n"/>
      <c r="CF131" s="448" t="n"/>
      <c r="CG131" s="448" t="n"/>
      <c r="CH131" s="448" t="n"/>
      <c r="CI131" s="448" t="n"/>
      <c r="CJ131" s="448" t="n"/>
      <c r="CK131" s="449" t="n"/>
      <c r="CL131" s="620">
        <f>Thickness!CL131</f>
        <v/>
      </c>
      <c r="CM131" s="468" t="n"/>
      <c r="CN131" s="468" t="n"/>
      <c r="CO131" s="468" t="n"/>
      <c r="CP131" s="468" t="n"/>
      <c r="CQ131" s="468" t="n"/>
      <c r="CR131" s="468" t="n"/>
      <c r="CS131" s="468" t="n"/>
      <c r="CT131" s="468" t="n"/>
      <c r="CU131" s="468" t="n"/>
      <c r="CV131" s="468" t="n"/>
      <c r="CW131" s="468" t="n"/>
      <c r="CX131" s="468" t="n"/>
      <c r="CY131" s="468" t="n"/>
      <c r="CZ131" s="468" t="n"/>
      <c r="DA131" s="468" t="n"/>
      <c r="DB131" s="468" t="n"/>
      <c r="DC131" s="468" t="n"/>
      <c r="DD131" s="468" t="n"/>
      <c r="DE131" s="468" t="n"/>
      <c r="DF131" s="468" t="n"/>
      <c r="DG131" s="468" t="n"/>
      <c r="DH131" s="468" t="n"/>
      <c r="DI131" s="468" t="n"/>
      <c r="DJ131" s="468" t="n"/>
      <c r="DK131" s="468" t="n"/>
      <c r="DL131" s="468" t="n"/>
      <c r="DM131" s="468" t="n"/>
      <c r="DN131" s="468" t="n"/>
      <c r="DO131" s="468" t="n"/>
      <c r="DP131" s="468" t="n"/>
      <c r="DQ131" s="468" t="n"/>
      <c r="DR131" s="468" t="n"/>
      <c r="DS131" s="468" t="n"/>
      <c r="DT131" s="468" t="n"/>
      <c r="DU131" s="468" t="n"/>
      <c r="DV131" s="468" t="n"/>
      <c r="DW131" s="468" t="n"/>
      <c r="DX131" s="468" t="n"/>
      <c r="DY131" s="468" t="n"/>
      <c r="DZ131" s="451" t="n"/>
    </row>
    <row r="132" ht="36" customHeight="1">
      <c r="B132" s="16" t="inlineStr">
        <is>
          <t>LOW THICKNESS</t>
        </is>
      </c>
    </row>
    <row r="133" ht="36" customHeight="1">
      <c r="V133" s="212" t="n"/>
      <c r="W133" s="212" t="n"/>
      <c r="X133" s="212" t="n"/>
      <c r="Y133" s="212" t="n"/>
      <c r="Z133" s="212" t="n"/>
      <c r="AA133" s="212" t="n"/>
      <c r="AB133" s="212" t="n"/>
      <c r="AC133" s="212" t="n"/>
      <c r="AD133" s="212" t="n"/>
      <c r="AE133" s="212" t="n"/>
      <c r="AF133" s="212" t="n"/>
      <c r="AG133" s="212" t="n"/>
      <c r="AH133" s="212" t="n"/>
      <c r="AI133" s="212" t="n"/>
      <c r="AJ133" s="212" t="n"/>
      <c r="AK133" s="212" t="n"/>
      <c r="AL133" s="212" t="n"/>
      <c r="AM133" s="212" t="n"/>
      <c r="AN133" s="212" t="n"/>
      <c r="AO133" s="212" t="n"/>
      <c r="AP133" s="212" t="n"/>
      <c r="AQ133" s="212" t="n"/>
      <c r="AR133" s="212" t="n"/>
      <c r="AS133" s="212" t="n"/>
      <c r="AT133" s="212" t="n"/>
      <c r="AU133" s="212" t="n"/>
    </row>
    <row r="134" ht="36" customHeight="1">
      <c r="V134" s="212" t="n"/>
      <c r="W134" s="212" t="n"/>
      <c r="X134" s="212" t="n"/>
      <c r="Y134" s="212" t="n"/>
      <c r="Z134" s="212" t="n"/>
      <c r="AA134" s="212" t="n"/>
      <c r="AB134" s="212" t="n"/>
      <c r="AC134" s="212" t="n"/>
      <c r="AD134" s="212" t="n"/>
      <c r="AE134" s="212" t="n"/>
      <c r="AF134" s="212" t="n"/>
      <c r="AG134" s="212" t="n"/>
      <c r="AH134" s="212" t="n"/>
      <c r="AI134" s="212" t="n"/>
      <c r="AJ134" s="212" t="n"/>
      <c r="AK134" s="212" t="n"/>
      <c r="AL134" s="212" t="n"/>
      <c r="AM134" s="212" t="n"/>
      <c r="AN134" s="212" t="n"/>
      <c r="AO134" s="212" t="n"/>
      <c r="AP134" s="212" t="n"/>
      <c r="AQ134" s="212" t="n"/>
      <c r="AR134" s="212" t="n"/>
      <c r="AS134" s="212" t="n"/>
      <c r="AT134" s="212" t="n"/>
      <c r="AU134" s="212" t="n"/>
      <c r="BJ134" s="212" t="n"/>
      <c r="BK134" s="212" t="n"/>
      <c r="BL134" s="212" t="n"/>
      <c r="BM134" s="212" t="n"/>
      <c r="BN134" s="212" t="n"/>
      <c r="BO134" s="212" t="n"/>
      <c r="BP134" s="212" t="n"/>
      <c r="BQ134" s="212" t="n"/>
      <c r="BR134" s="212" t="n"/>
      <c r="BS134" s="212" t="n"/>
      <c r="BT134" s="212" t="n"/>
      <c r="BU134" s="212" t="n"/>
      <c r="BV134" s="212" t="n"/>
      <c r="BW134" s="212" t="n"/>
      <c r="BX134" s="212" t="n"/>
      <c r="BY134" s="212" t="n"/>
      <c r="BZ134" s="212" t="n"/>
      <c r="CA134" s="212" t="n"/>
      <c r="CB134" s="212" t="n"/>
      <c r="CC134" s="212" t="n"/>
      <c r="CD134" s="212" t="n"/>
      <c r="CE134" s="212" t="n"/>
      <c r="CF134" s="212" t="n"/>
      <c r="CG134" s="212" t="n"/>
      <c r="CH134" s="212" t="n"/>
      <c r="CI134" s="212" t="n"/>
      <c r="CJ134" s="212" t="n"/>
      <c r="CK134" s="212" t="n"/>
      <c r="CL134" s="212" t="n"/>
      <c r="CM134" s="212" t="n"/>
      <c r="CN134" s="212" t="n"/>
      <c r="CO134" s="212" t="n"/>
      <c r="CP134" s="212" t="n"/>
      <c r="CQ134" s="212" t="n"/>
      <c r="CR134" s="212" t="n"/>
      <c r="CS134" s="212" t="n"/>
      <c r="CT134" s="212" t="n"/>
      <c r="CU134" s="212" t="n"/>
      <c r="CV134" s="212" t="n"/>
      <c r="CW134" s="212" t="n"/>
      <c r="CZ134" s="212" t="n"/>
      <c r="DA134" s="212" t="n"/>
      <c r="DB134" s="212" t="n"/>
      <c r="DC134" s="212" t="n"/>
      <c r="DD134" s="212" t="n"/>
      <c r="DE134" s="212" t="n"/>
      <c r="DF134" s="212" t="n"/>
      <c r="DG134" s="212" t="n"/>
      <c r="DH134" s="212" t="n"/>
      <c r="DI134" s="212" t="n"/>
      <c r="DJ134" s="212" t="n"/>
      <c r="DK134" s="212" t="n"/>
      <c r="DL134" s="212" t="n"/>
      <c r="DM134" s="212" t="n"/>
      <c r="DN134" s="212" t="n"/>
      <c r="DO134" s="212" t="n"/>
      <c r="DP134" s="212" t="n"/>
      <c r="DQ134" s="212" t="n"/>
      <c r="DR134" s="212" t="n"/>
      <c r="DS134" s="212" t="n"/>
      <c r="DT134" s="212" t="n"/>
      <c r="DU134" s="212" t="n"/>
      <c r="DV134" s="212" t="n"/>
    </row>
    <row r="135">
      <c r="V135" s="212" t="n"/>
      <c r="W135" s="212" t="n"/>
      <c r="X135" s="212" t="n"/>
      <c r="Y135" s="212" t="n"/>
      <c r="Z135" s="212" t="n"/>
      <c r="AA135" s="212" t="n"/>
      <c r="AB135" s="212" t="n"/>
      <c r="AC135" s="212" t="n"/>
      <c r="AD135" s="212" t="n"/>
      <c r="AE135" s="212" t="n"/>
      <c r="AF135" s="212" t="n"/>
      <c r="AG135" s="212" t="n"/>
      <c r="AH135" s="212" t="n"/>
      <c r="AI135" s="212" t="n"/>
      <c r="AJ135" s="212" t="n"/>
      <c r="AK135" s="212" t="n"/>
      <c r="AL135" s="212" t="n"/>
      <c r="AM135" s="212" t="n"/>
      <c r="AN135" s="212" t="n"/>
      <c r="AO135" s="212" t="n"/>
      <c r="AP135" s="212" t="n"/>
      <c r="AQ135" s="212" t="n"/>
      <c r="AR135" s="212" t="n"/>
      <c r="AS135" s="212" t="n"/>
      <c r="AT135" s="212" t="n"/>
      <c r="AU135" s="212" t="n"/>
      <c r="BJ135" s="212" t="n"/>
      <c r="BK135" s="212" t="n"/>
      <c r="BL135" s="212" t="n"/>
      <c r="BM135" s="212" t="n"/>
      <c r="BN135" s="212" t="n"/>
      <c r="BO135" s="212" t="n"/>
      <c r="BP135" s="212" t="n"/>
      <c r="BQ135" s="212" t="n"/>
      <c r="BR135" s="461" t="inlineStr">
        <is>
          <t>APPLIED TECHNICAL SERVICES 
1049 Triad Court
Marietta, Georgia 30062
Office # (770) 423-1400
Fax # (770) 514-3299
www.atslab.com</t>
        </is>
      </c>
      <c r="BS135" s="458" t="n"/>
      <c r="BT135" s="458" t="n"/>
      <c r="BU135" s="458" t="n"/>
      <c r="BV135" s="458" t="n"/>
      <c r="BW135" s="458" t="n"/>
      <c r="BX135" s="458" t="n"/>
      <c r="BY135" s="458" t="n"/>
      <c r="BZ135" s="458" t="n"/>
      <c r="CA135" s="458" t="n"/>
      <c r="CB135" s="458" t="n"/>
      <c r="CC135" s="458" t="n"/>
      <c r="CD135" s="458" t="n"/>
      <c r="CE135" s="458" t="n"/>
      <c r="CF135" s="458" t="n"/>
      <c r="CG135" s="458" t="n"/>
      <c r="CH135" s="458" t="n"/>
      <c r="CI135" s="458" t="n"/>
      <c r="CJ135" s="458" t="n"/>
      <c r="CK135" s="446" t="n"/>
      <c r="CL135" s="212" t="n"/>
      <c r="CM135" s="212" t="n"/>
      <c r="CN135" s="212" t="n"/>
      <c r="CO135" s="212" t="n"/>
      <c r="CP135" s="212" t="n"/>
      <c r="CQ135" s="212" t="n"/>
      <c r="CR135" s="212" t="n"/>
      <c r="CS135" s="212" t="n"/>
      <c r="CT135" s="212" t="n"/>
      <c r="CU135" s="212" t="n"/>
      <c r="CV135" s="212" t="n"/>
      <c r="CW135" s="212" t="n"/>
      <c r="CZ135" s="212" t="n"/>
      <c r="DA135" s="212" t="n"/>
      <c r="DB135" s="212" t="n"/>
      <c r="DC135" s="212" t="n"/>
      <c r="DD135" s="212" t="n"/>
      <c r="DE135" s="212" t="n"/>
      <c r="DF135" s="212" t="n"/>
      <c r="DG135" s="212" t="n"/>
      <c r="DH135" s="212" t="n"/>
      <c r="DI135" s="212" t="n"/>
      <c r="DJ135" s="212" t="n"/>
      <c r="DK135" s="212" t="n"/>
      <c r="DL135" s="212" t="n"/>
      <c r="DM135" s="212" t="n"/>
      <c r="DN135" s="212" t="n"/>
      <c r="DO135" s="212" t="n"/>
      <c r="DP135" s="212" t="n"/>
      <c r="DQ135" s="212" t="n"/>
      <c r="DR135" s="212" t="n"/>
      <c r="DS135" s="212" t="n"/>
      <c r="DT135" s="212" t="n"/>
      <c r="DU135" s="212" t="n"/>
      <c r="DV135" s="212" t="n"/>
    </row>
    <row r="136">
      <c r="BJ136" s="212" t="n"/>
      <c r="BK136" s="212" t="n"/>
      <c r="BL136" s="212" t="n"/>
      <c r="BM136" s="212" t="n"/>
      <c r="BN136" s="212" t="n"/>
      <c r="BO136" s="212" t="n"/>
      <c r="BP136" s="212" t="n"/>
      <c r="BQ136" s="212" t="n"/>
      <c r="CK136" s="464" t="n"/>
      <c r="CL136" s="212" t="n"/>
      <c r="CM136" s="212" t="n"/>
      <c r="CN136" s="212" t="n"/>
      <c r="CO136" s="212" t="n"/>
      <c r="CP136" s="212" t="n"/>
      <c r="CQ136" s="212" t="n"/>
      <c r="CR136" s="212" t="n"/>
      <c r="CS136" s="212" t="n"/>
      <c r="CT136" s="212" t="n"/>
      <c r="CU136" s="212" t="n"/>
      <c r="CV136" s="212" t="n"/>
      <c r="CW136" s="212" t="n"/>
      <c r="CZ136" s="212" t="n"/>
      <c r="DA136" s="212" t="n"/>
      <c r="DB136" s="212" t="n"/>
      <c r="DC136" s="212" t="n"/>
      <c r="DD136" s="212" t="n"/>
      <c r="DE136" s="212" t="n"/>
      <c r="DF136" s="212" t="n"/>
      <c r="DG136" s="212" t="n"/>
      <c r="DH136" s="212" t="n"/>
      <c r="DI136" s="212" t="n"/>
      <c r="DJ136" s="212" t="n"/>
      <c r="DK136" s="212" t="n"/>
      <c r="DL136" s="212" t="n"/>
      <c r="DM136" s="212" t="n"/>
      <c r="DN136" s="212" t="n"/>
      <c r="DO136" s="212" t="n"/>
      <c r="DP136" s="212" t="n"/>
      <c r="DQ136" s="212" t="n"/>
      <c r="DR136" s="212" t="n"/>
      <c r="DS136" s="212" t="n"/>
      <c r="DT136" s="212" t="n"/>
      <c r="DU136" s="212" t="n"/>
      <c r="DV136" s="212" t="n"/>
    </row>
    <row r="137">
      <c r="CK137" s="464" t="n"/>
    </row>
    <row r="138">
      <c r="BR138" s="468" t="n"/>
      <c r="BS138" s="468" t="n"/>
      <c r="BT138" s="468" t="n"/>
      <c r="BU138" s="468" t="n"/>
      <c r="BV138" s="468" t="n"/>
      <c r="BW138" s="468" t="n"/>
      <c r="BX138" s="468" t="n"/>
      <c r="BY138" s="468" t="n"/>
      <c r="BZ138" s="468" t="n"/>
      <c r="CA138" s="468" t="n"/>
      <c r="CB138" s="468" t="n"/>
      <c r="CC138" s="468" t="n"/>
      <c r="CD138" s="468" t="n"/>
      <c r="CE138" s="468" t="n"/>
      <c r="CF138" s="468" t="n"/>
      <c r="CG138" s="468" t="n"/>
      <c r="CH138" s="468" t="n"/>
      <c r="CI138" s="468" t="n"/>
      <c r="CJ138" s="468" t="n"/>
      <c r="CK138" s="451" t="n"/>
    </row>
    <row r="139"/>
    <row r="140">
      <c r="BR140" s="461" t="inlineStr">
        <is>
          <t>APPLIED TECHNICAL SERVICES 
1325-B Cavalier Boulevard               Chesapeake, Virginia 23323                (757) 558-0016 Fax (757) 558-0063
www.atslab.com</t>
        </is>
      </c>
      <c r="BS140" s="458" t="n"/>
      <c r="BT140" s="458" t="n"/>
      <c r="BU140" s="458" t="n"/>
      <c r="BV140" s="458" t="n"/>
      <c r="BW140" s="458" t="n"/>
      <c r="BX140" s="458" t="n"/>
      <c r="BY140" s="458" t="n"/>
      <c r="BZ140" s="458" t="n"/>
      <c r="CA140" s="458" t="n"/>
      <c r="CB140" s="458" t="n"/>
      <c r="CC140" s="458" t="n"/>
      <c r="CD140" s="458" t="n"/>
      <c r="CE140" s="458" t="n"/>
      <c r="CF140" s="458" t="n"/>
      <c r="CG140" s="458" t="n"/>
      <c r="CH140" s="458" t="n"/>
      <c r="CI140" s="458" t="n"/>
      <c r="CJ140" s="458" t="n"/>
      <c r="CK140" s="446" t="n"/>
    </row>
    <row r="141">
      <c r="CK141" s="464" t="n"/>
    </row>
    <row r="142">
      <c r="CK142" s="464" t="n"/>
    </row>
    <row r="143">
      <c r="BR143" s="468" t="n"/>
      <c r="BS143" s="468" t="n"/>
      <c r="BT143" s="468" t="n"/>
      <c r="BU143" s="468" t="n"/>
      <c r="BV143" s="468" t="n"/>
      <c r="BW143" s="468" t="n"/>
      <c r="BX143" s="468" t="n"/>
      <c r="BY143" s="468" t="n"/>
      <c r="BZ143" s="468" t="n"/>
      <c r="CA143" s="468" t="n"/>
      <c r="CB143" s="468" t="n"/>
      <c r="CC143" s="468" t="n"/>
      <c r="CD143" s="468" t="n"/>
      <c r="CE143" s="468" t="n"/>
      <c r="CF143" s="468" t="n"/>
      <c r="CG143" s="468" t="n"/>
      <c r="CH143" s="468" t="n"/>
      <c r="CI143" s="468" t="n"/>
      <c r="CJ143" s="468" t="n"/>
      <c r="CK143" s="451" t="n"/>
    </row>
    <row r="144"/>
    <row r="145">
      <c r="BR145" s="461" t="inlineStr">
        <is>
          <t>APPLIED TECHNICAL SERVICES 
2312 Commerce Ctr. Dr., Suite A                           Rockville, Virginia 23146                          (804) 550-7610 Fax (804) 550-7611                           www.atslab.com</t>
        </is>
      </c>
      <c r="BS145" s="458" t="n"/>
      <c r="BT145" s="458" t="n"/>
      <c r="BU145" s="458" t="n"/>
      <c r="BV145" s="458" t="n"/>
      <c r="BW145" s="458" t="n"/>
      <c r="BX145" s="458" t="n"/>
      <c r="BY145" s="458" t="n"/>
      <c r="BZ145" s="458" t="n"/>
      <c r="CA145" s="458" t="n"/>
      <c r="CB145" s="458" t="n"/>
      <c r="CC145" s="458" t="n"/>
      <c r="CD145" s="458" t="n"/>
      <c r="CE145" s="458" t="n"/>
      <c r="CF145" s="458" t="n"/>
      <c r="CG145" s="458" t="n"/>
      <c r="CH145" s="458" t="n"/>
      <c r="CI145" s="458" t="n"/>
      <c r="CJ145" s="458" t="n"/>
      <c r="CK145" s="446" t="n"/>
    </row>
    <row r="146">
      <c r="CK146" s="464" t="n"/>
    </row>
    <row r="147">
      <c r="CK147" s="464" t="n"/>
    </row>
    <row r="148">
      <c r="BR148" s="468" t="n"/>
      <c r="BS148" s="468" t="n"/>
      <c r="BT148" s="468" t="n"/>
      <c r="BU148" s="468" t="n"/>
      <c r="BV148" s="468" t="n"/>
      <c r="BW148" s="468" t="n"/>
      <c r="BX148" s="468" t="n"/>
      <c r="BY148" s="468" t="n"/>
      <c r="BZ148" s="468" t="n"/>
      <c r="CA148" s="468" t="n"/>
      <c r="CB148" s="468" t="n"/>
      <c r="CC148" s="468" t="n"/>
      <c r="CD148" s="468" t="n"/>
      <c r="CE148" s="468" t="n"/>
      <c r="CF148" s="468" t="n"/>
      <c r="CG148" s="468" t="n"/>
      <c r="CH148" s="468" t="n"/>
      <c r="CI148" s="468" t="n"/>
      <c r="CJ148" s="468" t="n"/>
      <c r="CK148" s="451" t="n"/>
    </row>
  </sheetData>
  <mergeCells count="2671">
    <mergeCell ref="BG46:BG48"/>
    <mergeCell ref="BF106:BF108"/>
    <mergeCell ref="K70:K72"/>
    <mergeCell ref="R91:R93"/>
    <mergeCell ref="AG7:AG9"/>
    <mergeCell ref="BC97:BC99"/>
    <mergeCell ref="AB82:AB84"/>
    <mergeCell ref="AQ4:AQ6"/>
    <mergeCell ref="BT100:BT102"/>
    <mergeCell ref="D25:D27"/>
    <mergeCell ref="BU55:BU57"/>
    <mergeCell ref="Z19:Z21"/>
    <mergeCell ref="AT67:AT69"/>
    <mergeCell ref="G88:G90"/>
    <mergeCell ref="AQ31:AQ33"/>
    <mergeCell ref="BK79:BK81"/>
    <mergeCell ref="BI106:BI108"/>
    <mergeCell ref="AI73:AI75"/>
    <mergeCell ref="AF34:AF36"/>
    <mergeCell ref="BS7:BS9"/>
    <mergeCell ref="AF28:AF30"/>
    <mergeCell ref="C2:DP2"/>
    <mergeCell ref="BT103:BT105"/>
    <mergeCell ref="AS88:AS90"/>
    <mergeCell ref="AX22:AX24"/>
    <mergeCell ref="W34:W36"/>
    <mergeCell ref="BJ100:BJ102"/>
    <mergeCell ref="AG25:AG27"/>
    <mergeCell ref="AJ67:AJ69"/>
    <mergeCell ref="P46:P48"/>
    <mergeCell ref="BK76:BK78"/>
    <mergeCell ref="P40:P42"/>
    <mergeCell ref="X103:X105"/>
    <mergeCell ref="X97:X99"/>
    <mergeCell ref="Z37:Z39"/>
    <mergeCell ref="BR28:BR30"/>
    <mergeCell ref="C127:L127"/>
    <mergeCell ref="O103:O105"/>
    <mergeCell ref="BI34:BI36"/>
    <mergeCell ref="BQ91:BQ93"/>
    <mergeCell ref="Y94:Y96"/>
    <mergeCell ref="AQ52:AQ54"/>
    <mergeCell ref="W31:W33"/>
    <mergeCell ref="AW131:CK131"/>
    <mergeCell ref="R106:R108"/>
    <mergeCell ref="BA49:BA51"/>
    <mergeCell ref="BJ97:BJ99"/>
    <mergeCell ref="AG28:AG30"/>
    <mergeCell ref="AI109:AI111"/>
    <mergeCell ref="AN43:AN45"/>
    <mergeCell ref="AJ64:AJ66"/>
    <mergeCell ref="P43:P45"/>
    <mergeCell ref="N10:N12"/>
    <mergeCell ref="AT82:AT84"/>
    <mergeCell ref="AG55:AG57"/>
    <mergeCell ref="BA103:BA105"/>
    <mergeCell ref="BK94:BK96"/>
    <mergeCell ref="G22:G24"/>
    <mergeCell ref="AK61:AK63"/>
    <mergeCell ref="BI31:BI33"/>
    <mergeCell ref="AH16:AH18"/>
    <mergeCell ref="AP100:AP102"/>
    <mergeCell ref="P76:P78"/>
    <mergeCell ref="AZ10:AZ12"/>
    <mergeCell ref="AG79:AG81"/>
    <mergeCell ref="M58:M60"/>
    <mergeCell ref="AQ70:AQ72"/>
    <mergeCell ref="W49:W51"/>
    <mergeCell ref="BO46:BO48"/>
    <mergeCell ref="BO40:BO42"/>
    <mergeCell ref="Z91:Z93"/>
    <mergeCell ref="BM64:BM66"/>
    <mergeCell ref="Z85:Z87"/>
    <mergeCell ref="AO7:AO9"/>
    <mergeCell ref="AJ82:AJ84"/>
    <mergeCell ref="BF19:BF21"/>
    <mergeCell ref="BF46:BF48"/>
    <mergeCell ref="BB67:BB69"/>
    <mergeCell ref="BP37:BP39"/>
    <mergeCell ref="O88:O90"/>
    <mergeCell ref="AA88:AA90"/>
    <mergeCell ref="BS79:BS81"/>
    <mergeCell ref="AY58:AY60"/>
    <mergeCell ref="AY52:AY54"/>
    <mergeCell ref="BI49:BI51"/>
    <mergeCell ref="BT55:BT57"/>
    <mergeCell ref="Y19:Y21"/>
    <mergeCell ref="AP31:AP33"/>
    <mergeCell ref="F97:F99"/>
    <mergeCell ref="AL52:AL54"/>
    <mergeCell ref="BH106:BH108"/>
    <mergeCell ref="AH79:AH81"/>
    <mergeCell ref="AE34:AE36"/>
    <mergeCell ref="K13:K15"/>
    <mergeCell ref="A41:A42"/>
    <mergeCell ref="AO25:AO27"/>
    <mergeCell ref="AA85:AA87"/>
    <mergeCell ref="BK19:BK21"/>
    <mergeCell ref="BS76:BS78"/>
    <mergeCell ref="BL109:BL111"/>
    <mergeCell ref="X40:X42"/>
    <mergeCell ref="AW22:AW24"/>
    <mergeCell ref="E109:E111"/>
    <mergeCell ref="BI100:BI102"/>
    <mergeCell ref="BJ55:BJ57"/>
    <mergeCell ref="O19:O21"/>
    <mergeCell ref="AI67:AI69"/>
    <mergeCell ref="W103:W105"/>
    <mergeCell ref="BT73:BT75"/>
    <mergeCell ref="BQ34:BQ36"/>
    <mergeCell ref="AG94:AG96"/>
    <mergeCell ref="BQ28:BQ30"/>
    <mergeCell ref="G61:G63"/>
    <mergeCell ref="BR10:BR12"/>
    <mergeCell ref="BJ40:BJ42"/>
    <mergeCell ref="BH7:BH9"/>
    <mergeCell ref="AQ109:AQ111"/>
    <mergeCell ref="D52:D54"/>
    <mergeCell ref="AV43:AV45"/>
    <mergeCell ref="BP91:BP93"/>
    <mergeCell ref="V10:V12"/>
    <mergeCell ref="AM13:AM15"/>
    <mergeCell ref="BI103:BI105"/>
    <mergeCell ref="AH88:AH90"/>
    <mergeCell ref="N67:N69"/>
    <mergeCell ref="BI97:BI99"/>
    <mergeCell ref="AW4:AW6"/>
    <mergeCell ref="BS94:BS96"/>
    <mergeCell ref="H49:H51"/>
    <mergeCell ref="H85:H87"/>
    <mergeCell ref="F109:F111"/>
    <mergeCell ref="AZ76:AZ78"/>
    <mergeCell ref="AF55:AF57"/>
    <mergeCell ref="A98:A99"/>
    <mergeCell ref="F22:F24"/>
    <mergeCell ref="AO79:AO81"/>
    <mergeCell ref="U58:U60"/>
    <mergeCell ref="AO73:AO75"/>
    <mergeCell ref="AE49:AE51"/>
    <mergeCell ref="BU64:BU66"/>
    <mergeCell ref="O76:O78"/>
    <mergeCell ref="AY10:AY12"/>
    <mergeCell ref="L31:L33"/>
    <mergeCell ref="BN46:BN48"/>
    <mergeCell ref="AR22:AR24"/>
    <mergeCell ref="E43:E45"/>
    <mergeCell ref="Y91:Y93"/>
    <mergeCell ref="V46:V48"/>
    <mergeCell ref="AI82:AI84"/>
    <mergeCell ref="AP103:AP105"/>
    <mergeCell ref="BH64:BH66"/>
    <mergeCell ref="AF37:AF39"/>
    <mergeCell ref="BA40:BA42"/>
    <mergeCell ref="F4:F6"/>
    <mergeCell ref="BA76:BA78"/>
    <mergeCell ref="F40:F42"/>
    <mergeCell ref="N97:N99"/>
    <mergeCell ref="BR79:BR81"/>
    <mergeCell ref="AX31:AX33"/>
    <mergeCell ref="AE100:AE102"/>
    <mergeCell ref="E67:E69"/>
    <mergeCell ref="BK91:BK93"/>
    <mergeCell ref="V79:V81"/>
    <mergeCell ref="AM28:AM30"/>
    <mergeCell ref="BU82:BU84"/>
    <mergeCell ref="AM64:AM66"/>
    <mergeCell ref="M31:M33"/>
    <mergeCell ref="AD34:AD36"/>
    <mergeCell ref="Y109:Y111"/>
    <mergeCell ref="BQ100:BQ102"/>
    <mergeCell ref="AN25:AN27"/>
    <mergeCell ref="AQ67:AQ69"/>
    <mergeCell ref="W46:W48"/>
    <mergeCell ref="AE103:AE105"/>
    <mergeCell ref="AQ61:AQ63"/>
    <mergeCell ref="AG37:AG39"/>
    <mergeCell ref="AN58:AN60"/>
    <mergeCell ref="BI55:BI57"/>
    <mergeCell ref="N19:N21"/>
    <mergeCell ref="V103:V105"/>
    <mergeCell ref="AF100:AF102"/>
    <mergeCell ref="BP34:BP36"/>
    <mergeCell ref="AF94:AF96"/>
    <mergeCell ref="F61:F63"/>
    <mergeCell ref="Y106:Y108"/>
    <mergeCell ref="BI40:BI42"/>
    <mergeCell ref="BG13:BG15"/>
    <mergeCell ref="W73:W75"/>
    <mergeCell ref="T34:T36"/>
    <mergeCell ref="BO64:BO66"/>
    <mergeCell ref="AU43:AU45"/>
    <mergeCell ref="U10:U12"/>
    <mergeCell ref="P85:P87"/>
    <mergeCell ref="BH103:BH105"/>
    <mergeCell ref="AG88:AG90"/>
    <mergeCell ref="M67:M69"/>
    <mergeCell ref="AL22:AL24"/>
    <mergeCell ref="BR94:BR96"/>
    <mergeCell ref="AR61:AR63"/>
    <mergeCell ref="AO16:AO18"/>
    <mergeCell ref="E82:E84"/>
    <mergeCell ref="L103:L105"/>
    <mergeCell ref="BI73:BI75"/>
    <mergeCell ref="AL13:AL15"/>
    <mergeCell ref="BF28:BF30"/>
    <mergeCell ref="V94:V96"/>
    <mergeCell ref="BG10:BG12"/>
    <mergeCell ref="AN79:AN81"/>
    <mergeCell ref="T58:T60"/>
    <mergeCell ref="AX70:AX72"/>
    <mergeCell ref="AD49:AD51"/>
    <mergeCell ref="BE91:BE93"/>
    <mergeCell ref="D16:D18"/>
    <mergeCell ref="AX103:AX105"/>
    <mergeCell ref="U28:U30"/>
    <mergeCell ref="AX97:AX99"/>
    <mergeCell ref="BM19:BM21"/>
    <mergeCell ref="AL128:AV128"/>
    <mergeCell ref="X64:X66"/>
    <mergeCell ref="D43:D45"/>
    <mergeCell ref="BF58:BF60"/>
    <mergeCell ref="Q46:Q48"/>
    <mergeCell ref="AY94:AY96"/>
    <mergeCell ref="BQ52:BQ54"/>
    <mergeCell ref="J58:J60"/>
    <mergeCell ref="AW31:AW33"/>
    <mergeCell ref="M97:M99"/>
    <mergeCell ref="J52:J54"/>
    <mergeCell ref="BG28:BG30"/>
    <mergeCell ref="T49:T51"/>
    <mergeCell ref="AE55:AE57"/>
    <mergeCell ref="AN10:AN12"/>
    <mergeCell ref="AL34:AL36"/>
    <mergeCell ref="AV25:AV27"/>
    <mergeCell ref="BF85:BF87"/>
    <mergeCell ref="BC46:BC48"/>
    <mergeCell ref="S106:S108"/>
    <mergeCell ref="G70:G72"/>
    <mergeCell ref="AC13:AC15"/>
    <mergeCell ref="A17:A18"/>
    <mergeCell ref="AC7:AC9"/>
    <mergeCell ref="AY97:AY99"/>
    <mergeCell ref="D61:D63"/>
    <mergeCell ref="BP100:BP102"/>
    <mergeCell ref="BQ55:BQ57"/>
    <mergeCell ref="V19:V21"/>
    <mergeCell ref="AP67:AP69"/>
    <mergeCell ref="C88:C90"/>
    <mergeCell ref="BG79:BG81"/>
    <mergeCell ref="AN94:AN96"/>
    <mergeCell ref="AM58:AM60"/>
    <mergeCell ref="AW49:AW51"/>
    <mergeCell ref="BE106:BE108"/>
    <mergeCell ref="BH55:BH57"/>
    <mergeCell ref="U76:U78"/>
    <mergeCell ref="W16:W18"/>
    <mergeCell ref="AE73:AE75"/>
    <mergeCell ref="K52:K54"/>
    <mergeCell ref="BO7:BO9"/>
    <mergeCell ref="BR135:CK138"/>
    <mergeCell ref="A107:A108"/>
    <mergeCell ref="AO88:AO90"/>
    <mergeCell ref="S34:S36"/>
    <mergeCell ref="BD4:BD6"/>
    <mergeCell ref="BD40:BD42"/>
    <mergeCell ref="AC25:AC27"/>
    <mergeCell ref="I4:I6"/>
    <mergeCell ref="O85:O87"/>
    <mergeCell ref="L46:L48"/>
    <mergeCell ref="BG76:BG78"/>
    <mergeCell ref="AM55:AM57"/>
    <mergeCell ref="L40:L42"/>
    <mergeCell ref="AD7:AD9"/>
    <mergeCell ref="V37:V39"/>
    <mergeCell ref="AX55:AX57"/>
    <mergeCell ref="D82:D84"/>
    <mergeCell ref="K103:K105"/>
    <mergeCell ref="BE34:BE36"/>
    <mergeCell ref="AK13:AK15"/>
    <mergeCell ref="U94:U96"/>
    <mergeCell ref="A3:B3"/>
    <mergeCell ref="BF10:BF12"/>
    <mergeCell ref="S31:S33"/>
    <mergeCell ref="AM79:AM81"/>
    <mergeCell ref="N106:N108"/>
    <mergeCell ref="AE109:AE111"/>
    <mergeCell ref="AW70:AW72"/>
    <mergeCell ref="AJ43:AJ45"/>
    <mergeCell ref="J10:J12"/>
    <mergeCell ref="AP82:AP84"/>
    <mergeCell ref="AC55:AC57"/>
    <mergeCell ref="AW103:AW105"/>
    <mergeCell ref="BL19:BL21"/>
    <mergeCell ref="BG94:BG96"/>
    <mergeCell ref="BV16:BV18"/>
    <mergeCell ref="W64:W66"/>
    <mergeCell ref="AG61:AG63"/>
    <mergeCell ref="M40:M42"/>
    <mergeCell ref="U97:U99"/>
    <mergeCell ref="BE31:BE33"/>
    <mergeCell ref="Z127:AF127"/>
    <mergeCell ref="AL100:AL102"/>
    <mergeCell ref="BV43:BV45"/>
    <mergeCell ref="AV10:AV12"/>
    <mergeCell ref="AC79:AC81"/>
    <mergeCell ref="I58:I60"/>
    <mergeCell ref="BM13:BM15"/>
    <mergeCell ref="BN85:BN87"/>
    <mergeCell ref="AM70:AM72"/>
    <mergeCell ref="S49:S51"/>
    <mergeCell ref="C76:C78"/>
    <mergeCell ref="AF109:AF111"/>
    <mergeCell ref="AU25:AU27"/>
    <mergeCell ref="BV67:BV69"/>
    <mergeCell ref="BB46:BB48"/>
    <mergeCell ref="AX67:AX69"/>
    <mergeCell ref="BL37:BL39"/>
    <mergeCell ref="M91:M93"/>
    <mergeCell ref="W88:W90"/>
    <mergeCell ref="BO79:BO81"/>
    <mergeCell ref="AU58:AU60"/>
    <mergeCell ref="AL4:AL6"/>
    <mergeCell ref="BO73:BO75"/>
    <mergeCell ref="BE49:BE51"/>
    <mergeCell ref="CL130:DZ130"/>
    <mergeCell ref="BP55:BP57"/>
    <mergeCell ref="U19:U21"/>
    <mergeCell ref="AO76:AO78"/>
    <mergeCell ref="BD106:BD108"/>
    <mergeCell ref="AR70:AR72"/>
    <mergeCell ref="BN13:BN15"/>
    <mergeCell ref="AD73:AD75"/>
    <mergeCell ref="AA34:AA36"/>
    <mergeCell ref="G13:G15"/>
    <mergeCell ref="BN7:BN9"/>
    <mergeCell ref="BV64:BV66"/>
    <mergeCell ref="AK25:AK27"/>
    <mergeCell ref="AQ106:AQ108"/>
    <mergeCell ref="BG19:BG21"/>
    <mergeCell ref="BH109:BH111"/>
    <mergeCell ref="AN88:AN90"/>
    <mergeCell ref="T40:T42"/>
    <mergeCell ref="AS22:AS24"/>
    <mergeCell ref="AE67:AE69"/>
    <mergeCell ref="K46:K48"/>
    <mergeCell ref="BF76:BF78"/>
    <mergeCell ref="S103:S105"/>
    <mergeCell ref="BP73:BP75"/>
    <mergeCell ref="U37:U39"/>
    <mergeCell ref="BM34:BM36"/>
    <mergeCell ref="AC94:AC96"/>
    <mergeCell ref="BM28:BM30"/>
    <mergeCell ref="BN10:BN12"/>
    <mergeCell ref="C61:C63"/>
    <mergeCell ref="AA31:AA33"/>
    <mergeCell ref="AM31:AM33"/>
    <mergeCell ref="BD34:BD36"/>
    <mergeCell ref="T100:T102"/>
    <mergeCell ref="BL91:BL93"/>
    <mergeCell ref="BN25:BN27"/>
    <mergeCell ref="BV82:BV84"/>
    <mergeCell ref="BE103:BE105"/>
    <mergeCell ref="M106:M108"/>
    <mergeCell ref="AV49:AV51"/>
    <mergeCell ref="BE97:BE99"/>
    <mergeCell ref="AB28:AB30"/>
    <mergeCell ref="BO94:BO96"/>
    <mergeCell ref="I10:I12"/>
    <mergeCell ref="AB55:AB57"/>
    <mergeCell ref="AV103:AV105"/>
    <mergeCell ref="BF100:BF102"/>
    <mergeCell ref="BF94:BF96"/>
    <mergeCell ref="BU16:BU18"/>
    <mergeCell ref="AF61:AF63"/>
    <mergeCell ref="T97:T99"/>
    <mergeCell ref="Q58:Q60"/>
    <mergeCell ref="BD31:BD33"/>
    <mergeCell ref="AC16:AC18"/>
    <mergeCell ref="AA49:AA51"/>
    <mergeCell ref="BU43:BU45"/>
    <mergeCell ref="BQ64:BQ66"/>
    <mergeCell ref="K76:K78"/>
    <mergeCell ref="AU10:AU12"/>
    <mergeCell ref="H31:H33"/>
    <mergeCell ref="H58:H60"/>
    <mergeCell ref="AL70:AL72"/>
    <mergeCell ref="R49:R51"/>
    <mergeCell ref="BJ46:BJ48"/>
    <mergeCell ref="BT37:BT39"/>
    <mergeCell ref="U91:U93"/>
    <mergeCell ref="AJ13:AJ15"/>
    <mergeCell ref="BR61:BR63"/>
    <mergeCell ref="AJ7:AJ9"/>
    <mergeCell ref="AE82:AE84"/>
    <mergeCell ref="AT4:AT6"/>
    <mergeCell ref="A59:A60"/>
    <mergeCell ref="BD64:BD66"/>
    <mergeCell ref="I28:I30"/>
    <mergeCell ref="Q85:Q87"/>
    <mergeCell ref="AC19:AC21"/>
    <mergeCell ref="AT31:AT33"/>
    <mergeCell ref="BN79:BN81"/>
    <mergeCell ref="AT58:AT60"/>
    <mergeCell ref="BD49:BD51"/>
    <mergeCell ref="BR145:CK148"/>
    <mergeCell ref="AD16:AD18"/>
    <mergeCell ref="AL73:AL75"/>
    <mergeCell ref="BV7:BV9"/>
    <mergeCell ref="C1:DP1"/>
    <mergeCell ref="C131:L131"/>
    <mergeCell ref="A56:A57"/>
    <mergeCell ref="I31:I33"/>
    <mergeCell ref="Z34:Z36"/>
    <mergeCell ref="AJ25:AJ27"/>
    <mergeCell ref="V85:V87"/>
    <mergeCell ref="S46:S48"/>
    <mergeCell ref="AC37:AC39"/>
    <mergeCell ref="AM97:AM99"/>
    <mergeCell ref="BB19:BB21"/>
    <mergeCell ref="BE55:BE57"/>
    <mergeCell ref="R103:R105"/>
    <mergeCell ref="AB100:AB102"/>
    <mergeCell ref="BL34:BL36"/>
    <mergeCell ref="CL128:DZ128"/>
    <mergeCell ref="AB94:AB96"/>
    <mergeCell ref="BV25:BV27"/>
    <mergeCell ref="U106:U108"/>
    <mergeCell ref="S73:S75"/>
    <mergeCell ref="BC7:BC9"/>
    <mergeCell ref="AQ43:AQ45"/>
    <mergeCell ref="BU88:BU90"/>
    <mergeCell ref="Q10:Q12"/>
    <mergeCell ref="L85:L87"/>
    <mergeCell ref="BD103:BD105"/>
    <mergeCell ref="I67:I69"/>
    <mergeCell ref="H70:H72"/>
    <mergeCell ref="BN94:BN96"/>
    <mergeCell ref="AR40:AR42"/>
    <mergeCell ref="AN61:AN63"/>
    <mergeCell ref="AK16:AK18"/>
    <mergeCell ref="AA55:AA57"/>
    <mergeCell ref="BE73:BE75"/>
    <mergeCell ref="AK52:AK54"/>
    <mergeCell ref="BC10:BC12"/>
    <mergeCell ref="AJ79:AJ81"/>
    <mergeCell ref="P58:P60"/>
    <mergeCell ref="BT13:BT15"/>
    <mergeCell ref="AT70:AT72"/>
    <mergeCell ref="Z49:Z51"/>
    <mergeCell ref="BK109:BK111"/>
    <mergeCell ref="J76:J78"/>
    <mergeCell ref="BD7:BD9"/>
    <mergeCell ref="AM109:AM111"/>
    <mergeCell ref="BL64:BL66"/>
    <mergeCell ref="AR43:AR45"/>
    <mergeCell ref="Q28:Q30"/>
    <mergeCell ref="BI46:BI48"/>
    <mergeCell ref="BS37:BS39"/>
    <mergeCell ref="T91:T93"/>
    <mergeCell ref="AI13:AI15"/>
    <mergeCell ref="AD88:AD90"/>
    <mergeCell ref="BV79:BV81"/>
    <mergeCell ref="AD82:AD84"/>
    <mergeCell ref="BB58:BB60"/>
    <mergeCell ref="AS4:AS6"/>
    <mergeCell ref="BV73:BV75"/>
    <mergeCell ref="AV76:AV78"/>
    <mergeCell ref="AS31:AS33"/>
    <mergeCell ref="I97:I99"/>
    <mergeCell ref="BU13:BU15"/>
    <mergeCell ref="AK73:AK75"/>
    <mergeCell ref="AH34:AH36"/>
    <mergeCell ref="AR25:AR27"/>
    <mergeCell ref="BB85:BB87"/>
    <mergeCell ref="AH64:AH66"/>
    <mergeCell ref="G49:G51"/>
    <mergeCell ref="C70:C72"/>
    <mergeCell ref="Y13:Y15"/>
    <mergeCell ref="AZ22:AZ24"/>
    <mergeCell ref="Y7:Y9"/>
    <mergeCell ref="AU97:AU99"/>
    <mergeCell ref="BL100:BL102"/>
    <mergeCell ref="AL67:AL69"/>
    <mergeCell ref="R46:R48"/>
    <mergeCell ref="Z103:Z105"/>
    <mergeCell ref="AB37:AB39"/>
    <mergeCell ref="AJ94:AJ96"/>
    <mergeCell ref="AI58:AI60"/>
    <mergeCell ref="BT28:BT30"/>
    <mergeCell ref="AH61:AH63"/>
    <mergeCell ref="Z4:Z6"/>
    <mergeCell ref="BD55:BD57"/>
    <mergeCell ref="Q76:Q78"/>
    <mergeCell ref="S16:S18"/>
    <mergeCell ref="A86:A87"/>
    <mergeCell ref="BK7:BK9"/>
    <mergeCell ref="G52:G54"/>
    <mergeCell ref="AA100:AA102"/>
    <mergeCell ref="BK34:BK36"/>
    <mergeCell ref="BS91:BS93"/>
    <mergeCell ref="BU25:BU27"/>
    <mergeCell ref="BD46:BD48"/>
    <mergeCell ref="T106:T108"/>
    <mergeCell ref="BB13:BB15"/>
    <mergeCell ref="O34:O36"/>
    <mergeCell ref="BT61:BT63"/>
    <mergeCell ref="AZ40:AZ42"/>
    <mergeCell ref="BT88:BT90"/>
    <mergeCell ref="E4:E6"/>
    <mergeCell ref="P10:P12"/>
    <mergeCell ref="K85:K87"/>
    <mergeCell ref="Z7:Z9"/>
    <mergeCell ref="BC103:BC105"/>
    <mergeCell ref="BM100:BM102"/>
    <mergeCell ref="BM94:BM96"/>
    <mergeCell ref="I22:I24"/>
    <mergeCell ref="AM61:AM63"/>
    <mergeCell ref="G103:G105"/>
    <mergeCell ref="BD73:BD75"/>
    <mergeCell ref="BA34:BA36"/>
    <mergeCell ref="AG13:AG15"/>
    <mergeCell ref="Q94:Q96"/>
    <mergeCell ref="BS109:BS111"/>
    <mergeCell ref="BB10:BB12"/>
    <mergeCell ref="R76:R78"/>
    <mergeCell ref="O31:O33"/>
    <mergeCell ref="AI79:AI81"/>
    <mergeCell ref="BS22:BS24"/>
    <mergeCell ref="H100:H102"/>
    <mergeCell ref="AS70:AS72"/>
    <mergeCell ref="Y49:Y51"/>
    <mergeCell ref="AL82:AL84"/>
    <mergeCell ref="AS103:AS105"/>
    <mergeCell ref="BK64:BK66"/>
    <mergeCell ref="P28:P30"/>
    <mergeCell ref="BH19:BH21"/>
    <mergeCell ref="BC94:BC96"/>
    <mergeCell ref="S64:S66"/>
    <mergeCell ref="A71:A72"/>
    <mergeCell ref="AC61:AC63"/>
    <mergeCell ref="I40:I42"/>
    <mergeCell ref="BA31:BA33"/>
    <mergeCell ref="BU79:BU81"/>
    <mergeCell ref="BA58:BA60"/>
    <mergeCell ref="H67:H69"/>
    <mergeCell ref="H103:H105"/>
    <mergeCell ref="E58:E60"/>
    <mergeCell ref="H97:H99"/>
    <mergeCell ref="BV49:BV51"/>
    <mergeCell ref="BB28:BB30"/>
    <mergeCell ref="R94:R96"/>
    <mergeCell ref="BJ85:BJ87"/>
    <mergeCell ref="O49:O51"/>
    <mergeCell ref="Z55:Z57"/>
    <mergeCell ref="AG34:AG36"/>
    <mergeCell ref="AB109:AB111"/>
    <mergeCell ref="BA91:BA93"/>
    <mergeCell ref="AQ25:AQ27"/>
    <mergeCell ref="AX46:AX48"/>
    <mergeCell ref="BH37:BH39"/>
    <mergeCell ref="X13:X15"/>
    <mergeCell ref="AT97:AT99"/>
    <mergeCell ref="AQ58:AQ60"/>
    <mergeCell ref="AH4:AH6"/>
    <mergeCell ref="T64:T66"/>
    <mergeCell ref="BL55:BL57"/>
    <mergeCell ref="Q19:Q21"/>
    <mergeCell ref="C130:L130"/>
    <mergeCell ref="AK76:AK78"/>
    <mergeCell ref="C22:C24"/>
    <mergeCell ref="BS34:BS36"/>
    <mergeCell ref="AI94:AI96"/>
    <mergeCell ref="AR49:AR51"/>
    <mergeCell ref="AZ106:AZ108"/>
    <mergeCell ref="BJ13:BJ15"/>
    <mergeCell ref="Z73:Z75"/>
    <mergeCell ref="F52:F54"/>
    <mergeCell ref="BJ7:BJ9"/>
    <mergeCell ref="AX43:AX45"/>
    <mergeCell ref="BT4:BT6"/>
    <mergeCell ref="X10:X12"/>
    <mergeCell ref="AJ88:AJ90"/>
    <mergeCell ref="AO22:AO24"/>
    <mergeCell ref="BU94:BU96"/>
    <mergeCell ref="AY46:AY48"/>
    <mergeCell ref="BS61:BS63"/>
    <mergeCell ref="AY40:AY42"/>
    <mergeCell ref="A26:A27"/>
    <mergeCell ref="H82:H84"/>
    <mergeCell ref="BB76:BB78"/>
    <mergeCell ref="T82:T84"/>
    <mergeCell ref="BL73:BL75"/>
    <mergeCell ref="AR52:AR54"/>
    <mergeCell ref="AS55:AS57"/>
    <mergeCell ref="BA70:BA72"/>
    <mergeCell ref="AZ34:AZ36"/>
    <mergeCell ref="P100:P102"/>
    <mergeCell ref="A23:A24"/>
    <mergeCell ref="BA106:BA108"/>
    <mergeCell ref="BJ25:BJ27"/>
    <mergeCell ref="BR109:BR111"/>
    <mergeCell ref="I106:I108"/>
    <mergeCell ref="X28:X30"/>
    <mergeCell ref="E10:E12"/>
    <mergeCell ref="X55:X57"/>
    <mergeCell ref="AR103:AR105"/>
    <mergeCell ref="BB100:BB102"/>
    <mergeCell ref="BB94:BB96"/>
    <mergeCell ref="BQ16:BQ18"/>
    <mergeCell ref="BC76:BC78"/>
    <mergeCell ref="AB61:AB63"/>
    <mergeCell ref="P97:P99"/>
    <mergeCell ref="AZ31:AZ33"/>
    <mergeCell ref="BQ43:BQ45"/>
    <mergeCell ref="G76:G78"/>
    <mergeCell ref="AQ10:AQ12"/>
    <mergeCell ref="X79:X81"/>
    <mergeCell ref="D58:D60"/>
    <mergeCell ref="BU49:BU51"/>
    <mergeCell ref="BI85:BI87"/>
    <mergeCell ref="AH70:AH72"/>
    <mergeCell ref="N49:N51"/>
    <mergeCell ref="Q91:Q93"/>
    <mergeCell ref="AF13:AF15"/>
    <mergeCell ref="AF7:AF9"/>
    <mergeCell ref="AA82:AA84"/>
    <mergeCell ref="AP4:AP6"/>
    <mergeCell ref="AA109:AA111"/>
    <mergeCell ref="BS100:BS102"/>
    <mergeCell ref="AF43:AF45"/>
    <mergeCell ref="AP25:AP27"/>
    <mergeCell ref="W13:W15"/>
    <mergeCell ref="BJ79:BJ81"/>
    <mergeCell ref="AP58:AP60"/>
    <mergeCell ref="AG4:AG6"/>
    <mergeCell ref="BT70:BT72"/>
    <mergeCell ref="AZ49:AZ51"/>
    <mergeCell ref="Z16:Z18"/>
    <mergeCell ref="AH73:AH75"/>
    <mergeCell ref="BR7:BR9"/>
    <mergeCell ref="L19:L21"/>
    <mergeCell ref="BR43:BR45"/>
    <mergeCell ref="Y79:Y81"/>
    <mergeCell ref="BI13:BI15"/>
    <mergeCell ref="Y73:Y75"/>
    <mergeCell ref="V34:V36"/>
    <mergeCell ref="AI70:AI72"/>
    <mergeCell ref="BS4:BS6"/>
    <mergeCell ref="BG40:BG42"/>
    <mergeCell ref="AF25:AF27"/>
    <mergeCell ref="AL106:AL108"/>
    <mergeCell ref="R85:R87"/>
    <mergeCell ref="O46:O48"/>
    <mergeCell ref="O40:O42"/>
    <mergeCell ref="M13:M15"/>
    <mergeCell ref="AN22:AN24"/>
    <mergeCell ref="AE88:AE90"/>
    <mergeCell ref="F46:F48"/>
    <mergeCell ref="N103:N105"/>
    <mergeCell ref="BK73:BK75"/>
    <mergeCell ref="BH34:BH36"/>
    <mergeCell ref="X100:X102"/>
    <mergeCell ref="BH28:BH30"/>
    <mergeCell ref="X94:X96"/>
    <mergeCell ref="BR25:BR27"/>
    <mergeCell ref="O73:O75"/>
    <mergeCell ref="O100:O102"/>
    <mergeCell ref="BQ88:BQ90"/>
    <mergeCell ref="AW67:AW69"/>
    <mergeCell ref="BQ82:BQ84"/>
    <mergeCell ref="AZ103:AZ105"/>
    <mergeCell ref="H106:H108"/>
    <mergeCell ref="AQ49:AQ51"/>
    <mergeCell ref="W28:W30"/>
    <mergeCell ref="BO19:BO21"/>
    <mergeCell ref="BJ94:BJ96"/>
    <mergeCell ref="BO55:BO57"/>
    <mergeCell ref="AN40:AN42"/>
    <mergeCell ref="AJ61:AJ63"/>
    <mergeCell ref="BH31:BH33"/>
    <mergeCell ref="W55:W57"/>
    <mergeCell ref="AG52:AG54"/>
    <mergeCell ref="BA100:BA102"/>
    <mergeCell ref="BP16:BP18"/>
    <mergeCell ref="BS58:BS60"/>
    <mergeCell ref="O97:O99"/>
    <mergeCell ref="L58:L60"/>
    <mergeCell ref="BI28:BI30"/>
    <mergeCell ref="V49:V51"/>
    <mergeCell ref="BG109:BG111"/>
    <mergeCell ref="F76:F78"/>
    <mergeCell ref="AP10:AP12"/>
    <mergeCell ref="AZ7:AZ9"/>
    <mergeCell ref="M28:M30"/>
    <mergeCell ref="BH91:BH93"/>
    <mergeCell ref="BE46:BE48"/>
    <mergeCell ref="BH85:BH87"/>
    <mergeCell ref="BR82:BR84"/>
    <mergeCell ref="BO37:BO39"/>
    <mergeCell ref="P91:P93"/>
    <mergeCell ref="AE13:AE15"/>
    <mergeCell ref="BA97:BA99"/>
    <mergeCell ref="Z82:Z84"/>
    <mergeCell ref="AO4:AO6"/>
    <mergeCell ref="AY64:AY66"/>
    <mergeCell ref="AA64:AA66"/>
    <mergeCell ref="AR76:AR78"/>
    <mergeCell ref="AO31:AO33"/>
    <mergeCell ref="BI79:BI81"/>
    <mergeCell ref="E97:E99"/>
    <mergeCell ref="BS70:BS72"/>
    <mergeCell ref="BT52:BT54"/>
    <mergeCell ref="BQ13:BQ15"/>
    <mergeCell ref="AG73:AG75"/>
    <mergeCell ref="M52:M54"/>
    <mergeCell ref="BQ7:BQ9"/>
    <mergeCell ref="AX85:AX87"/>
    <mergeCell ref="C49:C51"/>
    <mergeCell ref="D31:D33"/>
    <mergeCell ref="AV22:AV24"/>
    <mergeCell ref="AE25:AE27"/>
    <mergeCell ref="AH67:AH69"/>
    <mergeCell ref="N46:N48"/>
    <mergeCell ref="AH103:AH105"/>
    <mergeCell ref="BS73:BS75"/>
    <mergeCell ref="X37:X39"/>
    <mergeCell ref="AH97:AH99"/>
    <mergeCell ref="AW19:AW21"/>
    <mergeCell ref="V4:V6"/>
    <mergeCell ref="J40:J42"/>
    <mergeCell ref="AZ55:AZ57"/>
    <mergeCell ref="BJ52:BJ54"/>
    <mergeCell ref="C52:C54"/>
    <mergeCell ref="BG34:BG36"/>
    <mergeCell ref="W100:W102"/>
    <mergeCell ref="BQ25:BQ27"/>
    <mergeCell ref="AO58:AO60"/>
    <mergeCell ref="P106:P108"/>
    <mergeCell ref="AE28:AE30"/>
    <mergeCell ref="AY49:AY51"/>
    <mergeCell ref="N73:N75"/>
    <mergeCell ref="AX13:AX15"/>
    <mergeCell ref="AV40:AV42"/>
    <mergeCell ref="BP88:BP90"/>
    <mergeCell ref="AC109:AC111"/>
    <mergeCell ref="L10:L12"/>
    <mergeCell ref="V7:V9"/>
    <mergeCell ref="AY103:AY105"/>
    <mergeCell ref="BI94:BI96"/>
    <mergeCell ref="E22:E24"/>
    <mergeCell ref="C106:C108"/>
    <mergeCell ref="AI61:AI63"/>
    <mergeCell ref="AZ73:AZ75"/>
    <mergeCell ref="AF52:AF54"/>
    <mergeCell ref="A89:A90"/>
    <mergeCell ref="BO109:BO111"/>
    <mergeCell ref="F19:F21"/>
    <mergeCell ref="N76:N78"/>
    <mergeCell ref="AX10:AX12"/>
    <mergeCell ref="AE79:AE81"/>
    <mergeCell ref="BO22:BO24"/>
    <mergeCell ref="D100:D102"/>
    <mergeCell ref="AO70:AO72"/>
    <mergeCell ref="U49:U51"/>
    <mergeCell ref="X91:X93"/>
    <mergeCell ref="BU61:BU63"/>
    <mergeCell ref="AH82:AH84"/>
    <mergeCell ref="BG64:BG66"/>
    <mergeCell ref="AM43:AM45"/>
    <mergeCell ref="L28:L30"/>
    <mergeCell ref="M10:M12"/>
    <mergeCell ref="BN37:BN39"/>
    <mergeCell ref="AD13:AD15"/>
    <mergeCell ref="Y88:Y90"/>
    <mergeCell ref="BQ79:BQ81"/>
    <mergeCell ref="Y82:Y84"/>
    <mergeCell ref="AW58:AW60"/>
    <mergeCell ref="AN4:AN6"/>
    <mergeCell ref="K91:K93"/>
    <mergeCell ref="BE16:BE18"/>
    <mergeCell ref="AG16:AG18"/>
    <mergeCell ref="D103:D105"/>
    <mergeCell ref="D97:D99"/>
    <mergeCell ref="AX28:AX30"/>
    <mergeCell ref="AF79:AF81"/>
    <mergeCell ref="BP13:BP15"/>
    <mergeCell ref="AC34:AC36"/>
    <mergeCell ref="X109:X111"/>
    <mergeCell ref="AP70:AP72"/>
    <mergeCell ref="AW91:AW93"/>
    <mergeCell ref="AM25:AM27"/>
    <mergeCell ref="AT46:AT48"/>
    <mergeCell ref="AS106:AS108"/>
    <mergeCell ref="T13:T15"/>
    <mergeCell ref="BO43:BO45"/>
    <mergeCell ref="AU22:AU24"/>
    <mergeCell ref="AP97:AP99"/>
    <mergeCell ref="BE19:BE21"/>
    <mergeCell ref="AD4:AD6"/>
    <mergeCell ref="T43:T45"/>
    <mergeCell ref="P64:P66"/>
    <mergeCell ref="M19:M21"/>
    <mergeCell ref="AG67:AG69"/>
    <mergeCell ref="M55:M57"/>
    <mergeCell ref="BR73:BR75"/>
    <mergeCell ref="W37:W39"/>
    <mergeCell ref="BO34:BO36"/>
    <mergeCell ref="AE94:AE96"/>
    <mergeCell ref="BF13:BF15"/>
    <mergeCell ref="V73:V75"/>
    <mergeCell ref="BF7:BF9"/>
    <mergeCell ref="V100:V102"/>
    <mergeCell ref="BP4:BP6"/>
    <mergeCell ref="BN91:BN93"/>
    <mergeCell ref="T10:T12"/>
    <mergeCell ref="AX49:AX51"/>
    <mergeCell ref="AD28:AD30"/>
    <mergeCell ref="AW13:AW15"/>
    <mergeCell ref="BQ94:BQ96"/>
    <mergeCell ref="BG4:BG6"/>
    <mergeCell ref="BO61:BO63"/>
    <mergeCell ref="AU40:AU42"/>
    <mergeCell ref="F91:F93"/>
    <mergeCell ref="U7:U9"/>
    <mergeCell ref="AX76:AX78"/>
    <mergeCell ref="BH73:BH75"/>
    <mergeCell ref="AN52:AN54"/>
    <mergeCell ref="BH100:BH102"/>
    <mergeCell ref="BH94:BH96"/>
    <mergeCell ref="AY79:AY81"/>
    <mergeCell ref="BP28:BP30"/>
    <mergeCell ref="L100:L102"/>
    <mergeCell ref="AY73:AY75"/>
    <mergeCell ref="AA16:AA18"/>
    <mergeCell ref="AW106:AW108"/>
    <mergeCell ref="BN109:BN111"/>
    <mergeCell ref="M76:M78"/>
    <mergeCell ref="AW10:AW12"/>
    <mergeCell ref="J31:J33"/>
    <mergeCell ref="BG7:BG9"/>
    <mergeCell ref="T28:T30"/>
    <mergeCell ref="BL46:BL48"/>
    <mergeCell ref="AK67:AK69"/>
    <mergeCell ref="BV37:BV39"/>
    <mergeCell ref="AG82:AG84"/>
    <mergeCell ref="K34:K36"/>
    <mergeCell ref="BF64:BF66"/>
    <mergeCell ref="BM16:BM18"/>
    <mergeCell ref="A5:A6"/>
    <mergeCell ref="AY76:AY78"/>
    <mergeCell ref="X61:X63"/>
    <mergeCell ref="D40:D42"/>
    <mergeCell ref="AV31:AV33"/>
    <mergeCell ref="A32:A33"/>
    <mergeCell ref="L97:L99"/>
    <mergeCell ref="J64:J66"/>
    <mergeCell ref="C103:C105"/>
    <mergeCell ref="BQ49:BQ51"/>
    <mergeCell ref="M94:M96"/>
    <mergeCell ref="AW28:AW30"/>
    <mergeCell ref="BE85:BE87"/>
    <mergeCell ref="J49:J51"/>
    <mergeCell ref="AE52:AE54"/>
    <mergeCell ref="K31:K33"/>
    <mergeCell ref="W109:W111"/>
    <mergeCell ref="AB43:AB45"/>
    <mergeCell ref="AV91:AV93"/>
    <mergeCell ref="AL25:AL27"/>
    <mergeCell ref="BF82:BF84"/>
    <mergeCell ref="S13:S15"/>
    <mergeCell ref="AO103:AO105"/>
    <mergeCell ref="AE37:AE39"/>
    <mergeCell ref="AO97:AO99"/>
    <mergeCell ref="AL58:AL60"/>
    <mergeCell ref="BD19:BD21"/>
    <mergeCell ref="AC4:AC6"/>
    <mergeCell ref="O64:O66"/>
    <mergeCell ref="V16:V18"/>
    <mergeCell ref="AD100:AD102"/>
    <mergeCell ref="H19:H21"/>
    <mergeCell ref="U79:U81"/>
    <mergeCell ref="BE13:BE15"/>
    <mergeCell ref="U73:U75"/>
    <mergeCell ref="AE70:AE72"/>
    <mergeCell ref="K49:K51"/>
    <mergeCell ref="BO4:BO6"/>
    <mergeCell ref="BC40:BC42"/>
    <mergeCell ref="R64:R66"/>
    <mergeCell ref="BA64:BA66"/>
    <mergeCell ref="N85:N87"/>
    <mergeCell ref="AJ22:AJ24"/>
    <mergeCell ref="BN67:BN69"/>
    <mergeCell ref="G67:G69"/>
    <mergeCell ref="BG73:BG75"/>
    <mergeCell ref="AM52:AM54"/>
    <mergeCell ref="BR127:CK130"/>
    <mergeCell ref="AS76:AS78"/>
    <mergeCell ref="AD31:AD33"/>
    <mergeCell ref="BV22:BV24"/>
    <mergeCell ref="K100:K102"/>
    <mergeCell ref="AV70:AV72"/>
    <mergeCell ref="BC91:BC93"/>
    <mergeCell ref="AV106:AV108"/>
    <mergeCell ref="AS67:AS69"/>
    <mergeCell ref="AM49:AM51"/>
    <mergeCell ref="S28:S30"/>
    <mergeCell ref="BK55:BK57"/>
    <mergeCell ref="BU37:BU39"/>
    <mergeCell ref="AF88:AF90"/>
    <mergeCell ref="AK22:AK24"/>
    <mergeCell ref="J7:J9"/>
    <mergeCell ref="AW100:AW102"/>
    <mergeCell ref="BL16:BL18"/>
    <mergeCell ref="Y37:Y39"/>
    <mergeCell ref="BO58:BO60"/>
    <mergeCell ref="W61:W63"/>
    <mergeCell ref="BO52:BO54"/>
    <mergeCell ref="K97:K99"/>
    <mergeCell ref="BE28:BE30"/>
    <mergeCell ref="BC109:BC111"/>
    <mergeCell ref="AL10:AL12"/>
    <mergeCell ref="AV7:AV9"/>
    <mergeCell ref="BD91:BD93"/>
    <mergeCell ref="AT25:AT27"/>
    <mergeCell ref="BD85:BD87"/>
    <mergeCell ref="BA46:BA48"/>
    <mergeCell ref="Q106:Q108"/>
    <mergeCell ref="BN82:BN84"/>
    <mergeCell ref="BK37:BK39"/>
    <mergeCell ref="AA13:AA15"/>
    <mergeCell ref="AW97:AW99"/>
    <mergeCell ref="AK4:AK6"/>
    <mergeCell ref="AU64:AU66"/>
    <mergeCell ref="AA43:AA45"/>
    <mergeCell ref="AN76:AN78"/>
    <mergeCell ref="T55:T57"/>
    <mergeCell ref="BE79:BE81"/>
    <mergeCell ref="AK58:AK60"/>
    <mergeCell ref="BO70:BO72"/>
    <mergeCell ref="AU49:AU51"/>
    <mergeCell ref="BP52:BP54"/>
    <mergeCell ref="U16:U18"/>
    <mergeCell ref="AC73:AC75"/>
    <mergeCell ref="I52:I54"/>
    <mergeCell ref="BM7:BM9"/>
    <mergeCell ref="G19:G21"/>
    <mergeCell ref="BM43:BM45"/>
    <mergeCell ref="AM10:AM12"/>
    <mergeCell ref="T79:T81"/>
    <mergeCell ref="BD13:BD15"/>
    <mergeCell ref="Q34:Q36"/>
    <mergeCell ref="AD70:AD72"/>
    <mergeCell ref="BN4:BN6"/>
    <mergeCell ref="BV61:BV63"/>
    <mergeCell ref="BB40:BB42"/>
    <mergeCell ref="AA25:AA27"/>
    <mergeCell ref="AG106:AG108"/>
    <mergeCell ref="M85:M87"/>
    <mergeCell ref="BS52:BS54"/>
    <mergeCell ref="J46:J48"/>
    <mergeCell ref="H13:H15"/>
    <mergeCell ref="AB7:AB9"/>
    <mergeCell ref="T37:T39"/>
    <mergeCell ref="BO100:BO102"/>
    <mergeCell ref="AS19:AS21"/>
    <mergeCell ref="Z88:Z90"/>
    <mergeCell ref="F67:F69"/>
    <mergeCell ref="BF79:BF81"/>
    <mergeCell ref="BF73:BF75"/>
    <mergeCell ref="BC34:BC36"/>
    <mergeCell ref="S100:S102"/>
    <mergeCell ref="BP70:BP72"/>
    <mergeCell ref="S94:S96"/>
    <mergeCell ref="BM25:BM27"/>
    <mergeCell ref="BU109:BU111"/>
    <mergeCell ref="A14:A15"/>
    <mergeCell ref="L106:L108"/>
    <mergeCell ref="AA28:AA30"/>
    <mergeCell ref="J73:J75"/>
    <mergeCell ref="BU22:BU24"/>
    <mergeCell ref="BL88:BL90"/>
    <mergeCell ref="AR67:AR69"/>
    <mergeCell ref="H10:H12"/>
    <mergeCell ref="R7:R9"/>
    <mergeCell ref="R34:R36"/>
    <mergeCell ref="AU103:AU105"/>
    <mergeCell ref="AL49:AL51"/>
    <mergeCell ref="R28:R30"/>
    <mergeCell ref="AB25:AB27"/>
    <mergeCell ref="BE94:BE96"/>
    <mergeCell ref="BT16:BT18"/>
    <mergeCell ref="AQ97:AQ99"/>
    <mergeCell ref="AE61:AE63"/>
    <mergeCell ref="K40:K42"/>
    <mergeCell ref="A38:A39"/>
    <mergeCell ref="S97:S99"/>
    <mergeCell ref="I7:I9"/>
    <mergeCell ref="Q64:Q66"/>
    <mergeCell ref="AT10:AT12"/>
    <mergeCell ref="BN58:BN60"/>
    <mergeCell ref="J103:J105"/>
    <mergeCell ref="G58:G60"/>
    <mergeCell ref="BD28:BD30"/>
    <mergeCell ref="T94:T96"/>
    <mergeCell ref="BL85:BL87"/>
    <mergeCell ref="Q49:Q51"/>
    <mergeCell ref="BU40:BU42"/>
    <mergeCell ref="K73:K75"/>
    <mergeCell ref="AU7:AU9"/>
    <mergeCell ref="BC64:BC66"/>
    <mergeCell ref="AI43:AI45"/>
    <mergeCell ref="H28:H30"/>
    <mergeCell ref="AZ46:AZ48"/>
    <mergeCell ref="BM82:BM84"/>
    <mergeCell ref="BJ37:BJ39"/>
    <mergeCell ref="Z13:Z15"/>
    <mergeCell ref="U88:U90"/>
    <mergeCell ref="AJ4:AJ6"/>
    <mergeCell ref="G91:G93"/>
    <mergeCell ref="M131:Y131"/>
    <mergeCell ref="BA16:BA18"/>
    <mergeCell ref="AO52:AO54"/>
    <mergeCell ref="AM76:AM78"/>
    <mergeCell ref="AB79:AB81"/>
    <mergeCell ref="BL13:BL15"/>
    <mergeCell ref="AB73:AB75"/>
    <mergeCell ref="DQ2:DZ2"/>
    <mergeCell ref="BV4:BV6"/>
    <mergeCell ref="AS85:AS87"/>
    <mergeCell ref="AQ22:AQ24"/>
    <mergeCell ref="AL97:AL99"/>
    <mergeCell ref="BA19:BA21"/>
    <mergeCell ref="BU67:BU69"/>
    <mergeCell ref="L64:L66"/>
    <mergeCell ref="AC67:AC69"/>
    <mergeCell ref="BN73:BN75"/>
    <mergeCell ref="S37:S39"/>
    <mergeCell ref="E46:E48"/>
    <mergeCell ref="AR19:AR21"/>
    <mergeCell ref="E40:E42"/>
    <mergeCell ref="BE52:BE54"/>
    <mergeCell ref="AK31:AK33"/>
    <mergeCell ref="BB34:BB36"/>
    <mergeCell ref="R100:R102"/>
    <mergeCell ref="BJ91:BJ93"/>
    <mergeCell ref="BV91:BV93"/>
    <mergeCell ref="BL25:BL27"/>
    <mergeCell ref="BT82:BT84"/>
    <mergeCell ref="BT109:BT111"/>
    <mergeCell ref="AB10:AB12"/>
    <mergeCell ref="I79:I81"/>
    <mergeCell ref="AT49:AT51"/>
    <mergeCell ref="Z28:Z30"/>
    <mergeCell ref="AT85:AT87"/>
    <mergeCell ref="G106:G108"/>
    <mergeCell ref="BK88:BK90"/>
    <mergeCell ref="AQ40:AQ42"/>
    <mergeCell ref="Q7:Q9"/>
    <mergeCell ref="BD100:BD102"/>
    <mergeCell ref="BD94:BD96"/>
    <mergeCell ref="BS16:BS18"/>
    <mergeCell ref="AD67:AD69"/>
    <mergeCell ref="BV58:BV60"/>
    <mergeCell ref="AU79:AU81"/>
    <mergeCell ref="AA58:AA60"/>
    <mergeCell ref="BL28:BL30"/>
    <mergeCell ref="AA52:AA54"/>
    <mergeCell ref="BS43:BS45"/>
    <mergeCell ref="BJ109:BJ111"/>
    <mergeCell ref="I76:I78"/>
    <mergeCell ref="AS10:AS12"/>
    <mergeCell ref="BH46:BH48"/>
    <mergeCell ref="P49:P51"/>
    <mergeCell ref="AC82:AC84"/>
    <mergeCell ref="AR4:AR6"/>
    <mergeCell ref="G34:G36"/>
    <mergeCell ref="BB64:BB66"/>
    <mergeCell ref="AH43:AH45"/>
    <mergeCell ref="G28:G30"/>
    <mergeCell ref="E61:E63"/>
    <mergeCell ref="AY55:AY57"/>
    <mergeCell ref="AU76:AU78"/>
    <mergeCell ref="T88:T90"/>
    <mergeCell ref="BL79:BL81"/>
    <mergeCell ref="Y22:Y24"/>
    <mergeCell ref="BV70:BV72"/>
    <mergeCell ref="P82:P84"/>
    <mergeCell ref="BV106:BV108"/>
    <mergeCell ref="I94:I96"/>
    <mergeCell ref="BT43:BT45"/>
    <mergeCell ref="AS28:AS30"/>
    <mergeCell ref="F49:F51"/>
    <mergeCell ref="K10:K12"/>
    <mergeCell ref="A65:A66"/>
    <mergeCell ref="G31:G33"/>
    <mergeCell ref="AA79:AA81"/>
    <mergeCell ref="BK22:BK24"/>
    <mergeCell ref="AK70:AK72"/>
    <mergeCell ref="X43:X45"/>
    <mergeCell ref="AR91:AR93"/>
    <mergeCell ref="AH25:AH27"/>
    <mergeCell ref="BU4:BU6"/>
    <mergeCell ref="AY37:AY39"/>
    <mergeCell ref="O13:O15"/>
    <mergeCell ref="AA37:AA39"/>
    <mergeCell ref="AK97:AK99"/>
    <mergeCell ref="AZ19:AZ21"/>
    <mergeCell ref="Y4:Y6"/>
    <mergeCell ref="K64:K66"/>
    <mergeCell ref="BM79:BM81"/>
    <mergeCell ref="BJ34:BJ36"/>
    <mergeCell ref="Z100:Z102"/>
    <mergeCell ref="D46:D48"/>
    <mergeCell ref="BT25:BT27"/>
    <mergeCell ref="N37:N39"/>
    <mergeCell ref="Q79:Q81"/>
    <mergeCell ref="BA13:BA15"/>
    <mergeCell ref="Q73:Q75"/>
    <mergeCell ref="AA70:AA72"/>
    <mergeCell ref="BK4:BK6"/>
    <mergeCell ref="BS88:BS90"/>
    <mergeCell ref="N64:N66"/>
    <mergeCell ref="AW34:AW36"/>
    <mergeCell ref="J85:J87"/>
    <mergeCell ref="Y34:Y36"/>
    <mergeCell ref="AI25:AI27"/>
    <mergeCell ref="BJ67:BJ69"/>
    <mergeCell ref="AP46:AP48"/>
    <mergeCell ref="R70:R72"/>
    <mergeCell ref="F106:F108"/>
    <mergeCell ref="AP40:AP42"/>
    <mergeCell ref="C67:C69"/>
    <mergeCell ref="P7:P9"/>
    <mergeCell ref="BC73:BC75"/>
    <mergeCell ref="AI52:AI54"/>
    <mergeCell ref="AG19:AG21"/>
    <mergeCell ref="A50:A51"/>
    <mergeCell ref="U55:U57"/>
    <mergeCell ref="I19:I21"/>
    <mergeCell ref="A80:A81"/>
    <mergeCell ref="AT79:AT81"/>
    <mergeCell ref="AA94:AA96"/>
    <mergeCell ref="G100:G102"/>
    <mergeCell ref="BD70:BD72"/>
    <mergeCell ref="AR106:AR108"/>
    <mergeCell ref="H76:H78"/>
    <mergeCell ref="R73:R75"/>
    <mergeCell ref="BB7:BB9"/>
    <mergeCell ref="BJ64:BJ66"/>
    <mergeCell ref="AP43:AP45"/>
    <mergeCell ref="O28:O30"/>
    <mergeCell ref="BG55:BG57"/>
    <mergeCell ref="AF67:AF69"/>
    <mergeCell ref="BQ37:BQ39"/>
    <mergeCell ref="AB88:AB90"/>
    <mergeCell ref="A104:A105"/>
    <mergeCell ref="AG22:AG24"/>
    <mergeCell ref="F7:F9"/>
    <mergeCell ref="F34:F36"/>
    <mergeCell ref="N91:N93"/>
    <mergeCell ref="BK61:BK63"/>
    <mergeCell ref="P25:P27"/>
    <mergeCell ref="X82:X84"/>
    <mergeCell ref="BH16:BH18"/>
    <mergeCell ref="AT76:AT78"/>
    <mergeCell ref="G97:G99"/>
    <mergeCell ref="BA28:BA30"/>
    <mergeCell ref="BR67:BR69"/>
    <mergeCell ref="AR34:AR36"/>
    <mergeCell ref="AZ91:AZ93"/>
    <mergeCell ref="H94:H96"/>
    <mergeCell ref="AR28:AR30"/>
    <mergeCell ref="AZ85:AZ87"/>
    <mergeCell ref="BB25:BB27"/>
    <mergeCell ref="BJ82:BJ84"/>
    <mergeCell ref="Z52:Z54"/>
    <mergeCell ref="F31:F33"/>
    <mergeCell ref="AS97:AS99"/>
    <mergeCell ref="AQ64:AQ66"/>
    <mergeCell ref="W43:W45"/>
    <mergeCell ref="AJ76:AJ78"/>
    <mergeCell ref="P55:P57"/>
    <mergeCell ref="AJ103:AJ105"/>
    <mergeCell ref="AJ97:AJ99"/>
    <mergeCell ref="AY19:AY21"/>
    <mergeCell ref="AT94:AT96"/>
    <mergeCell ref="BI16:BI18"/>
    <mergeCell ref="BP31:BP33"/>
    <mergeCell ref="BL52:BL54"/>
    <mergeCell ref="Q16:Q18"/>
    <mergeCell ref="AR31:AR33"/>
    <mergeCell ref="E52:E54"/>
    <mergeCell ref="Y100:Y102"/>
    <mergeCell ref="C19:C21"/>
    <mergeCell ref="BI43:BI45"/>
    <mergeCell ref="BS25:BS27"/>
    <mergeCell ref="AI10:AI12"/>
    <mergeCell ref="P79:P81"/>
    <mergeCell ref="AZ13:AZ15"/>
    <mergeCell ref="M34:M36"/>
    <mergeCell ref="BA85:BA87"/>
    <mergeCell ref="Z70:Z72"/>
    <mergeCell ref="BJ4:BJ6"/>
    <mergeCell ref="AX40:AX42"/>
    <mergeCell ref="BR88:BR90"/>
    <mergeCell ref="W25:W27"/>
    <mergeCell ref="I85:I87"/>
    <mergeCell ref="X7:X9"/>
    <mergeCell ref="BK100:BK102"/>
    <mergeCell ref="AO19:AO21"/>
    <mergeCell ref="BI67:BI69"/>
    <mergeCell ref="V88:V90"/>
    <mergeCell ref="AG130:AK130"/>
    <mergeCell ref="E103:E105"/>
    <mergeCell ref="BB79:BB81"/>
    <mergeCell ref="AH58:AH60"/>
    <mergeCell ref="BB73:BB75"/>
    <mergeCell ref="BL70:BL72"/>
    <mergeCell ref="AL129:AV129"/>
    <mergeCell ref="BQ22:BQ24"/>
    <mergeCell ref="BH88:BH90"/>
    <mergeCell ref="AN67:AN69"/>
    <mergeCell ref="N34:N36"/>
    <mergeCell ref="BI64:BI66"/>
    <mergeCell ref="AH49:AH51"/>
    <mergeCell ref="N28:N30"/>
    <mergeCell ref="X25:X27"/>
    <mergeCell ref="BR19:BR21"/>
    <mergeCell ref="BF55:BF57"/>
    <mergeCell ref="AA61:AA63"/>
    <mergeCell ref="G40:G42"/>
    <mergeCell ref="AF22:AF24"/>
    <mergeCell ref="E7:E9"/>
    <mergeCell ref="W82:W84"/>
    <mergeCell ref="BJ58:BJ60"/>
    <mergeCell ref="F103:F105"/>
    <mergeCell ref="C58:C60"/>
    <mergeCell ref="BT49:BT51"/>
    <mergeCell ref="P94:P96"/>
    <mergeCell ref="AZ28:AZ30"/>
    <mergeCell ref="AL31:AL33"/>
    <mergeCell ref="AH52:AH54"/>
    <mergeCell ref="BR22:BR24"/>
    <mergeCell ref="Z109:Z111"/>
    <mergeCell ref="AE43:AE45"/>
    <mergeCell ref="AY91:AY93"/>
    <mergeCell ref="A20:A21"/>
    <mergeCell ref="A77:A78"/>
    <mergeCell ref="AV46:AV48"/>
    <mergeCell ref="BI82:BI84"/>
    <mergeCell ref="BF37:BF39"/>
    <mergeCell ref="V13:V15"/>
    <mergeCell ref="AR97:AR99"/>
    <mergeCell ref="AF4:AF6"/>
    <mergeCell ref="M109:M111"/>
    <mergeCell ref="BE100:BE102"/>
    <mergeCell ref="AI76:AI78"/>
    <mergeCell ref="O55:O57"/>
    <mergeCell ref="A110:A111"/>
    <mergeCell ref="BK52:BK54"/>
    <mergeCell ref="P16:P18"/>
    <mergeCell ref="BH13:BH15"/>
    <mergeCell ref="X73:X75"/>
    <mergeCell ref="BR4:BR6"/>
    <mergeCell ref="O79:O81"/>
    <mergeCell ref="BQ67:BQ69"/>
    <mergeCell ref="Y70:Y72"/>
    <mergeCell ref="AW46:AW48"/>
    <mergeCell ref="BQ61:BQ63"/>
    <mergeCell ref="AW40:AW42"/>
    <mergeCell ref="BG37:BG39"/>
    <mergeCell ref="H91:H93"/>
    <mergeCell ref="R82:R84"/>
    <mergeCell ref="BJ73:BJ75"/>
    <mergeCell ref="D85:D87"/>
    <mergeCell ref="AN19:AN21"/>
    <mergeCell ref="AQ55:AQ57"/>
    <mergeCell ref="BA52:BA54"/>
    <mergeCell ref="AG31:AG33"/>
    <mergeCell ref="BA79:BA81"/>
    <mergeCell ref="M129:Y129"/>
    <mergeCell ref="N100:N102"/>
    <mergeCell ref="AX34:AX36"/>
    <mergeCell ref="BK70:BK72"/>
    <mergeCell ref="AY106:AY108"/>
    <mergeCell ref="BH25:BH27"/>
    <mergeCell ref="BP109:BP111"/>
    <mergeCell ref="BI7:BI9"/>
    <mergeCell ref="E79:E81"/>
    <mergeCell ref="V28:V30"/>
    <mergeCell ref="AP85:AP87"/>
    <mergeCell ref="AM40:AM42"/>
    <mergeCell ref="BG88:BG90"/>
    <mergeCell ref="AM67:AM69"/>
    <mergeCell ref="M7:M9"/>
    <mergeCell ref="AZ100:AZ102"/>
    <mergeCell ref="AZ94:AZ96"/>
    <mergeCell ref="AD46:AD48"/>
    <mergeCell ref="BO16:BO18"/>
    <mergeCell ref="AL103:AL105"/>
    <mergeCell ref="AG128:AK128"/>
    <mergeCell ref="E76:E78"/>
    <mergeCell ref="AO10:AO12"/>
    <mergeCell ref="AY34:AY36"/>
    <mergeCell ref="BG91:BG93"/>
    <mergeCell ref="O94:O96"/>
    <mergeCell ref="BS49:BS51"/>
    <mergeCell ref="BG85:BG87"/>
    <mergeCell ref="L49:L51"/>
    <mergeCell ref="BI25:BI27"/>
    <mergeCell ref="AF106:AF108"/>
    <mergeCell ref="F73:F75"/>
    <mergeCell ref="AP7:AP9"/>
    <mergeCell ref="AX64:AX66"/>
    <mergeCell ref="AD43:AD45"/>
    <mergeCell ref="C28:C30"/>
    <mergeCell ref="C34:C36"/>
    <mergeCell ref="U109:U111"/>
    <mergeCell ref="D10:D12"/>
    <mergeCell ref="AQ103:AQ105"/>
    <mergeCell ref="U22:U24"/>
    <mergeCell ref="AE4:AE6"/>
    <mergeCell ref="BA94:BA96"/>
    <mergeCell ref="L82:L84"/>
    <mergeCell ref="AJ58:AJ60"/>
    <mergeCell ref="AR37:AR39"/>
    <mergeCell ref="X16:X18"/>
    <mergeCell ref="AH76:AH78"/>
    <mergeCell ref="AR73:AR75"/>
    <mergeCell ref="J19:J21"/>
    <mergeCell ref="E94:E96"/>
    <mergeCell ref="BP43:BP45"/>
    <mergeCell ref="G10:G12"/>
    <mergeCell ref="C31:C33"/>
    <mergeCell ref="W79:W81"/>
    <mergeCell ref="BG22:BG24"/>
    <mergeCell ref="AG70:AG72"/>
    <mergeCell ref="BQ4:BQ6"/>
    <mergeCell ref="AN91:AN93"/>
    <mergeCell ref="BE40:BE42"/>
    <mergeCell ref="AD25:AD27"/>
    <mergeCell ref="AD61:AD63"/>
    <mergeCell ref="D28:D30"/>
    <mergeCell ref="AV19:AV21"/>
    <mergeCell ref="BP67:BP69"/>
    <mergeCell ref="AC88:AC90"/>
    <mergeCell ref="G64:G66"/>
    <mergeCell ref="BM58:BM60"/>
    <mergeCell ref="BF34:BF36"/>
    <mergeCell ref="C91:C93"/>
    <mergeCell ref="BP25:BP27"/>
    <mergeCell ref="AW16:AW18"/>
    <mergeCell ref="AZ52:AZ54"/>
    <mergeCell ref="AF31:AF33"/>
    <mergeCell ref="M100:M102"/>
    <mergeCell ref="BO88:BO90"/>
    <mergeCell ref="N55:N57"/>
    <mergeCell ref="AS34:AS36"/>
    <mergeCell ref="U34:U36"/>
    <mergeCell ref="D79:D81"/>
    <mergeCell ref="AO49:AO51"/>
    <mergeCell ref="AO85:AO87"/>
    <mergeCell ref="N70:N72"/>
    <mergeCell ref="AL46:AL48"/>
    <mergeCell ref="AL40:AL42"/>
    <mergeCell ref="AM22:AM24"/>
    <mergeCell ref="L7:L9"/>
    <mergeCell ref="A29:A30"/>
    <mergeCell ref="AY100:AY102"/>
    <mergeCell ref="BN16:BN18"/>
    <mergeCell ref="Q55:Q57"/>
    <mergeCell ref="AK103:AK105"/>
    <mergeCell ref="Y67:Y69"/>
    <mergeCell ref="BK13:BK15"/>
    <mergeCell ref="AU94:AU96"/>
    <mergeCell ref="W94:W96"/>
    <mergeCell ref="C100:C102"/>
    <mergeCell ref="U61:U63"/>
    <mergeCell ref="A112:B112"/>
    <mergeCell ref="AN106:AN108"/>
    <mergeCell ref="BE109:BE111"/>
    <mergeCell ref="D76:D78"/>
    <mergeCell ref="AX7:AX9"/>
    <mergeCell ref="AL43:AL45"/>
    <mergeCell ref="BF91:BF93"/>
    <mergeCell ref="AJ10:AJ12"/>
    <mergeCell ref="BP82:BP84"/>
    <mergeCell ref="AV88:AV90"/>
    <mergeCell ref="AB67:AB69"/>
    <mergeCell ref="X88:X90"/>
    <mergeCell ref="AC22:AC24"/>
    <mergeCell ref="AM4:AM6"/>
    <mergeCell ref="J91:J93"/>
    <mergeCell ref="AW64:AW66"/>
    <mergeCell ref="BG61:BG63"/>
    <mergeCell ref="L25:L27"/>
    <mergeCell ref="BD16:BD18"/>
    <mergeCell ref="T109:T111"/>
    <mergeCell ref="AP76:AP78"/>
    <mergeCell ref="V55:V57"/>
    <mergeCell ref="T22:T24"/>
    <mergeCell ref="BQ70:BQ72"/>
    <mergeCell ref="BC79:BC81"/>
    <mergeCell ref="AS49:AS51"/>
    <mergeCell ref="DQ1:DZ1"/>
    <mergeCell ref="AN34:AN36"/>
    <mergeCell ref="D94:D96"/>
    <mergeCell ref="AV85:AV87"/>
    <mergeCell ref="BF109:BF111"/>
    <mergeCell ref="V52:V54"/>
    <mergeCell ref="BF22:BF24"/>
    <mergeCell ref="AF70:AF72"/>
    <mergeCell ref="S43:S45"/>
    <mergeCell ref="AM91:AM93"/>
    <mergeCell ref="AW82:AW84"/>
    <mergeCell ref="BU58:BU60"/>
    <mergeCell ref="AF103:AF105"/>
    <mergeCell ref="H46:H48"/>
    <mergeCell ref="AU19:AU21"/>
    <mergeCell ref="AP94:AP96"/>
    <mergeCell ref="H40:H42"/>
    <mergeCell ref="R37:R39"/>
    <mergeCell ref="BL31:BL33"/>
    <mergeCell ref="BH52:BH54"/>
    <mergeCell ref="AN31:AN33"/>
    <mergeCell ref="BH79:BH81"/>
    <mergeCell ref="U100:U102"/>
    <mergeCell ref="Z130:AF130"/>
    <mergeCell ref="BR70:BR72"/>
    <mergeCell ref="BE43:BE45"/>
    <mergeCell ref="BO25:BO27"/>
    <mergeCell ref="I37:I39"/>
    <mergeCell ref="L79:L81"/>
    <mergeCell ref="AV13:AV15"/>
    <mergeCell ref="BQ106:BQ108"/>
    <mergeCell ref="AW85:AW87"/>
    <mergeCell ref="V70:V72"/>
    <mergeCell ref="J106:J108"/>
    <mergeCell ref="BN88:BN90"/>
    <mergeCell ref="AT40:AT42"/>
    <mergeCell ref="T7:T9"/>
    <mergeCell ref="BG100:BG102"/>
    <mergeCell ref="BE67:BE69"/>
    <mergeCell ref="AK46:AK48"/>
    <mergeCell ref="AU37:AU39"/>
    <mergeCell ref="K7:K9"/>
    <mergeCell ref="AX79:AX81"/>
    <mergeCell ref="U4:U6"/>
    <mergeCell ref="AX73:AX75"/>
    <mergeCell ref="AD52:AD54"/>
    <mergeCell ref="D19:D21"/>
    <mergeCell ref="AM106:AM108"/>
    <mergeCell ref="M73:M75"/>
    <mergeCell ref="AW7:AW9"/>
    <mergeCell ref="BE64:BE66"/>
    <mergeCell ref="AK43:AK45"/>
    <mergeCell ref="J28:J30"/>
    <mergeCell ref="J34:J36"/>
    <mergeCell ref="T25:T27"/>
    <mergeCell ref="BB55:BB57"/>
    <mergeCell ref="AA40:AA42"/>
    <mergeCell ref="BV103:BV105"/>
    <mergeCell ref="C40:C42"/>
    <mergeCell ref="AB22:AB24"/>
    <mergeCell ref="I91:I93"/>
    <mergeCell ref="BF61:BF63"/>
    <mergeCell ref="S82:S84"/>
    <mergeCell ref="L94:L96"/>
    <mergeCell ref="AV28:AV30"/>
    <mergeCell ref="BU10:BU12"/>
    <mergeCell ref="AH31:AH33"/>
    <mergeCell ref="BN22:BN24"/>
    <mergeCell ref="V109:V111"/>
    <mergeCell ref="AN70:AN72"/>
    <mergeCell ref="AU91:AU93"/>
    <mergeCell ref="BE82:BE84"/>
    <mergeCell ref="U52:U54"/>
    <mergeCell ref="K28:K30"/>
    <mergeCell ref="AN97:AN99"/>
    <mergeCell ref="BC19:BC21"/>
    <mergeCell ref="R43:R45"/>
    <mergeCell ref="BT31:BT33"/>
    <mergeCell ref="I109:I111"/>
    <mergeCell ref="BT58:BT60"/>
    <mergeCell ref="AA67:AA69"/>
    <mergeCell ref="G46:G48"/>
    <mergeCell ref="Q37:Q39"/>
    <mergeCell ref="AA97:AA99"/>
    <mergeCell ref="BG52:BG54"/>
    <mergeCell ref="C97:C99"/>
    <mergeCell ref="BD43:BD45"/>
    <mergeCell ref="BV88:BV90"/>
    <mergeCell ref="AD10:AD12"/>
    <mergeCell ref="K79:K81"/>
    <mergeCell ref="AS46:AS48"/>
    <mergeCell ref="BE4:BE6"/>
    <mergeCell ref="BM61:BM63"/>
    <mergeCell ref="AS40:AS42"/>
    <mergeCell ref="U70:U72"/>
    <mergeCell ref="BC37:BC39"/>
    <mergeCell ref="D91:D93"/>
    <mergeCell ref="S7:S9"/>
    <mergeCell ref="N82:N84"/>
    <mergeCell ref="AJ19:AJ21"/>
    <mergeCell ref="AC31:AC33"/>
    <mergeCell ref="AW79:AW81"/>
    <mergeCell ref="J100:J102"/>
    <mergeCell ref="BG70:BG72"/>
    <mergeCell ref="Y16:Y18"/>
    <mergeCell ref="AU106:AU108"/>
    <mergeCell ref="Y52:Y54"/>
    <mergeCell ref="BE7:BE9"/>
    <mergeCell ref="AL85:AL87"/>
    <mergeCell ref="BV19:BV21"/>
    <mergeCell ref="BC88:BC90"/>
    <mergeCell ref="I34:I36"/>
    <mergeCell ref="BN61:BN63"/>
    <mergeCell ref="S25:S27"/>
    <mergeCell ref="A95:A96"/>
    <mergeCell ref="Z46:Z48"/>
    <mergeCell ref="BK16:BK18"/>
    <mergeCell ref="Z129:AF129"/>
    <mergeCell ref="M130:Y130"/>
    <mergeCell ref="AA22:AA24"/>
    <mergeCell ref="AK19:AK21"/>
    <mergeCell ref="R88:R90"/>
    <mergeCell ref="AN55:AN57"/>
    <mergeCell ref="AU34:AU36"/>
    <mergeCell ref="BO49:BO51"/>
    <mergeCell ref="K94:K96"/>
    <mergeCell ref="AU28:AU30"/>
    <mergeCell ref="BC85:BC87"/>
    <mergeCell ref="BE25:BE27"/>
    <mergeCell ref="BO85:BO87"/>
    <mergeCell ref="BM109:BM111"/>
    <mergeCell ref="AB106:AB108"/>
    <mergeCell ref="W7:W9"/>
    <mergeCell ref="C129:L129"/>
    <mergeCell ref="AL131:AV131"/>
    <mergeCell ref="BM22:BM24"/>
    <mergeCell ref="Z43:Z45"/>
    <mergeCell ref="AT91:AT93"/>
    <mergeCell ref="BD88:BD90"/>
    <mergeCell ref="Q109:Q111"/>
    <mergeCell ref="BD82:BD84"/>
    <mergeCell ref="AM103:AM105"/>
    <mergeCell ref="Q22:Q24"/>
    <mergeCell ref="BV40:BV42"/>
    <mergeCell ref="AA4:AA6"/>
    <mergeCell ref="AW94:AW96"/>
    <mergeCell ref="BV76:BV78"/>
    <mergeCell ref="AI97:AI99"/>
    <mergeCell ref="BS31:BS33"/>
    <mergeCell ref="T16:T18"/>
    <mergeCell ref="Z67:Z69"/>
    <mergeCell ref="BL43:BL45"/>
    <mergeCell ref="P37:P39"/>
    <mergeCell ref="S79:S81"/>
    <mergeCell ref="BC13:BC15"/>
    <mergeCell ref="BP49:BP51"/>
    <mergeCell ref="AC70:AC72"/>
    <mergeCell ref="I49:I51"/>
    <mergeCell ref="AJ91:AJ93"/>
    <mergeCell ref="BM4:BM6"/>
    <mergeCell ref="G16:G18"/>
    <mergeCell ref="AY7:AY9"/>
    <mergeCell ref="BU97:BU99"/>
    <mergeCell ref="Z61:Z63"/>
    <mergeCell ref="AT109:AT111"/>
    <mergeCell ref="AH22:AH24"/>
    <mergeCell ref="BL67:BL69"/>
    <mergeCell ref="AR46:AR48"/>
    <mergeCell ref="BB37:BB39"/>
    <mergeCell ref="BI58:BI60"/>
    <mergeCell ref="R13:R15"/>
    <mergeCell ref="M82:M84"/>
    <mergeCell ref="AB4:AB6"/>
    <mergeCell ref="AQ76:AQ78"/>
    <mergeCell ref="A53:A54"/>
    <mergeCell ref="AB31:AB33"/>
    <mergeCell ref="I100:I102"/>
    <mergeCell ref="AT106:AT108"/>
    <mergeCell ref="J55:J57"/>
    <mergeCell ref="U13:U15"/>
    <mergeCell ref="T73:T75"/>
    <mergeCell ref="AK85:AK87"/>
    <mergeCell ref="J70:J72"/>
    <mergeCell ref="AH46:AH48"/>
    <mergeCell ref="AH40:AH42"/>
    <mergeCell ref="BU19:BU21"/>
    <mergeCell ref="AI22:AI24"/>
    <mergeCell ref="H7:H9"/>
    <mergeCell ref="AU100:AU102"/>
    <mergeCell ref="BJ16:BJ18"/>
    <mergeCell ref="AG103:AG105"/>
    <mergeCell ref="U67:U69"/>
    <mergeCell ref="AI37:AI39"/>
    <mergeCell ref="AQ94:AQ96"/>
    <mergeCell ref="K37:K39"/>
    <mergeCell ref="BC28:BC30"/>
    <mergeCell ref="Q61:Q63"/>
    <mergeCell ref="AJ106:AJ108"/>
    <mergeCell ref="AT7:AT9"/>
    <mergeCell ref="BB91:BB93"/>
    <mergeCell ref="BL82:BL84"/>
    <mergeCell ref="BS103:BS105"/>
    <mergeCell ref="X67:X69"/>
    <mergeCell ref="AP28:AP30"/>
    <mergeCell ref="AS64:AS66"/>
    <mergeCell ref="Y43:Y45"/>
    <mergeCell ref="BC61:BC63"/>
    <mergeCell ref="AI40:AI42"/>
    <mergeCell ref="H25:H27"/>
    <mergeCell ref="P109:P111"/>
    <mergeCell ref="AL76:AL78"/>
    <mergeCell ref="R55:R57"/>
    <mergeCell ref="P22:P24"/>
    <mergeCell ref="A68:A69"/>
    <mergeCell ref="M128:Y128"/>
    <mergeCell ref="AE58:AE60"/>
    <mergeCell ref="AM73:AM75"/>
    <mergeCell ref="E19:E21"/>
    <mergeCell ref="BK43:BK45"/>
    <mergeCell ref="O16:O18"/>
    <mergeCell ref="BB109:BB111"/>
    <mergeCell ref="AK10:AK12"/>
    <mergeCell ref="BB22:BB24"/>
    <mergeCell ref="BT67:BT69"/>
    <mergeCell ref="AB70:AB72"/>
    <mergeCell ref="O43:O45"/>
    <mergeCell ref="AI91:AI93"/>
    <mergeCell ref="BL4:BL6"/>
    <mergeCell ref="Y25:Y27"/>
    <mergeCell ref="BT97:BT99"/>
    <mergeCell ref="AS82:AS84"/>
    <mergeCell ref="Y61:Y63"/>
    <mergeCell ref="BQ58:BQ60"/>
    <mergeCell ref="AT64:AT66"/>
    <mergeCell ref="G85:G87"/>
    <mergeCell ref="BK67:BK69"/>
    <mergeCell ref="AQ19:AQ21"/>
    <mergeCell ref="D67:D69"/>
    <mergeCell ref="BD79:BD81"/>
    <mergeCell ref="Q100:Q102"/>
    <mergeCell ref="BN70:BN72"/>
    <mergeCell ref="BU91:BU93"/>
    <mergeCell ref="BK25:BK27"/>
    <mergeCell ref="E37:E39"/>
    <mergeCell ref="AU52:AU54"/>
    <mergeCell ref="AK28:AK30"/>
    <mergeCell ref="BJ88:BJ90"/>
    <mergeCell ref="P34:P36"/>
    <mergeCell ref="BC100:BC102"/>
    <mergeCell ref="A1:B2"/>
    <mergeCell ref="BA67:BA69"/>
    <mergeCell ref="AG46:AG48"/>
    <mergeCell ref="BR16:BR18"/>
    <mergeCell ref="Z25:Z27"/>
    <mergeCell ref="BR52:BR54"/>
    <mergeCell ref="AQ37:AQ39"/>
    <mergeCell ref="G7:G9"/>
    <mergeCell ref="AC97:AC99"/>
    <mergeCell ref="Q4:Q6"/>
    <mergeCell ref="AT100:AT102"/>
    <mergeCell ref="BS55:BS57"/>
    <mergeCell ref="L55:L57"/>
    <mergeCell ref="AU55:AU57"/>
    <mergeCell ref="P61:P63"/>
    <mergeCell ref="BS46:BS48"/>
    <mergeCell ref="AI106:AI108"/>
    <mergeCell ref="BS40:BS42"/>
    <mergeCell ref="I73:I75"/>
    <mergeCell ref="BT22:BT24"/>
    <mergeCell ref="AS7:AS9"/>
    <mergeCell ref="AG43:AG45"/>
    <mergeCell ref="F28:F30"/>
    <mergeCell ref="AE10:AE12"/>
    <mergeCell ref="F64:F66"/>
    <mergeCell ref="BK82:BK84"/>
    <mergeCell ref="BR103:BR105"/>
    <mergeCell ref="S88:S90"/>
    <mergeCell ref="X22:X24"/>
    <mergeCell ref="E91:E93"/>
    <mergeCell ref="BB61:BB63"/>
    <mergeCell ref="G25:G27"/>
    <mergeCell ref="O82:O84"/>
    <mergeCell ref="AY16:AY18"/>
    <mergeCell ref="BU106:BU108"/>
    <mergeCell ref="BQ10:BQ12"/>
    <mergeCell ref="F88:F90"/>
    <mergeCell ref="AD58:AD60"/>
    <mergeCell ref="BH70:BH72"/>
    <mergeCell ref="AN49:AN51"/>
    <mergeCell ref="AJ70:AJ72"/>
    <mergeCell ref="AQ91:AQ93"/>
    <mergeCell ref="N16:N18"/>
    <mergeCell ref="BA82:BA84"/>
    <mergeCell ref="BA109:BA111"/>
    <mergeCell ref="Q52:Q54"/>
    <mergeCell ref="A62:A63"/>
    <mergeCell ref="BA22:BA24"/>
    <mergeCell ref="BS67:BS69"/>
    <mergeCell ref="N43:N45"/>
    <mergeCell ref="AR88:AR90"/>
    <mergeCell ref="BI37:BI39"/>
    <mergeCell ref="BP58:BP60"/>
    <mergeCell ref="AI4:AI6"/>
    <mergeCell ref="F85:F87"/>
    <mergeCell ref="AP19:AP21"/>
    <mergeCell ref="C46:C48"/>
    <mergeCell ref="AZ16:AZ18"/>
    <mergeCell ref="M37:M39"/>
    <mergeCell ref="W97:W99"/>
    <mergeCell ref="BC52:BC54"/>
    <mergeCell ref="AI31:AI33"/>
    <mergeCell ref="BT91:BT93"/>
    <mergeCell ref="AV34:AV36"/>
    <mergeCell ref="AB13:AB15"/>
    <mergeCell ref="Z10:Z12"/>
    <mergeCell ref="BF25:BF27"/>
    <mergeCell ref="G79:G81"/>
    <mergeCell ref="BL106:BL108"/>
    <mergeCell ref="AR85:AR87"/>
    <mergeCell ref="AO46:AO48"/>
    <mergeCell ref="Q70:Q72"/>
    <mergeCell ref="E106:E108"/>
    <mergeCell ref="AO40:AO42"/>
    <mergeCell ref="BJ43:BJ45"/>
    <mergeCell ref="O7:O9"/>
    <mergeCell ref="AI64:AI66"/>
    <mergeCell ref="AF19:AF21"/>
    <mergeCell ref="AF46:AF48"/>
    <mergeCell ref="AN103:AN105"/>
    <mergeCell ref="AP37:AP39"/>
    <mergeCell ref="AX94:AX96"/>
    <mergeCell ref="Y58:Y60"/>
    <mergeCell ref="P4:P6"/>
    <mergeCell ref="AI49:AI51"/>
    <mergeCell ref="AO100:AO102"/>
    <mergeCell ref="BA7:BA9"/>
    <mergeCell ref="BS82:BS84"/>
    <mergeCell ref="BR46:BR48"/>
    <mergeCell ref="AH106:AH108"/>
    <mergeCell ref="AR13:AR15"/>
    <mergeCell ref="H73:H75"/>
    <mergeCell ref="E34:E36"/>
    <mergeCell ref="AZ64:AZ66"/>
    <mergeCell ref="BB4:BB6"/>
    <mergeCell ref="BJ61:BJ63"/>
    <mergeCell ref="O25:O27"/>
    <mergeCell ref="Y85:Y87"/>
    <mergeCell ref="AW55:AW57"/>
    <mergeCell ref="W22:W24"/>
    <mergeCell ref="N88:N90"/>
    <mergeCell ref="BT106:BT108"/>
    <mergeCell ref="AJ55:AJ57"/>
    <mergeCell ref="AT73:AT75"/>
    <mergeCell ref="AQ34:AQ36"/>
    <mergeCell ref="G94:G96"/>
    <mergeCell ref="AQ28:AQ30"/>
    <mergeCell ref="AF76:AF78"/>
    <mergeCell ref="BP10:BP12"/>
    <mergeCell ref="BI109:BI111"/>
    <mergeCell ref="X106:X108"/>
    <mergeCell ref="BI22:BI24"/>
    <mergeCell ref="V43:V45"/>
    <mergeCell ref="AP91:AP93"/>
    <mergeCell ref="AZ88:AZ90"/>
    <mergeCell ref="AZ82:AZ84"/>
    <mergeCell ref="BG103:BG105"/>
    <mergeCell ref="AI103:AI105"/>
    <mergeCell ref="AX19:AX21"/>
    <mergeCell ref="W4:W6"/>
    <mergeCell ref="AS94:AS96"/>
    <mergeCell ref="BR76:BR78"/>
    <mergeCell ref="W40:W42"/>
    <mergeCell ref="AE97:AE99"/>
    <mergeCell ref="BO31:BO33"/>
    <mergeCell ref="D109:D111"/>
    <mergeCell ref="E64:E66"/>
    <mergeCell ref="V67:V69"/>
    <mergeCell ref="BH43:BH45"/>
    <mergeCell ref="BU70:BU72"/>
    <mergeCell ref="L37:L39"/>
    <mergeCell ref="AY13:AY15"/>
    <mergeCell ref="BL49:BL51"/>
    <mergeCell ref="Z131:AF131"/>
    <mergeCell ref="E49:E51"/>
    <mergeCell ref="C16:C18"/>
    <mergeCell ref="BQ97:BQ99"/>
    <mergeCell ref="AP109:AP111"/>
    <mergeCell ref="Y10:Y12"/>
    <mergeCell ref="BH67:BH69"/>
    <mergeCell ref="BK106:BK108"/>
    <mergeCell ref="AN46:AN48"/>
    <mergeCell ref="P70:P72"/>
    <mergeCell ref="D106:D108"/>
    <mergeCell ref="AX37:AX39"/>
    <mergeCell ref="BH97:BH99"/>
    <mergeCell ref="BE58:BE60"/>
    <mergeCell ref="N13:N15"/>
    <mergeCell ref="X4:X6"/>
    <mergeCell ref="S55:S57"/>
    <mergeCell ref="AC52:AC54"/>
    <mergeCell ref="AR79:AR81"/>
    <mergeCell ref="E100:E102"/>
    <mergeCell ref="AP106:AP108"/>
    <mergeCell ref="Q13:Q15"/>
    <mergeCell ref="T52:T54"/>
    <mergeCell ref="P73:P75"/>
    <mergeCell ref="BT64:BT66"/>
    <mergeCell ref="AG85:AG87"/>
    <mergeCell ref="M64:M66"/>
    <mergeCell ref="AE22:AE24"/>
    <mergeCell ref="D34:D36"/>
    <mergeCell ref="L91:L93"/>
    <mergeCell ref="BI61:BI63"/>
    <mergeCell ref="N25:N27"/>
    <mergeCell ref="V82:V84"/>
    <mergeCell ref="U46:U48"/>
    <mergeCell ref="BF16:BF18"/>
    <mergeCell ref="BF52:BF54"/>
    <mergeCell ref="AY28:AY30"/>
    <mergeCell ref="BS85:BS87"/>
    <mergeCell ref="M88:M90"/>
    <mergeCell ref="AI55:AI57"/>
    <mergeCell ref="F100:F102"/>
    <mergeCell ref="AP34:AP36"/>
    <mergeCell ref="AX91:AX93"/>
    <mergeCell ref="F94:F96"/>
    <mergeCell ref="AZ25:AZ27"/>
    <mergeCell ref="BH82:BH84"/>
    <mergeCell ref="W106:W108"/>
    <mergeCell ref="AL28:AL30"/>
    <mergeCell ref="U43:U45"/>
    <mergeCell ref="AE40:AE42"/>
    <mergeCell ref="AY88:AY90"/>
    <mergeCell ref="L109:L111"/>
    <mergeCell ref="L22:L24"/>
    <mergeCell ref="AR94:AR96"/>
    <mergeCell ref="BG16:BG18"/>
    <mergeCell ref="AP61:AP63"/>
    <mergeCell ref="AD97:AD99"/>
    <mergeCell ref="R61:R63"/>
    <mergeCell ref="BG43:BG45"/>
    <mergeCell ref="K16:K18"/>
    <mergeCell ref="AX109:AX111"/>
    <mergeCell ref="AG10:AG12"/>
    <mergeCell ref="A101:A102"/>
    <mergeCell ref="N79:N81"/>
    <mergeCell ref="BK49:BK51"/>
    <mergeCell ref="BS106:BS108"/>
    <mergeCell ref="AY85:AY87"/>
    <mergeCell ref="X70:X72"/>
    <mergeCell ref="AE91:AE93"/>
    <mergeCell ref="D49:D51"/>
    <mergeCell ref="AT13:AT15"/>
    <mergeCell ref="BH4:BH6"/>
    <mergeCell ref="BP97:BP99"/>
    <mergeCell ref="AO82:AO84"/>
    <mergeCell ref="AP64:AP66"/>
    <mergeCell ref="AM19:AM21"/>
    <mergeCell ref="BG67:BG69"/>
    <mergeCell ref="AM46:AM48"/>
    <mergeCell ref="C85:C87"/>
    <mergeCell ref="AW37:AW39"/>
    <mergeCell ref="H88:H90"/>
    <mergeCell ref="AZ79:AZ81"/>
    <mergeCell ref="AF58:AF60"/>
    <mergeCell ref="BN49:BN51"/>
    <mergeCell ref="M22:M24"/>
    <mergeCell ref="BJ70:BJ72"/>
    <mergeCell ref="AP49:AP51"/>
    <mergeCell ref="AN16:AN18"/>
    <mergeCell ref="AV73:AV75"/>
    <mergeCell ref="AB52:AB54"/>
    <mergeCell ref="AO106:AO108"/>
    <mergeCell ref="L34:L36"/>
    <mergeCell ref="BI4:BI6"/>
    <mergeCell ref="AF91:AF93"/>
    <mergeCell ref="V25:V27"/>
    <mergeCell ref="AF85:AF87"/>
    <mergeCell ref="AC46:AC48"/>
    <mergeCell ref="BN52:BN54"/>
    <mergeCell ref="AM37:AM39"/>
    <mergeCell ref="C13:C15"/>
    <mergeCell ref="AD22:AD24"/>
    <mergeCell ref="C7:C9"/>
    <mergeCell ref="Y97:Y99"/>
    <mergeCell ref="M4:M6"/>
    <mergeCell ref="U82:U84"/>
    <mergeCell ref="BV34:BV36"/>
    <mergeCell ref="R79:R81"/>
    <mergeCell ref="BA73:BA75"/>
    <mergeCell ref="N94:N96"/>
    <mergeCell ref="L61:L63"/>
    <mergeCell ref="BR85:BR87"/>
    <mergeCell ref="AJ31:AJ33"/>
    <mergeCell ref="AE106:AE108"/>
    <mergeCell ref="AT28:AT30"/>
    <mergeCell ref="E73:E75"/>
    <mergeCell ref="BP22:BP24"/>
    <mergeCell ref="AC43:AC45"/>
    <mergeCell ref="AA10:AA12"/>
    <mergeCell ref="BG82:BG84"/>
    <mergeCell ref="BN103:BN105"/>
    <mergeCell ref="C10:C12"/>
    <mergeCell ref="AG49:AG51"/>
    <mergeCell ref="F70:F72"/>
    <mergeCell ref="AX61:AX63"/>
    <mergeCell ref="AD40:AD42"/>
    <mergeCell ref="C25:C27"/>
    <mergeCell ref="BV31:BV33"/>
    <mergeCell ref="K109:K111"/>
    <mergeCell ref="D7:D9"/>
    <mergeCell ref="AG76:AG78"/>
    <mergeCell ref="BM10:BM12"/>
    <mergeCell ref="I55:I57"/>
    <mergeCell ref="AC103:AC105"/>
    <mergeCell ref="Z58:Z60"/>
    <mergeCell ref="AJ49:AJ51"/>
    <mergeCell ref="BF43:BF45"/>
    <mergeCell ref="J16:J18"/>
    <mergeCell ref="BP40:BP42"/>
    <mergeCell ref="AW109:AW111"/>
    <mergeCell ref="BR106:BR108"/>
    <mergeCell ref="BO67:BO69"/>
    <mergeCell ref="AU46:AU48"/>
    <mergeCell ref="J43:J45"/>
    <mergeCell ref="AS13:AS15"/>
    <mergeCell ref="W70:W72"/>
    <mergeCell ref="BO103:BO105"/>
    <mergeCell ref="T67:T69"/>
    <mergeCell ref="BE37:BE39"/>
    <mergeCell ref="BO97:BO99"/>
    <mergeCell ref="BL58:BL60"/>
    <mergeCell ref="BC4:BC6"/>
    <mergeCell ref="AO64:AO66"/>
    <mergeCell ref="AL19:AL21"/>
    <mergeCell ref="AV16:AV18"/>
    <mergeCell ref="AE31:AE33"/>
    <mergeCell ref="A8:A9"/>
    <mergeCell ref="BI70:BI72"/>
    <mergeCell ref="AL130:AV130"/>
    <mergeCell ref="AU73:AU75"/>
    <mergeCell ref="C79:C81"/>
    <mergeCell ref="AN85:AN87"/>
    <mergeCell ref="M70:M72"/>
    <mergeCell ref="BE88:BE90"/>
    <mergeCell ref="R31:R33"/>
    <mergeCell ref="BJ22:BJ24"/>
    <mergeCell ref="AW127:BQ130"/>
    <mergeCell ref="AE64:AE66"/>
    <mergeCell ref="AX100:AX102"/>
    <mergeCell ref="BP61:BP63"/>
    <mergeCell ref="K43:K45"/>
    <mergeCell ref="AV67:AV69"/>
    <mergeCell ref="AB46:AB48"/>
    <mergeCell ref="U25:U27"/>
    <mergeCell ref="BM52:BM54"/>
    <mergeCell ref="AL37:AL39"/>
    <mergeCell ref="L4:L6"/>
    <mergeCell ref="T61:T63"/>
    <mergeCell ref="AK100:AK102"/>
    <mergeCell ref="BG25:BG27"/>
    <mergeCell ref="BO82:BO84"/>
    <mergeCell ref="AD106:AD108"/>
    <mergeCell ref="BM49:BM51"/>
    <mergeCell ref="AN13:AN15"/>
    <mergeCell ref="D73:D75"/>
    <mergeCell ref="AN7:AN9"/>
    <mergeCell ref="AV64:AV66"/>
    <mergeCell ref="AX4:AX6"/>
    <mergeCell ref="K25:K27"/>
    <mergeCell ref="BF88:BF90"/>
    <mergeCell ref="U85:U87"/>
    <mergeCell ref="S109:S111"/>
    <mergeCell ref="S22:S24"/>
    <mergeCell ref="J88:J90"/>
    <mergeCell ref="AW61:AW63"/>
    <mergeCell ref="BU31:BU33"/>
    <mergeCell ref="J82:J84"/>
    <mergeCell ref="BP106:BP108"/>
    <mergeCell ref="AP73:AP75"/>
    <mergeCell ref="BN43:BN45"/>
    <mergeCell ref="R16:R18"/>
    <mergeCell ref="C94:C96"/>
    <mergeCell ref="AB76:AB78"/>
    <mergeCell ref="H55:H57"/>
    <mergeCell ref="BL10:BL12"/>
    <mergeCell ref="BE22:BE24"/>
    <mergeCell ref="AL91:AL93"/>
    <mergeCell ref="I16:I18"/>
    <mergeCell ref="A83:A84"/>
    <mergeCell ref="AV82:AV84"/>
    <mergeCell ref="BA43:BA45"/>
    <mergeCell ref="BR140:CK143"/>
    <mergeCell ref="AT19:AT21"/>
    <mergeCell ref="BN76:BN78"/>
    <mergeCell ref="AT55:AT57"/>
    <mergeCell ref="AM88:AM90"/>
    <mergeCell ref="S40:S42"/>
    <mergeCell ref="BD37:BD39"/>
    <mergeCell ref="BK58:BK60"/>
    <mergeCell ref="AU16:AU18"/>
    <mergeCell ref="K82:K84"/>
    <mergeCell ref="H37:H39"/>
    <mergeCell ref="O58:O60"/>
    <mergeCell ref="AX58:AX60"/>
    <mergeCell ref="Z31:Z33"/>
    <mergeCell ref="F10:F12"/>
    <mergeCell ref="AL109:AL111"/>
    <mergeCell ref="BA25:BA27"/>
    <mergeCell ref="BG106:BG108"/>
    <mergeCell ref="AM85:AM87"/>
    <mergeCell ref="L70:L72"/>
    <mergeCell ref="AJ46:AJ48"/>
    <mergeCell ref="AH13:AH15"/>
    <mergeCell ref="AT37:AT39"/>
    <mergeCell ref="BD97:BD99"/>
    <mergeCell ref="J13:J15"/>
    <mergeCell ref="T4:T6"/>
    <mergeCell ref="AD64:AD66"/>
    <mergeCell ref="BV55:BV57"/>
    <mergeCell ref="AA19:AA21"/>
    <mergeCell ref="AS100:AS102"/>
    <mergeCell ref="S61:S63"/>
    <mergeCell ref="AJ73:AJ75"/>
    <mergeCell ref="P52:P54"/>
    <mergeCell ref="L73:L75"/>
    <mergeCell ref="BP64:BP66"/>
    <mergeCell ref="AH10:AH12"/>
    <mergeCell ref="AC85:AC87"/>
    <mergeCell ref="I64:I66"/>
    <mergeCell ref="BM46:BM48"/>
    <mergeCell ref="BU103:BU105"/>
    <mergeCell ref="BE61:BE63"/>
    <mergeCell ref="AK40:AK42"/>
    <mergeCell ref="J25:J27"/>
    <mergeCell ref="AI7:AI9"/>
    <mergeCell ref="R109:R111"/>
    <mergeCell ref="BB52:BB54"/>
    <mergeCell ref="R22:R24"/>
    <mergeCell ref="AB19:AB21"/>
    <mergeCell ref="BT10:BT12"/>
    <mergeCell ref="I88:I90"/>
    <mergeCell ref="AG58:AG60"/>
    <mergeCell ref="BO106:BO108"/>
    <mergeCell ref="AA76:AA78"/>
    <mergeCell ref="BU7:BU9"/>
    <mergeCell ref="BD109:BD111"/>
    <mergeCell ref="AH28:AH30"/>
    <mergeCell ref="N7:N9"/>
    <mergeCell ref="BD22:BD24"/>
    <mergeCell ref="Q43:Q45"/>
    <mergeCell ref="AU88:AU90"/>
    <mergeCell ref="AU82:AU84"/>
    <mergeCell ref="BV97:BV99"/>
    <mergeCell ref="AD103:AD105"/>
    <mergeCell ref="BC16:BC18"/>
    <mergeCell ref="BM76:BM78"/>
    <mergeCell ref="AL61:AL63"/>
    <mergeCell ref="R40:R42"/>
    <mergeCell ref="Z97:Z99"/>
    <mergeCell ref="N61:N63"/>
    <mergeCell ref="BC43:BC45"/>
    <mergeCell ref="BA10:BA12"/>
    <mergeCell ref="Q103:Q105"/>
    <mergeCell ref="AC10:AC12"/>
    <mergeCell ref="J79:J81"/>
    <mergeCell ref="BG49:BG51"/>
    <mergeCell ref="AU85:AU87"/>
    <mergeCell ref="T70:T72"/>
    <mergeCell ref="Y31:Y33"/>
    <mergeCell ref="BL97:BL99"/>
    <mergeCell ref="AK109:AK111"/>
    <mergeCell ref="AL64:AL66"/>
    <mergeCell ref="BC67:BC69"/>
    <mergeCell ref="AI46:AI48"/>
    <mergeCell ref="AS37:AS39"/>
    <mergeCell ref="AZ58:AZ60"/>
    <mergeCell ref="I13:I15"/>
    <mergeCell ref="AV79:AV81"/>
    <mergeCell ref="AB58:AB60"/>
    <mergeCell ref="S4:S6"/>
    <mergeCell ref="A74:A75"/>
    <mergeCell ref="BF70:BF72"/>
    <mergeCell ref="BK31:BK33"/>
    <mergeCell ref="AJ16:AJ18"/>
    <mergeCell ref="X52:X54"/>
    <mergeCell ref="AR100:AR102"/>
    <mergeCell ref="V76:V78"/>
    <mergeCell ref="BU46:BU48"/>
    <mergeCell ref="AK106:AK108"/>
    <mergeCell ref="BS13:BS15"/>
    <mergeCell ref="L13:L15"/>
    <mergeCell ref="AU13:AU15"/>
    <mergeCell ref="BQ40:BQ42"/>
    <mergeCell ref="H34:H36"/>
    <mergeCell ref="AB91:AB93"/>
    <mergeCell ref="R25:R27"/>
    <mergeCell ref="BM88:BM90"/>
    <mergeCell ref="AB85:AB87"/>
    <mergeCell ref="AQ7:AQ9"/>
    <mergeCell ref="H64:H66"/>
    <mergeCell ref="Z22:Z24"/>
    <mergeCell ref="BD67:BD69"/>
    <mergeCell ref="BD61:BD63"/>
    <mergeCell ref="I25:I27"/>
    <mergeCell ref="Q88:Q90"/>
    <mergeCell ref="Q82:Q84"/>
    <mergeCell ref="A92:A93"/>
    <mergeCell ref="BU73:BU75"/>
    <mergeCell ref="AW73:AW75"/>
    <mergeCell ref="J94:J96"/>
    <mergeCell ref="H61:H63"/>
    <mergeCell ref="BS10:BS12"/>
    <mergeCell ref="BL22:BL24"/>
    <mergeCell ref="AK34:AK36"/>
    <mergeCell ref="AS91:AS93"/>
    <mergeCell ref="BC82:BC84"/>
    <mergeCell ref="AC49:AC51"/>
    <mergeCell ref="AT61:AT63"/>
    <mergeCell ref="BA55:BA57"/>
    <mergeCell ref="AT88:AT90"/>
    <mergeCell ref="Z40:Z42"/>
    <mergeCell ref="BU76:BU78"/>
    <mergeCell ref="G109:G111"/>
    <mergeCell ref="BR58:BR60"/>
    <mergeCell ref="AM94:AM96"/>
    <mergeCell ref="BB16:BB18"/>
    <mergeCell ref="E55:E57"/>
    <mergeCell ref="Y103:Y105"/>
    <mergeCell ref="O37:O39"/>
    <mergeCell ref="V58:V60"/>
    <mergeCell ref="BS28:BS30"/>
    <mergeCell ref="AF49:AF51"/>
    <mergeCell ref="BB43:BB45"/>
    <mergeCell ref="F16:F18"/>
    <mergeCell ref="AS109:AS111"/>
    <mergeCell ref="BN106:BN108"/>
    <mergeCell ref="AQ46:AQ48"/>
    <mergeCell ref="S70:S72"/>
    <mergeCell ref="CL127:DZ127"/>
    <mergeCell ref="AO13:AO15"/>
    <mergeCell ref="BK103:BK105"/>
    <mergeCell ref="P67:P69"/>
    <mergeCell ref="BA37:BA39"/>
    <mergeCell ref="BK97:BK99"/>
    <mergeCell ref="BH58:BH60"/>
    <mergeCell ref="AY4:AY6"/>
    <mergeCell ref="AK64:AK66"/>
    <mergeCell ref="AH19:AH21"/>
    <mergeCell ref="AR16:AR18"/>
    <mergeCell ref="H109:H111"/>
    <mergeCell ref="AH55:AH57"/>
    <mergeCell ref="H22:H24"/>
    <mergeCell ref="BE70:BE72"/>
    <mergeCell ref="AK49:AK51"/>
    <mergeCell ref="AQ79:AQ81"/>
    <mergeCell ref="AI16:AI18"/>
    <mergeCell ref="W58:W60"/>
    <mergeCell ref="AQ73:AQ75"/>
    <mergeCell ref="W52:W54"/>
    <mergeCell ref="AJ85:AJ87"/>
    <mergeCell ref="BT19:BT21"/>
    <mergeCell ref="N31:N33"/>
    <mergeCell ref="G43:G45"/>
    <mergeCell ref="AA91:AA93"/>
    <mergeCell ref="BL61:BL63"/>
    <mergeCell ref="Q25:Q27"/>
    <mergeCell ref="X46:X48"/>
    <mergeCell ref="AK82:AK84"/>
    <mergeCell ref="BI52:BI54"/>
    <mergeCell ref="AH37:AH39"/>
    <mergeCell ref="AI19:AI21"/>
    <mergeCell ref="H4:H6"/>
    <mergeCell ref="P88:P90"/>
    <mergeCell ref="BT79:BT81"/>
    <mergeCell ref="AF10:AF12"/>
    <mergeCell ref="AG100:AG102"/>
    <mergeCell ref="M79:M81"/>
    <mergeCell ref="A47:A48"/>
    <mergeCell ref="BC25:BC27"/>
    <mergeCell ref="BM85:BM87"/>
    <mergeCell ref="Z106:Z108"/>
    <mergeCell ref="AO28:AO30"/>
    <mergeCell ref="BV109:BV111"/>
    <mergeCell ref="BB88:BB90"/>
    <mergeCell ref="O109:O111"/>
    <mergeCell ref="BB82:BB84"/>
    <mergeCell ref="BT46:BT48"/>
    <mergeCell ref="O22:O24"/>
    <mergeCell ref="Y46:Y48"/>
    <mergeCell ref="BT76:BT78"/>
    <mergeCell ref="AS61:AS63"/>
    <mergeCell ref="Y40:Y42"/>
    <mergeCell ref="AG97:AG99"/>
    <mergeCell ref="BQ31:BQ33"/>
    <mergeCell ref="R52:R54"/>
    <mergeCell ref="P19:P21"/>
    <mergeCell ref="BH10:BH12"/>
    <mergeCell ref="D55:D57"/>
    <mergeCell ref="X76:X78"/>
    <mergeCell ref="BR34:BR36"/>
    <mergeCell ref="AH94:AH96"/>
    <mergeCell ref="E16:E18"/>
    <mergeCell ref="AA106:AA108"/>
    <mergeCell ref="BK40:BK42"/>
    <mergeCell ref="BS97:BS99"/>
    <mergeCell ref="M127:Y127"/>
    <mergeCell ref="AR109:AR111"/>
    <mergeCell ref="AW43:AW45"/>
    <mergeCell ref="AK7:AK9"/>
    <mergeCell ref="W10:W12"/>
    <mergeCell ref="BJ76:BJ78"/>
    <mergeCell ref="AP55:AP57"/>
    <mergeCell ref="BJ103:BJ105"/>
    <mergeCell ref="AI88:AI90"/>
    <mergeCell ref="AZ37:AZ39"/>
    <mergeCell ref="BG58:BG60"/>
    <mergeCell ref="BT94:BT96"/>
    <mergeCell ref="BR31:BR33"/>
    <mergeCell ref="AQ16:AQ18"/>
    <mergeCell ref="G82:G84"/>
    <mergeCell ref="AC76:AC78"/>
    <mergeCell ref="BI10:BI12"/>
    <mergeCell ref="V31:V33"/>
    <mergeCell ref="AP79:AP81"/>
    <mergeCell ref="AM34:AM36"/>
    <mergeCell ref="AZ70:AZ72"/>
    <mergeCell ref="AW25:AW27"/>
    <mergeCell ref="BC106:BC108"/>
    <mergeCell ref="AI85:AI87"/>
    <mergeCell ref="BS19:BS21"/>
    <mergeCell ref="AZ97:AZ99"/>
    <mergeCell ref="F13:F15"/>
    <mergeCell ref="AG129:AK129"/>
    <mergeCell ref="Z64:Z66"/>
    <mergeCell ref="F43:F45"/>
    <mergeCell ref="AO94:AO96"/>
    <mergeCell ref="BR49:BR51"/>
    <mergeCell ref="AG131:AK131"/>
    <mergeCell ref="O67:O69"/>
    <mergeCell ref="G4:G6"/>
    <mergeCell ref="O61:O63"/>
    <mergeCell ref="BU85:BU87"/>
    <mergeCell ref="AY31:AY33"/>
    <mergeCell ref="L52:L54"/>
    <mergeCell ref="AR7:AR9"/>
    <mergeCell ref="BQ103:BQ105"/>
    <mergeCell ref="BH49:BH51"/>
    <mergeCell ref="AN28:AN30"/>
    <mergeCell ref="I70:I72"/>
    <mergeCell ref="BA61:BA63"/>
    <mergeCell ref="AG40:AG42"/>
    <mergeCell ref="BA88:BA90"/>
    <mergeCell ref="F25:F27"/>
    <mergeCell ref="AE7:AE9"/>
    <mergeCell ref="N109:N111"/>
    <mergeCell ref="AX52:AX54"/>
    <mergeCell ref="BR100:BR102"/>
    <mergeCell ref="N22:N24"/>
    <mergeCell ref="X19:X21"/>
    <mergeCell ref="E88:E90"/>
    <mergeCell ref="AF97:AF99"/>
    <mergeCell ref="AC58:AC60"/>
    <mergeCell ref="M16:M18"/>
    <mergeCell ref="W76:W78"/>
    <mergeCell ref="C55:C57"/>
    <mergeCell ref="AZ109:AZ111"/>
    <mergeCell ref="BV46:BV48"/>
    <mergeCell ref="AG91:AG93"/>
    <mergeCell ref="AQ88:AQ90"/>
    <mergeCell ref="W67:W69"/>
    <mergeCell ref="BR97:BR99"/>
    <mergeCell ref="AQ82:AQ84"/>
    <mergeCell ref="BF4:BF6"/>
    <mergeCell ref="AR64:AR66"/>
    <mergeCell ref="E85:E87"/>
    <mergeCell ref="BI76:BI78"/>
    <mergeCell ref="AO55:AO57"/>
    <mergeCell ref="N40:N42"/>
    <mergeCell ref="AP16:AP18"/>
    <mergeCell ref="F82:F84"/>
    <mergeCell ref="M103:M105"/>
    <mergeCell ref="C37:C39"/>
    <mergeCell ref="AS58:AS60"/>
    <mergeCell ref="BC49:BC51"/>
    <mergeCell ref="AI28:AI30"/>
    <mergeCell ref="AQ85:AQ87"/>
    <mergeCell ref="U31:U33"/>
    <mergeCell ref="AG109:AG111"/>
    <mergeCell ref="AY70:AY72"/>
    <mergeCell ref="AH91:AH93"/>
    <mergeCell ref="BB106:BB108"/>
    <mergeCell ref="AH85:AH87"/>
    <mergeCell ref="AE46:AE48"/>
    <mergeCell ref="AR82:AR84"/>
    <mergeCell ref="AO37:AO39"/>
    <mergeCell ref="AV58:AV60"/>
    <mergeCell ref="BN19:BN21"/>
    <mergeCell ref="E13:E15"/>
    <mergeCell ref="O4:O6"/>
    <mergeCell ref="Y64:Y66"/>
    <mergeCell ref="BG31:BG33"/>
    <mergeCell ref="AF16:AF18"/>
    <mergeCell ref="AN100:AN102"/>
    <mergeCell ref="BT85:BT87"/>
    <mergeCell ref="BQ46:BQ48"/>
    <mergeCell ref="D37:D39"/>
    <mergeCell ref="BO13:BO15"/>
    <mergeCell ref="K58:K60"/>
    <mergeCell ref="AQ13:AQ15"/>
    <mergeCell ref="G73:G75"/>
    <mergeCell ref="BM40:BM42"/>
    <mergeCell ref="BM67:BM69"/>
    <mergeCell ref="BI88:BI90"/>
    <mergeCell ref="X85:X87"/>
    <mergeCell ref="AM7:AM9"/>
    <mergeCell ref="D64:D66"/>
    <mergeCell ref="BP103:BP105"/>
    <mergeCell ref="AH109:AH111"/>
    <mergeCell ref="V22:V24"/>
    <mergeCell ref="AZ67:AZ69"/>
    <mergeCell ref="O91:O93"/>
    <mergeCell ref="AZ61:AZ63"/>
    <mergeCell ref="AF40:AF42"/>
    <mergeCell ref="E25:E27"/>
    <mergeCell ref="BQ73:BQ75"/>
    <mergeCell ref="AW52:AW54"/>
    <mergeCell ref="BR55:BR57"/>
    <mergeCell ref="W19:W21"/>
    <mergeCell ref="AE76:AE78"/>
    <mergeCell ref="K55:K57"/>
    <mergeCell ref="D88:D90"/>
    <mergeCell ref="BO10:BO12"/>
    <mergeCell ref="BH22:BH24"/>
    <mergeCell ref="L16:L18"/>
    <mergeCell ref="BR40:BR42"/>
    <mergeCell ref="AF73:AF75"/>
    <mergeCell ref="AY109:AY111"/>
    <mergeCell ref="BP7:BP9"/>
    <mergeCell ref="AC28:AC30"/>
    <mergeCell ref="E28:E30"/>
    <mergeCell ref="AY22:AY24"/>
    <mergeCell ref="L43:L45"/>
    <mergeCell ref="BI19:BI21"/>
    <mergeCell ref="BQ76:BQ78"/>
    <mergeCell ref="V40:V42"/>
    <mergeCell ref="AP88:AP90"/>
    <mergeCell ref="C109:C111"/>
    <mergeCell ref="BR37:BR39"/>
    <mergeCell ref="M46:M48"/>
    <mergeCell ref="AX16:AX18"/>
    <mergeCell ref="BH76:BH78"/>
    <mergeCell ref="U103:U105"/>
    <mergeCell ref="BO28:BO30"/>
    <mergeCell ref="BR91:BR93"/>
    <mergeCell ref="L76:L78"/>
    <mergeCell ref="AT34:AT36"/>
    <mergeCell ref="AO109:AO111"/>
    <mergeCell ref="BD25:BD27"/>
    <mergeCell ref="BB49:BB51"/>
    <mergeCell ref="BJ106:BJ108"/>
    <mergeCell ref="O70:O72"/>
    <mergeCell ref="Z128:AF128"/>
    <mergeCell ref="T31:T33"/>
    <mergeCell ref="O106:O108"/>
    <mergeCell ref="L67:L69"/>
    <mergeCell ref="BG97:BG99"/>
    <mergeCell ref="AG64:AG66"/>
    <mergeCell ref="M43:M45"/>
    <mergeCell ref="AD55:AD57"/>
    <mergeCell ref="AV100:AV102"/>
    <mergeCell ref="AN37:AN39"/>
    <mergeCell ref="AV94:AV96"/>
    <mergeCell ref="D22:D24"/>
    <mergeCell ref="N4:N6"/>
    <mergeCell ref="V61:V63"/>
    <mergeCell ref="V97:V99"/>
    <mergeCell ref="BF31:BF33"/>
    <mergeCell ref="AE16:AE18"/>
    <mergeCell ref="S52:S54"/>
    <mergeCell ref="AM100:AM102"/>
    <mergeCell ref="C128:L128"/>
    <mergeCell ref="S58:S60"/>
    <mergeCell ref="BP46:BP48"/>
    <mergeCell ref="AD79:AD81"/>
    <mergeCell ref="F79:F81"/>
    <mergeCell ref="BL40:BL42"/>
    <mergeCell ref="AZ4:AZ6"/>
    <mergeCell ref="W91:W93"/>
    <mergeCell ref="BH61:BH63"/>
    <mergeCell ref="M25:M27"/>
    <mergeCell ref="W85:W87"/>
    <mergeCell ref="AL7:AL9"/>
    <mergeCell ref="M61:M63"/>
    <mergeCell ref="AO43:AO45"/>
    <mergeCell ref="AE19:AE21"/>
    <mergeCell ref="AY67:AY69"/>
    <mergeCell ref="D4:D6"/>
    <mergeCell ref="L88:L90"/>
    <mergeCell ref="BP79:BP81"/>
    <mergeCell ref="AC100:AC102"/>
    <mergeCell ref="AO34:AO36"/>
    <mergeCell ref="AD76:AD78"/>
    <mergeCell ref="AY25:AY27"/>
    <mergeCell ref="AN73:AN75"/>
    <mergeCell ref="A128:A131"/>
    <mergeCell ref="AX88:AX90"/>
    <mergeCell ref="AX82:AX84"/>
    <mergeCell ref="AB34:AB36"/>
    <mergeCell ref="AO67:AO69"/>
    <mergeCell ref="BP76:BP78"/>
    <mergeCell ref="AO61:AO63"/>
    <mergeCell ref="AV55:AV57"/>
    <mergeCell ref="U40:U42"/>
    <mergeCell ref="AT22:AT24"/>
    <mergeCell ref="C64:C66"/>
    <mergeCell ref="AH100:AH102"/>
    <mergeCell ref="T103:T105"/>
    <mergeCell ref="J37:J39"/>
    <mergeCell ref="BN34:BN36"/>
    <mergeCell ref="AD94:AD96"/>
    <mergeCell ref="BN28:BN30"/>
    <mergeCell ref="BV85:BV87"/>
    <mergeCell ref="BJ49:BJ51"/>
    <mergeCell ref="AV52:AV54"/>
    <mergeCell ref="AN109:AN111"/>
    <mergeCell ref="AS43:AS45"/>
    <mergeCell ref="BM91:BM93"/>
    <mergeCell ref="AO91:AO93"/>
    <mergeCell ref="S10:S12"/>
    <mergeCell ref="A11:A12"/>
    <mergeCell ref="AY82:AY84"/>
    <mergeCell ref="AL55:AL57"/>
    <mergeCell ref="BF103:BF105"/>
    <mergeCell ref="K67:K69"/>
    <mergeCell ref="AV37:AV39"/>
    <mergeCell ref="BF97:BF99"/>
    <mergeCell ref="BC58:BC60"/>
    <mergeCell ref="BP94:BP96"/>
    <mergeCell ref="AF64:AF66"/>
    <mergeCell ref="BN31:BN33"/>
    <mergeCell ref="AM16:AM18"/>
    <mergeCell ref="AW76:AW78"/>
    <mergeCell ref="C82:C84"/>
    <mergeCell ref="AG127:AV127"/>
    <mergeCell ref="Y76:Y78"/>
    <mergeCell ref="BE10:BE12"/>
    <mergeCell ref="AL79:AL81"/>
    <mergeCell ref="BV13:BV15"/>
    <mergeCell ref="R58:R60"/>
    <mergeCell ref="AB49:AB51"/>
    <mergeCell ref="BT40:BT42"/>
    <mergeCell ref="BR64:BR66"/>
    <mergeCell ref="AE85:AE87"/>
    <mergeCell ref="BK46:BK48"/>
    <mergeCell ref="V64:V66"/>
    <mergeCell ref="V91:V93"/>
    <mergeCell ref="AF82:AF84"/>
    <mergeCell ref="BD58:BD60"/>
    <mergeCell ref="AU4:AU6"/>
    <mergeCell ref="BD52:BD54"/>
    <mergeCell ref="AD19:AD21"/>
    <mergeCell ref="C4:C6"/>
    <mergeCell ref="BV10:BV12"/>
    <mergeCell ref="BQ85:BQ87"/>
    <mergeCell ref="K88:K90"/>
    <mergeCell ref="AU31:AU33"/>
    <mergeCell ref="H52:H54"/>
    <mergeCell ref="BM70:BM72"/>
    <mergeCell ref="H79:H81"/>
    <mergeCell ref="BM106:BM108"/>
    <mergeCell ref="AX25:AX27"/>
    <mergeCell ref="AJ34:AJ36"/>
    <mergeCell ref="P13:P15"/>
    <mergeCell ref="AJ28:AJ30"/>
    <mergeCell ref="E70:E72"/>
    <mergeCell ref="BP19:BP21"/>
    <mergeCell ref="BQ109:BQ111"/>
    <mergeCell ref="AW88:AW90"/>
    <mergeCell ref="AC40:AC42"/>
    <mergeCell ref="AA7:AA9"/>
    <mergeCell ref="J109:J111"/>
    <mergeCell ref="CL129:DZ129"/>
    <mergeCell ref="BN100:BN102"/>
    <mergeCell ref="J22:J24"/>
    <mergeCell ref="T19:T21"/>
    <mergeCell ref="T46:T48"/>
    <mergeCell ref="BO76:BO78"/>
    <mergeCell ref="AB103:AB105"/>
    <mergeCell ref="CL131:DZ131"/>
    <mergeCell ref="AB97:AB99"/>
    <mergeCell ref="AD37:AD39"/>
    <mergeCell ref="AL94:AL96"/>
    <mergeCell ref="BV28:BV30"/>
    <mergeCell ref="K19:K21"/>
    <mergeCell ref="S76:S78"/>
    <mergeCell ref="AV109:AV111"/>
    <mergeCell ref="V106:V108"/>
    <mergeCell ref="S67:S69"/>
    <mergeCell ref="BN97:BN99"/>
    <mergeCell ref="BF40:BF42"/>
    <mergeCell ref="AN64:AN66"/>
    <mergeCell ref="M49:M51"/>
    <mergeCell ref="R10:R12"/>
    <mergeCell ref="BE76:BE78"/>
    <mergeCell ref="AK55:AK57"/>
    <mergeCell ref="K22:K24"/>
    <mergeCell ref="BM31:BM33"/>
    <mergeCell ref="AL16:AL18"/>
    <mergeCell ref="I103:I105"/>
    <mergeCell ref="BD10:BD12"/>
    <mergeCell ref="T76:T78"/>
    <mergeCell ref="Q31:Q33"/>
    <mergeCell ref="AK79:AK81"/>
    <mergeCell ref="AU70:AU72"/>
    <mergeCell ref="AD91:AD93"/>
    <mergeCell ref="AX106:AX108"/>
    <mergeCell ref="AD85:AD87"/>
    <mergeCell ref="AA46:AA48"/>
    <mergeCell ref="AN82:AN84"/>
    <mergeCell ref="AK37:AK39"/>
    <mergeCell ref="BJ19:BJ21"/>
    <mergeCell ref="K4:K6"/>
    <mergeCell ref="BF67:BF69"/>
    <mergeCell ref="U64:U66"/>
    <mergeCell ref="BC31:BC33"/>
    <mergeCell ref="AJ100:AJ102"/>
    <mergeCell ref="BT34:BT36"/>
    <mergeCell ref="J67:J69"/>
    <mergeCell ref="J61:J63"/>
    <mergeCell ref="BP85:BP87"/>
    <mergeCell ref="J97:J99"/>
    <mergeCell ref="AP52:AP54"/>
    <mergeCell ref="C73:C75"/>
    <mergeCell ref="AI34:AI36"/>
    <mergeCell ref="BL103:BL105"/>
    <mergeCell ref="AD109:AD111"/>
    <mergeCell ref="BV100:BV102"/>
    <mergeCell ref="AS25:AS27"/>
    <mergeCell ref="BV94:BV96"/>
    <mergeCell ref="A35:A36"/>
    <mergeCell ref="D70:D72"/>
    <mergeCell ref="AV61:AV63"/>
    <mergeCell ref="AB40:AB42"/>
    <mergeCell ref="AV97:AV99"/>
    <mergeCell ref="AS52:AS54"/>
    <mergeCell ref="BN55:BN57"/>
    <mergeCell ref="S19:S21"/>
    <mergeCell ref="G55:G57"/>
    <mergeCell ref="AA103:AA105"/>
    <mergeCell ref="BU34:BU36"/>
    <mergeCell ref="X58:X60"/>
    <mergeCell ref="AK94:AK96"/>
    <mergeCell ref="BU28:BU30"/>
    <mergeCell ref="K61:K63"/>
    <mergeCell ref="H16:H18"/>
    <mergeCell ref="BN40:BN42"/>
    <mergeCell ref="BL7:BL9"/>
    <mergeCell ref="AU109:AU111"/>
    <mergeCell ref="AZ43:AZ45"/>
    <mergeCell ref="Y28:Y30"/>
    <mergeCell ref="BM103:BM105"/>
    <mergeCell ref="AL88:AL90"/>
    <mergeCell ref="R67:R69"/>
    <mergeCell ref="BM97:BM99"/>
    <mergeCell ref="BA4:BA6"/>
    <mergeCell ref="I46:I48"/>
    <mergeCell ref="AT16:AT18"/>
    <mergeCell ref="BD76:BD78"/>
    <mergeCell ref="AT52:AT54"/>
    <mergeCell ref="AS79:AS81"/>
    <mergeCell ref="AS73:AS75"/>
    <mergeCell ref="BC70:BC72"/>
    <mergeCell ref="AJ52:AJ54"/>
    <mergeCell ref="P31:P33"/>
    <mergeCell ref="K106:K108"/>
    <mergeCell ref="AC64:AC66"/>
    <mergeCell ref="I43:I45"/>
    <mergeCell ref="AC91:AC93"/>
    <mergeCell ref="AM82:AM84"/>
    <mergeCell ref="AT103:AT105"/>
    <mergeCell ref="AJ37:AJ39"/>
    <mergeCell ref="J4:J6"/>
    <mergeCell ref="BV52:BV54"/>
    <mergeCell ref="R97:R99"/>
    <mergeCell ref="BB31:BB33"/>
    <mergeCell ref="O52:O54"/>
    <mergeCell ref="AI100:AI102"/>
    <mergeCell ref="BO91:BO93"/>
    <mergeCell ref="Z79:Z81"/>
    <mergeCell ref="F58:F60"/>
    <mergeCell ref="BK85:BK87"/>
    <mergeCell ref="BH40:BH42"/>
    <mergeCell ref="AV4:AV6"/>
    <mergeCell ref="S91:S93"/>
    <mergeCell ref="AJ40:AJ42"/>
    <mergeCell ref="S85:S87"/>
    <mergeCell ref="AH7:AH9"/>
    <mergeCell ref="I61:I63"/>
    <mergeCell ref="BU100:BU102"/>
    <mergeCell ref="AU67:AU69"/>
    <mergeCell ref="AU61:AU63"/>
    <mergeCell ref="AR58:AR60"/>
    <mergeCell ref="BM55:BM57"/>
    <mergeCell ref="R19:R21"/>
    <mergeCell ref="Z76:Z78"/>
    <mergeCell ref="F55:F57"/>
    <mergeCell ref="AB16:AB18"/>
    <mergeCell ref="BJ10:BJ12"/>
    <mergeCell ref="BT7:BT9"/>
    <mergeCell ref="BC22:BC24"/>
    <mergeCell ref="AC106:AC108"/>
    <mergeCell ref="AA73:AA75"/>
    <mergeCell ref="X34:X36"/>
    <mergeCell ref="BS64:BS66"/>
    <mergeCell ref="AY43:AY45"/>
    <mergeCell ref="D13:D15"/>
    <mergeCell ref="T85:T87"/>
    <mergeCell ref="BL76:BL78"/>
    <mergeCell ref="AR55:AR57"/>
    <mergeCell ref="AK88:AK90"/>
    <mergeCell ref="Q40:Q42"/>
    <mergeCell ref="AP22:AP24"/>
    <mergeCell ref="C43:C45"/>
    <mergeCell ref="BC55:BC57"/>
    <mergeCell ref="BM37:BM39"/>
    <mergeCell ref="AS16:AS18"/>
    <mergeCell ref="I82:I84"/>
    <mergeCell ref="P103:P105"/>
    <mergeCell ref="F37:F39"/>
    <mergeCell ref="BM73:BM75"/>
    <mergeCell ref="AP13:AP15"/>
    <mergeCell ref="BJ28:BJ30"/>
    <mergeCell ref="Z94:Z96"/>
    <mergeCell ref="BF49:BF51"/>
    <mergeCell ref="BK10:BK12"/>
    <mergeCell ref="X31:X33"/>
    <mergeCell ref="AJ109:AJ111"/>
    <mergeCell ref="BB70:BB72"/>
    <mergeCell ref="BI91:BI93"/>
    <mergeCell ref="AK91:AK93"/>
    <mergeCell ref="AY61:AY63"/>
    <mergeCell ref="O10:O12"/>
    <mergeCell ref="BB103:BB105"/>
    <mergeCell ref="BB97:BB99"/>
    <mergeCell ref="BQ19:BQ21"/>
    <mergeCell ref="BL94:BL96"/>
    <mergeCell ref="R4:R6"/>
    <mergeCell ref="AB64:AB66"/>
    <mergeCell ref="H43:H45"/>
    <mergeCell ref="BJ31:BJ33"/>
    <mergeCell ref="Y55:Y57"/>
    <mergeCell ref="AQ100:AQ102"/>
    <mergeCell ref="Q67:Q69"/>
    <mergeCell ref="A44:A45"/>
    <mergeCell ref="G37:G39"/>
    <mergeCell ref="BR13:BR15"/>
    <mergeCell ref="Q97:Q99"/>
    <mergeCell ref="N58:N60"/>
    <mergeCell ref="BU52:BU54"/>
    <mergeCell ref="N52:N54"/>
    <mergeCell ref="BK28:BK30"/>
    <mergeCell ref="X49:X51"/>
    <mergeCell ref="BN64:BN66"/>
    <mergeCell ref="AT43:AT45"/>
    <mergeCell ref="AR10:AR12"/>
    <mergeCell ref="E31:E33"/>
  </mergeCells>
  <conditionalFormatting sqref="D4:BT111 AG128:AG130">
    <cfRule type="cellIs" priority="1" operator="between" dxfId="10">
      <formula>0.001</formula>
      <formula>0.083</formula>
    </cfRule>
    <cfRule type="cellIs" priority="2" operator="between" dxfId="9">
      <formula>0.1</formula>
      <formula>0.109</formula>
    </cfRule>
    <cfRule type="cellIs" priority="3" operator="between" dxfId="8">
      <formula>0.11</formula>
      <formula>0.119</formula>
    </cfRule>
    <cfRule type="cellIs" priority="4" operator="between" dxfId="7">
      <formula>0.12</formula>
      <formula>0.129</formula>
    </cfRule>
    <cfRule type="cellIs" priority="5" operator="between" dxfId="6">
      <formula>0.13</formula>
      <formula>0.139</formula>
    </cfRule>
    <cfRule type="cellIs" priority="6" operator="between" dxfId="5">
      <formula>0.14</formula>
      <formula>0.149</formula>
    </cfRule>
    <cfRule type="cellIs" priority="7" operator="between" dxfId="4">
      <formula>0.15</formula>
      <formula>0.159</formula>
    </cfRule>
    <cfRule type="cellIs" priority="8" operator="between" dxfId="3">
      <formula>0.16</formula>
      <formula>0.169</formula>
    </cfRule>
    <cfRule type="cellIs" priority="9" operator="between" dxfId="2">
      <formula>0.17</formula>
      <formula>0.179</formula>
    </cfRule>
    <cfRule type="cellIs" priority="10" operator="between" dxfId="1">
      <formula>0.18</formula>
      <formula>0.999</formula>
    </cfRule>
    <cfRule type="containsText" priority="50" operator="containsText" dxfId="0" text="">
      <formula>NOT(ISERROR(SEARCH("",D4)))</formula>
    </cfRule>
  </conditionalFormatting>
  <printOptions horizontalCentered="1"/>
  <pageMargins left="0.25" right="0.25" top="0.75" bottom="0.25" header="0" footer="0"/>
  <pageSetup orientation="portrait" paperSize="3" scale="32" pageOrder="overThenDown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Dave Smith</dc:creator>
  <dcterms:created xmlns:dcterms="http://purl.org/dc/terms/" xmlns:xsi="http://www.w3.org/2001/XMLSchema-instance" xsi:type="dcterms:W3CDTF">2007-12-19T20:22:39Z</dcterms:created>
  <dcterms:modified xmlns:dcterms="http://purl.org/dc/terms/" xmlns:xsi="http://www.w3.org/2001/XMLSchema-instance" xsi:type="dcterms:W3CDTF">2026-07-15T18:49:03Z</dcterms:modified>
  <cp:lastModifiedBy>Dave Smith</cp:lastModifiedBy>
  <cp:lastPrinted>2020-01-27T15:22:03Z</cp:lastPrinted>
</cp:coreProperties>
</file>